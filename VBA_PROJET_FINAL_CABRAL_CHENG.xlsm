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is Cabral\Music\FINAL_PROJET_VBA\"/>
    </mc:Choice>
  </mc:AlternateContent>
  <xr:revisionPtr revIDLastSave="0" documentId="13_ncr:1_{649385B0-2FC7-4D45-A99B-0B14E20B62E8}" xr6:coauthVersionLast="45" xr6:coauthVersionMax="45" xr10:uidLastSave="{00000000-0000-0000-0000-000000000000}"/>
  <bookViews>
    <workbookView xWindow="-120" yWindow="-120" windowWidth="15600" windowHeight="11160" xr2:uid="{5F8342F0-6C01-47D4-BC60-F4E4564EB6D6}"/>
  </bookViews>
  <sheets>
    <sheet name="Menu" sheetId="2" r:id="rId1"/>
    <sheet name="ChartSheet" sheetId="3" r:id="rId2"/>
    <sheet name="Prediction" sheetId="4" r:id="rId3"/>
    <sheet name="AR-GARCH" sheetId="5" r:id="rId4"/>
    <sheet name="AR-GARCH Confuse" sheetId="6" r:id="rId5"/>
    <sheet name="Settings" sheetId="7" r:id="rId6"/>
    <sheet name="Data" sheetId="8" r:id="rId7"/>
    <sheet name="Training Sample" sheetId="9" r:id="rId8"/>
    <sheet name="Test Sample" sheetId="10" r:id="rId9"/>
  </sheets>
  <functionGroups builtInGroupCount="19"/>
  <definedNames>
    <definedName name="_xlnm._FilterDatabase" localSheetId="6" hidden="1">Data!$A$1:$D$1763</definedName>
    <definedName name="_xlnm._FilterDatabase" localSheetId="2" hidden="1">Prediction!$A$1:$H$24</definedName>
    <definedName name="solver_adj" localSheetId="3" hidden="1">'AR-GARCH'!$K$4,'AR-GARCH'!$K$6,'AR-GARCH'!$K$7,'AR-GARCH'!$K$8,'AR-GARCH'!$K$10,'AR-GARCH'!$K$11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'AR-GARCH'!$M$3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1</definedName>
    <definedName name="solver_nwt" localSheetId="3" hidden="1">1</definedName>
    <definedName name="solver_opt" localSheetId="3" hidden="1">'AR-GARCH'!$M$2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hs1" localSheetId="3" hidden="1">0.95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5" l="1"/>
  <c r="D1659" i="5"/>
  <c r="E1659" i="5" s="1"/>
  <c r="D1658" i="5"/>
  <c r="E1658" i="5" s="1"/>
  <c r="D1657" i="5"/>
  <c r="E1657" i="5" s="1"/>
  <c r="D1656" i="5"/>
  <c r="E1656" i="5" s="1"/>
  <c r="D1655" i="5"/>
  <c r="E1655" i="5" s="1"/>
  <c r="D1654" i="5"/>
  <c r="E1654" i="5" s="1"/>
  <c r="D1653" i="5"/>
  <c r="E1653" i="5" s="1"/>
  <c r="D1652" i="5"/>
  <c r="E1652" i="5" s="1"/>
  <c r="D1651" i="5"/>
  <c r="E1651" i="5" s="1"/>
  <c r="D1650" i="5"/>
  <c r="E1650" i="5" s="1"/>
  <c r="D1649" i="5"/>
  <c r="E1649" i="5" s="1"/>
  <c r="D1648" i="5"/>
  <c r="E1648" i="5" s="1"/>
  <c r="D1647" i="5"/>
  <c r="E1647" i="5" s="1"/>
  <c r="D1646" i="5"/>
  <c r="E1646" i="5" s="1"/>
  <c r="D1645" i="5"/>
  <c r="E1645" i="5" s="1"/>
  <c r="D1644" i="5"/>
  <c r="E1644" i="5" s="1"/>
  <c r="D1643" i="5"/>
  <c r="E1643" i="5" s="1"/>
  <c r="D1642" i="5"/>
  <c r="E1642" i="5" s="1"/>
  <c r="D1641" i="5"/>
  <c r="E1641" i="5" s="1"/>
  <c r="D1640" i="5"/>
  <c r="E1640" i="5" s="1"/>
  <c r="D1639" i="5"/>
  <c r="E1639" i="5" s="1"/>
  <c r="D1638" i="5"/>
  <c r="E1638" i="5" s="1"/>
  <c r="D1637" i="5"/>
  <c r="E1637" i="5" s="1"/>
  <c r="D1636" i="5"/>
  <c r="E1636" i="5" s="1"/>
  <c r="D1635" i="5"/>
  <c r="E1635" i="5" s="1"/>
  <c r="D1634" i="5"/>
  <c r="E1634" i="5" s="1"/>
  <c r="D1633" i="5"/>
  <c r="E1633" i="5" s="1"/>
  <c r="D1632" i="5"/>
  <c r="E1632" i="5" s="1"/>
  <c r="D1631" i="5"/>
  <c r="E1631" i="5" s="1"/>
  <c r="D1630" i="5"/>
  <c r="E1630" i="5" s="1"/>
  <c r="D1629" i="5"/>
  <c r="E1629" i="5" s="1"/>
  <c r="D1628" i="5"/>
  <c r="E1628" i="5" s="1"/>
  <c r="D1627" i="5"/>
  <c r="E1627" i="5" s="1"/>
  <c r="D1626" i="5"/>
  <c r="E1626" i="5" s="1"/>
  <c r="D1625" i="5"/>
  <c r="E1625" i="5" s="1"/>
  <c r="D1624" i="5"/>
  <c r="E1624" i="5" s="1"/>
  <c r="D1623" i="5"/>
  <c r="E1623" i="5" s="1"/>
  <c r="D1622" i="5"/>
  <c r="E1622" i="5" s="1"/>
  <c r="D1621" i="5"/>
  <c r="E1621" i="5" s="1"/>
  <c r="D1620" i="5"/>
  <c r="E1620" i="5" s="1"/>
  <c r="D1619" i="5"/>
  <c r="E1619" i="5" s="1"/>
  <c r="D1618" i="5"/>
  <c r="E1618" i="5" s="1"/>
  <c r="D1617" i="5"/>
  <c r="E1617" i="5" s="1"/>
  <c r="D1616" i="5"/>
  <c r="E1616" i="5" s="1"/>
  <c r="D1615" i="5"/>
  <c r="E1615" i="5" s="1"/>
  <c r="D1614" i="5"/>
  <c r="E1614" i="5" s="1"/>
  <c r="D1613" i="5"/>
  <c r="E1613" i="5" s="1"/>
  <c r="D1612" i="5"/>
  <c r="E1612" i="5" s="1"/>
  <c r="D1611" i="5"/>
  <c r="E1611" i="5" s="1"/>
  <c r="D1610" i="5"/>
  <c r="E1610" i="5" s="1"/>
  <c r="D1609" i="5"/>
  <c r="E1609" i="5" s="1"/>
  <c r="D1608" i="5"/>
  <c r="E1608" i="5" s="1"/>
  <c r="D1607" i="5"/>
  <c r="E1607" i="5" s="1"/>
  <c r="D1606" i="5"/>
  <c r="E1606" i="5" s="1"/>
  <c r="D1605" i="5"/>
  <c r="E1605" i="5" s="1"/>
  <c r="D1604" i="5"/>
  <c r="E1604" i="5" s="1"/>
  <c r="D1603" i="5"/>
  <c r="E1603" i="5" s="1"/>
  <c r="D1602" i="5"/>
  <c r="E1602" i="5" s="1"/>
  <c r="D1601" i="5"/>
  <c r="E1601" i="5" s="1"/>
  <c r="D1600" i="5"/>
  <c r="E1600" i="5" s="1"/>
  <c r="D1599" i="5"/>
  <c r="E1599" i="5" s="1"/>
  <c r="D1598" i="5"/>
  <c r="E1598" i="5" s="1"/>
  <c r="D1597" i="5"/>
  <c r="E1597" i="5" s="1"/>
  <c r="D1596" i="5"/>
  <c r="E1596" i="5" s="1"/>
  <c r="D1595" i="5"/>
  <c r="E1595" i="5" s="1"/>
  <c r="D1594" i="5"/>
  <c r="E1594" i="5" s="1"/>
  <c r="D1593" i="5"/>
  <c r="E1593" i="5" s="1"/>
  <c r="D1592" i="5"/>
  <c r="E1592" i="5" s="1"/>
  <c r="D1591" i="5"/>
  <c r="E1591" i="5" s="1"/>
  <c r="D1590" i="5"/>
  <c r="E1590" i="5" s="1"/>
  <c r="D1589" i="5"/>
  <c r="E1589" i="5" s="1"/>
  <c r="D1588" i="5"/>
  <c r="E1588" i="5" s="1"/>
  <c r="D1587" i="5"/>
  <c r="E1587" i="5" s="1"/>
  <c r="D1586" i="5"/>
  <c r="E1586" i="5" s="1"/>
  <c r="D1585" i="5"/>
  <c r="E1585" i="5" s="1"/>
  <c r="D1584" i="5"/>
  <c r="E1584" i="5" s="1"/>
  <c r="D1583" i="5"/>
  <c r="E1583" i="5" s="1"/>
  <c r="D1582" i="5"/>
  <c r="E1582" i="5" s="1"/>
  <c r="D1581" i="5"/>
  <c r="E1581" i="5" s="1"/>
  <c r="D1580" i="5"/>
  <c r="E1580" i="5" s="1"/>
  <c r="D1579" i="5"/>
  <c r="E1579" i="5" s="1"/>
  <c r="D1578" i="5"/>
  <c r="E1578" i="5" s="1"/>
  <c r="D1577" i="5"/>
  <c r="E1577" i="5" s="1"/>
  <c r="D1576" i="5"/>
  <c r="E1576" i="5" s="1"/>
  <c r="D1575" i="5"/>
  <c r="E1575" i="5" s="1"/>
  <c r="D1574" i="5"/>
  <c r="E1574" i="5" s="1"/>
  <c r="D1573" i="5"/>
  <c r="E1573" i="5" s="1"/>
  <c r="D1572" i="5"/>
  <c r="E1572" i="5" s="1"/>
  <c r="D1571" i="5"/>
  <c r="E1571" i="5" s="1"/>
  <c r="D1570" i="5"/>
  <c r="E1570" i="5" s="1"/>
  <c r="D1569" i="5"/>
  <c r="E1569" i="5" s="1"/>
  <c r="D1568" i="5"/>
  <c r="E1568" i="5" s="1"/>
  <c r="D1567" i="5"/>
  <c r="E1567" i="5" s="1"/>
  <c r="D1566" i="5"/>
  <c r="E1566" i="5" s="1"/>
  <c r="D1565" i="5"/>
  <c r="E1565" i="5" s="1"/>
  <c r="D1564" i="5"/>
  <c r="E1564" i="5" s="1"/>
  <c r="D1563" i="5"/>
  <c r="E1563" i="5" s="1"/>
  <c r="D1562" i="5"/>
  <c r="E1562" i="5" s="1"/>
  <c r="D1561" i="5"/>
  <c r="E1561" i="5" s="1"/>
  <c r="D1560" i="5"/>
  <c r="E1560" i="5" s="1"/>
  <c r="D1559" i="5"/>
  <c r="E1559" i="5" s="1"/>
  <c r="D1558" i="5"/>
  <c r="E1558" i="5" s="1"/>
  <c r="D1557" i="5"/>
  <c r="E1557" i="5" s="1"/>
  <c r="D1556" i="5"/>
  <c r="E1556" i="5" s="1"/>
  <c r="D1555" i="5"/>
  <c r="E1555" i="5" s="1"/>
  <c r="D1554" i="5"/>
  <c r="E1554" i="5" s="1"/>
  <c r="D1553" i="5"/>
  <c r="E1553" i="5" s="1"/>
  <c r="D1552" i="5"/>
  <c r="E1552" i="5" s="1"/>
  <c r="D1551" i="5"/>
  <c r="E1551" i="5" s="1"/>
  <c r="D1550" i="5"/>
  <c r="E1550" i="5" s="1"/>
  <c r="D1549" i="5"/>
  <c r="E1549" i="5" s="1"/>
  <c r="D1548" i="5"/>
  <c r="E1548" i="5" s="1"/>
  <c r="D1547" i="5"/>
  <c r="E1547" i="5" s="1"/>
  <c r="D1546" i="5"/>
  <c r="E1546" i="5" s="1"/>
  <c r="D1545" i="5"/>
  <c r="E1545" i="5" s="1"/>
  <c r="D1544" i="5"/>
  <c r="E1544" i="5" s="1"/>
  <c r="D1543" i="5"/>
  <c r="E1543" i="5" s="1"/>
  <c r="D1542" i="5"/>
  <c r="E1542" i="5" s="1"/>
  <c r="D1541" i="5"/>
  <c r="E1541" i="5" s="1"/>
  <c r="D1540" i="5"/>
  <c r="E1540" i="5" s="1"/>
  <c r="D1539" i="5"/>
  <c r="E1539" i="5" s="1"/>
  <c r="D1538" i="5"/>
  <c r="E1538" i="5" s="1"/>
  <c r="D1537" i="5"/>
  <c r="E1537" i="5" s="1"/>
  <c r="D1536" i="5"/>
  <c r="E1536" i="5" s="1"/>
  <c r="D1535" i="5"/>
  <c r="E1535" i="5" s="1"/>
  <c r="D1534" i="5"/>
  <c r="E1534" i="5" s="1"/>
  <c r="D1533" i="5"/>
  <c r="E1533" i="5" s="1"/>
  <c r="D1532" i="5"/>
  <c r="E1532" i="5" s="1"/>
  <c r="D1531" i="5"/>
  <c r="E1531" i="5" s="1"/>
  <c r="D1530" i="5"/>
  <c r="E1530" i="5" s="1"/>
  <c r="D1529" i="5"/>
  <c r="E1529" i="5" s="1"/>
  <c r="D1528" i="5"/>
  <c r="E1528" i="5" s="1"/>
  <c r="D1527" i="5"/>
  <c r="E1527" i="5" s="1"/>
  <c r="D1526" i="5"/>
  <c r="E1526" i="5" s="1"/>
  <c r="D1525" i="5"/>
  <c r="E1525" i="5" s="1"/>
  <c r="D1524" i="5"/>
  <c r="E1524" i="5" s="1"/>
  <c r="D1523" i="5"/>
  <c r="E1523" i="5" s="1"/>
  <c r="D1522" i="5"/>
  <c r="E1522" i="5" s="1"/>
  <c r="D1521" i="5"/>
  <c r="E1521" i="5" s="1"/>
  <c r="D1520" i="5"/>
  <c r="E1520" i="5" s="1"/>
  <c r="D1519" i="5"/>
  <c r="E1519" i="5" s="1"/>
  <c r="D1518" i="5"/>
  <c r="E1518" i="5" s="1"/>
  <c r="D1517" i="5"/>
  <c r="E1517" i="5" s="1"/>
  <c r="D1516" i="5"/>
  <c r="E1516" i="5" s="1"/>
  <c r="D1515" i="5"/>
  <c r="E1515" i="5" s="1"/>
  <c r="D1514" i="5"/>
  <c r="E1514" i="5" s="1"/>
  <c r="D1513" i="5"/>
  <c r="E1513" i="5" s="1"/>
  <c r="D1512" i="5"/>
  <c r="E1512" i="5" s="1"/>
  <c r="D1511" i="5"/>
  <c r="E1511" i="5" s="1"/>
  <c r="D1510" i="5"/>
  <c r="E1510" i="5" s="1"/>
  <c r="D1509" i="5"/>
  <c r="E1509" i="5" s="1"/>
  <c r="D1508" i="5"/>
  <c r="E1508" i="5" s="1"/>
  <c r="D1507" i="5"/>
  <c r="E1507" i="5" s="1"/>
  <c r="D1506" i="5"/>
  <c r="E1506" i="5" s="1"/>
  <c r="D1505" i="5"/>
  <c r="E1505" i="5" s="1"/>
  <c r="D1504" i="5"/>
  <c r="E1504" i="5" s="1"/>
  <c r="D1503" i="5"/>
  <c r="E1503" i="5" s="1"/>
  <c r="D1502" i="5"/>
  <c r="E1502" i="5" s="1"/>
  <c r="D1501" i="5"/>
  <c r="E1501" i="5" s="1"/>
  <c r="D1500" i="5"/>
  <c r="E1500" i="5" s="1"/>
  <c r="D1499" i="5"/>
  <c r="E1499" i="5" s="1"/>
  <c r="D1498" i="5"/>
  <c r="E1498" i="5" s="1"/>
  <c r="D1497" i="5"/>
  <c r="E1497" i="5" s="1"/>
  <c r="D1496" i="5"/>
  <c r="E1496" i="5" s="1"/>
  <c r="D1495" i="5"/>
  <c r="E1495" i="5" s="1"/>
  <c r="D1494" i="5"/>
  <c r="E1494" i="5" s="1"/>
  <c r="D1493" i="5"/>
  <c r="E1493" i="5" s="1"/>
  <c r="D1492" i="5"/>
  <c r="E1492" i="5" s="1"/>
  <c r="D1491" i="5"/>
  <c r="E1491" i="5" s="1"/>
  <c r="D1490" i="5"/>
  <c r="E1490" i="5" s="1"/>
  <c r="D1489" i="5"/>
  <c r="E1489" i="5" s="1"/>
  <c r="D1488" i="5"/>
  <c r="E1488" i="5" s="1"/>
  <c r="D1487" i="5"/>
  <c r="E1487" i="5" s="1"/>
  <c r="D1486" i="5"/>
  <c r="E1486" i="5" s="1"/>
  <c r="D1485" i="5"/>
  <c r="E1485" i="5" s="1"/>
  <c r="D1484" i="5"/>
  <c r="E1484" i="5" s="1"/>
  <c r="D1483" i="5"/>
  <c r="E1483" i="5" s="1"/>
  <c r="D1482" i="5"/>
  <c r="E1482" i="5" s="1"/>
  <c r="D1481" i="5"/>
  <c r="E1481" i="5" s="1"/>
  <c r="D1480" i="5"/>
  <c r="E1480" i="5" s="1"/>
  <c r="D1479" i="5"/>
  <c r="E1479" i="5" s="1"/>
  <c r="D1478" i="5"/>
  <c r="E1478" i="5" s="1"/>
  <c r="D1477" i="5"/>
  <c r="E1477" i="5" s="1"/>
  <c r="D1476" i="5"/>
  <c r="E1476" i="5" s="1"/>
  <c r="D1475" i="5"/>
  <c r="E1475" i="5" s="1"/>
  <c r="D1474" i="5"/>
  <c r="E1474" i="5" s="1"/>
  <c r="D1473" i="5"/>
  <c r="E1473" i="5" s="1"/>
  <c r="D1472" i="5"/>
  <c r="E1472" i="5" s="1"/>
  <c r="D1471" i="5"/>
  <c r="E1471" i="5" s="1"/>
  <c r="D1470" i="5"/>
  <c r="E1470" i="5" s="1"/>
  <c r="D1469" i="5"/>
  <c r="E1469" i="5" s="1"/>
  <c r="D1468" i="5"/>
  <c r="E1468" i="5" s="1"/>
  <c r="D1467" i="5"/>
  <c r="E1467" i="5" s="1"/>
  <c r="D1466" i="5"/>
  <c r="E1466" i="5" s="1"/>
  <c r="D1465" i="5"/>
  <c r="E1465" i="5" s="1"/>
  <c r="D1464" i="5"/>
  <c r="E1464" i="5" s="1"/>
  <c r="D1463" i="5"/>
  <c r="E1463" i="5" s="1"/>
  <c r="D1462" i="5"/>
  <c r="E1462" i="5" s="1"/>
  <c r="D1461" i="5"/>
  <c r="E1461" i="5" s="1"/>
  <c r="D1460" i="5"/>
  <c r="E1460" i="5" s="1"/>
  <c r="D1459" i="5"/>
  <c r="E1459" i="5" s="1"/>
  <c r="D1458" i="5"/>
  <c r="E1458" i="5" s="1"/>
  <c r="D1457" i="5"/>
  <c r="E1457" i="5" s="1"/>
  <c r="D1456" i="5"/>
  <c r="E1456" i="5" s="1"/>
  <c r="D1455" i="5"/>
  <c r="E1455" i="5" s="1"/>
  <c r="D1454" i="5"/>
  <c r="E1454" i="5" s="1"/>
  <c r="D1453" i="5"/>
  <c r="E1453" i="5" s="1"/>
  <c r="D1452" i="5"/>
  <c r="E1452" i="5" s="1"/>
  <c r="D1451" i="5"/>
  <c r="E1451" i="5" s="1"/>
  <c r="D1450" i="5"/>
  <c r="E1450" i="5" s="1"/>
  <c r="D1449" i="5"/>
  <c r="E1449" i="5" s="1"/>
  <c r="D1448" i="5"/>
  <c r="E1448" i="5" s="1"/>
  <c r="D1447" i="5"/>
  <c r="E1447" i="5" s="1"/>
  <c r="D1446" i="5"/>
  <c r="E1446" i="5" s="1"/>
  <c r="D1445" i="5"/>
  <c r="E1445" i="5" s="1"/>
  <c r="D1444" i="5"/>
  <c r="E1444" i="5" s="1"/>
  <c r="D1443" i="5"/>
  <c r="E1443" i="5" s="1"/>
  <c r="D1442" i="5"/>
  <c r="E1442" i="5" s="1"/>
  <c r="D1441" i="5"/>
  <c r="E1441" i="5" s="1"/>
  <c r="D1440" i="5"/>
  <c r="E1440" i="5" s="1"/>
  <c r="D1439" i="5"/>
  <c r="E1439" i="5" s="1"/>
  <c r="D1438" i="5"/>
  <c r="E1438" i="5" s="1"/>
  <c r="D1437" i="5"/>
  <c r="E1437" i="5" s="1"/>
  <c r="D1436" i="5"/>
  <c r="E1436" i="5" s="1"/>
  <c r="D1435" i="5"/>
  <c r="E1435" i="5" s="1"/>
  <c r="D1434" i="5"/>
  <c r="E1434" i="5" s="1"/>
  <c r="D1433" i="5"/>
  <c r="E1433" i="5" s="1"/>
  <c r="D1432" i="5"/>
  <c r="E1432" i="5" s="1"/>
  <c r="D1431" i="5"/>
  <c r="E1431" i="5" s="1"/>
  <c r="D1430" i="5"/>
  <c r="E1430" i="5" s="1"/>
  <c r="D1429" i="5"/>
  <c r="E1429" i="5" s="1"/>
  <c r="D1428" i="5"/>
  <c r="E1428" i="5" s="1"/>
  <c r="D1427" i="5"/>
  <c r="E1427" i="5" s="1"/>
  <c r="D1426" i="5"/>
  <c r="E1426" i="5" s="1"/>
  <c r="D1425" i="5"/>
  <c r="E1425" i="5" s="1"/>
  <c r="D1424" i="5"/>
  <c r="E1424" i="5" s="1"/>
  <c r="D1423" i="5"/>
  <c r="E1423" i="5" s="1"/>
  <c r="D1422" i="5"/>
  <c r="E1422" i="5" s="1"/>
  <c r="D1421" i="5"/>
  <c r="E1421" i="5" s="1"/>
  <c r="D1420" i="5"/>
  <c r="E1420" i="5" s="1"/>
  <c r="D1419" i="5"/>
  <c r="E1419" i="5" s="1"/>
  <c r="D1418" i="5"/>
  <c r="E1418" i="5" s="1"/>
  <c r="D1417" i="5"/>
  <c r="E1417" i="5" s="1"/>
  <c r="D1416" i="5"/>
  <c r="E1416" i="5" s="1"/>
  <c r="D1415" i="5"/>
  <c r="E1415" i="5" s="1"/>
  <c r="D1414" i="5"/>
  <c r="E1414" i="5" s="1"/>
  <c r="D1413" i="5"/>
  <c r="E1413" i="5" s="1"/>
  <c r="D1412" i="5"/>
  <c r="E1412" i="5" s="1"/>
  <c r="D1411" i="5"/>
  <c r="E1411" i="5" s="1"/>
  <c r="D1410" i="5"/>
  <c r="E1410" i="5" s="1"/>
  <c r="D1409" i="5"/>
  <c r="E1409" i="5" s="1"/>
  <c r="D1408" i="5"/>
  <c r="E1408" i="5" s="1"/>
  <c r="D1407" i="5"/>
  <c r="E1407" i="5" s="1"/>
  <c r="D1406" i="5"/>
  <c r="E1406" i="5" s="1"/>
  <c r="D1405" i="5"/>
  <c r="E1405" i="5" s="1"/>
  <c r="D1404" i="5"/>
  <c r="E1404" i="5" s="1"/>
  <c r="D1403" i="5"/>
  <c r="E1403" i="5" s="1"/>
  <c r="D1402" i="5"/>
  <c r="E1402" i="5" s="1"/>
  <c r="D1401" i="5"/>
  <c r="E1401" i="5" s="1"/>
  <c r="D1400" i="5"/>
  <c r="E1400" i="5" s="1"/>
  <c r="D1399" i="5"/>
  <c r="E1399" i="5" s="1"/>
  <c r="D1398" i="5"/>
  <c r="E1398" i="5" s="1"/>
  <c r="D1397" i="5"/>
  <c r="E1397" i="5" s="1"/>
  <c r="D1396" i="5"/>
  <c r="E1396" i="5" s="1"/>
  <c r="D1395" i="5"/>
  <c r="E1395" i="5" s="1"/>
  <c r="D1394" i="5"/>
  <c r="E1394" i="5" s="1"/>
  <c r="D1393" i="5"/>
  <c r="E1393" i="5" s="1"/>
  <c r="D1392" i="5"/>
  <c r="E1392" i="5" s="1"/>
  <c r="D1391" i="5"/>
  <c r="E1391" i="5" s="1"/>
  <c r="D1390" i="5"/>
  <c r="E1390" i="5" s="1"/>
  <c r="D1389" i="5"/>
  <c r="E1389" i="5" s="1"/>
  <c r="D1388" i="5"/>
  <c r="E1388" i="5" s="1"/>
  <c r="D1387" i="5"/>
  <c r="E1387" i="5" s="1"/>
  <c r="D1386" i="5"/>
  <c r="E1386" i="5" s="1"/>
  <c r="D1385" i="5"/>
  <c r="E1385" i="5" s="1"/>
  <c r="D1384" i="5"/>
  <c r="E1384" i="5" s="1"/>
  <c r="D1383" i="5"/>
  <c r="E1383" i="5" s="1"/>
  <c r="D1382" i="5"/>
  <c r="E1382" i="5" s="1"/>
  <c r="D1381" i="5"/>
  <c r="E1381" i="5" s="1"/>
  <c r="D1380" i="5"/>
  <c r="E1380" i="5" s="1"/>
  <c r="D1379" i="5"/>
  <c r="E1379" i="5" s="1"/>
  <c r="D1378" i="5"/>
  <c r="E1378" i="5" s="1"/>
  <c r="D1377" i="5"/>
  <c r="E1377" i="5" s="1"/>
  <c r="D1376" i="5"/>
  <c r="E1376" i="5" s="1"/>
  <c r="D1375" i="5"/>
  <c r="E1375" i="5" s="1"/>
  <c r="D1374" i="5"/>
  <c r="E1374" i="5" s="1"/>
  <c r="D1373" i="5"/>
  <c r="E1373" i="5" s="1"/>
  <c r="D1372" i="5"/>
  <c r="E1372" i="5" s="1"/>
  <c r="D1371" i="5"/>
  <c r="E1371" i="5" s="1"/>
  <c r="D1370" i="5"/>
  <c r="E1370" i="5" s="1"/>
  <c r="D1369" i="5"/>
  <c r="E1369" i="5" s="1"/>
  <c r="D1368" i="5"/>
  <c r="E1368" i="5" s="1"/>
  <c r="D1367" i="5"/>
  <c r="E1367" i="5" s="1"/>
  <c r="D1366" i="5"/>
  <c r="E1366" i="5" s="1"/>
  <c r="D1365" i="5"/>
  <c r="E1365" i="5" s="1"/>
  <c r="D1364" i="5"/>
  <c r="E1364" i="5" s="1"/>
  <c r="D1363" i="5"/>
  <c r="E1363" i="5" s="1"/>
  <c r="D1362" i="5"/>
  <c r="E1362" i="5" s="1"/>
  <c r="D1361" i="5"/>
  <c r="E1361" i="5" s="1"/>
  <c r="D1360" i="5"/>
  <c r="E1360" i="5" s="1"/>
  <c r="D1359" i="5"/>
  <c r="E1359" i="5" s="1"/>
  <c r="D1358" i="5"/>
  <c r="E1358" i="5" s="1"/>
  <c r="D1357" i="5"/>
  <c r="E1357" i="5" s="1"/>
  <c r="D1356" i="5"/>
  <c r="E1356" i="5" s="1"/>
  <c r="D1355" i="5"/>
  <c r="E1355" i="5" s="1"/>
  <c r="D1354" i="5"/>
  <c r="E1354" i="5" s="1"/>
  <c r="D1353" i="5"/>
  <c r="E1353" i="5" s="1"/>
  <c r="D1352" i="5"/>
  <c r="E1352" i="5" s="1"/>
  <c r="D1351" i="5"/>
  <c r="E1351" i="5" s="1"/>
  <c r="D1350" i="5"/>
  <c r="E1350" i="5" s="1"/>
  <c r="D1349" i="5"/>
  <c r="E1349" i="5" s="1"/>
  <c r="D1348" i="5"/>
  <c r="E1348" i="5" s="1"/>
  <c r="D1347" i="5"/>
  <c r="E1347" i="5" s="1"/>
  <c r="D1346" i="5"/>
  <c r="E1346" i="5" s="1"/>
  <c r="D1345" i="5"/>
  <c r="E1345" i="5" s="1"/>
  <c r="D1344" i="5"/>
  <c r="E1344" i="5" s="1"/>
  <c r="D1343" i="5"/>
  <c r="E1343" i="5" s="1"/>
  <c r="D1342" i="5"/>
  <c r="E1342" i="5" s="1"/>
  <c r="D1341" i="5"/>
  <c r="E1341" i="5" s="1"/>
  <c r="D1340" i="5"/>
  <c r="E1340" i="5" s="1"/>
  <c r="D1339" i="5"/>
  <c r="E1339" i="5" s="1"/>
  <c r="D1338" i="5"/>
  <c r="E1338" i="5" s="1"/>
  <c r="D1337" i="5"/>
  <c r="E1337" i="5" s="1"/>
  <c r="D1336" i="5"/>
  <c r="E1336" i="5" s="1"/>
  <c r="D1335" i="5"/>
  <c r="E1335" i="5" s="1"/>
  <c r="D1334" i="5"/>
  <c r="E1334" i="5" s="1"/>
  <c r="D1333" i="5"/>
  <c r="E1333" i="5" s="1"/>
  <c r="D1332" i="5"/>
  <c r="E1332" i="5" s="1"/>
  <c r="D1331" i="5"/>
  <c r="E1331" i="5" s="1"/>
  <c r="D1330" i="5"/>
  <c r="E1330" i="5" s="1"/>
  <c r="D1329" i="5"/>
  <c r="E1329" i="5" s="1"/>
  <c r="D1328" i="5"/>
  <c r="E1328" i="5" s="1"/>
  <c r="D1327" i="5"/>
  <c r="E1327" i="5" s="1"/>
  <c r="D1326" i="5"/>
  <c r="E1326" i="5" s="1"/>
  <c r="D1325" i="5"/>
  <c r="E1325" i="5" s="1"/>
  <c r="D1324" i="5"/>
  <c r="E1324" i="5" s="1"/>
  <c r="D1323" i="5"/>
  <c r="E1323" i="5" s="1"/>
  <c r="D1322" i="5"/>
  <c r="E1322" i="5" s="1"/>
  <c r="D1321" i="5"/>
  <c r="E1321" i="5" s="1"/>
  <c r="D1320" i="5"/>
  <c r="E1320" i="5" s="1"/>
  <c r="D1319" i="5"/>
  <c r="E1319" i="5" s="1"/>
  <c r="D1318" i="5"/>
  <c r="E1318" i="5" s="1"/>
  <c r="D1317" i="5"/>
  <c r="E1317" i="5" s="1"/>
  <c r="D1316" i="5"/>
  <c r="E1316" i="5" s="1"/>
  <c r="D1315" i="5"/>
  <c r="E1315" i="5" s="1"/>
  <c r="D1314" i="5"/>
  <c r="E1314" i="5" s="1"/>
  <c r="D1313" i="5"/>
  <c r="E1313" i="5" s="1"/>
  <c r="D1312" i="5"/>
  <c r="E1312" i="5" s="1"/>
  <c r="D1311" i="5"/>
  <c r="E1311" i="5" s="1"/>
  <c r="D1310" i="5"/>
  <c r="E1310" i="5" s="1"/>
  <c r="D1309" i="5"/>
  <c r="E1309" i="5" s="1"/>
  <c r="D1308" i="5"/>
  <c r="E1308" i="5" s="1"/>
  <c r="D1307" i="5"/>
  <c r="E1307" i="5" s="1"/>
  <c r="D1306" i="5"/>
  <c r="E1306" i="5" s="1"/>
  <c r="D1305" i="5"/>
  <c r="E1305" i="5" s="1"/>
  <c r="D1304" i="5"/>
  <c r="E1304" i="5" s="1"/>
  <c r="D1303" i="5"/>
  <c r="E1303" i="5" s="1"/>
  <c r="D1302" i="5"/>
  <c r="E1302" i="5" s="1"/>
  <c r="D1301" i="5"/>
  <c r="E1301" i="5" s="1"/>
  <c r="D1300" i="5"/>
  <c r="E1300" i="5" s="1"/>
  <c r="D1299" i="5"/>
  <c r="E1299" i="5" s="1"/>
  <c r="D1298" i="5"/>
  <c r="E1298" i="5" s="1"/>
  <c r="D1297" i="5"/>
  <c r="E1297" i="5" s="1"/>
  <c r="D1296" i="5"/>
  <c r="E1296" i="5" s="1"/>
  <c r="D1295" i="5"/>
  <c r="E1295" i="5" s="1"/>
  <c r="D1294" i="5"/>
  <c r="E1294" i="5" s="1"/>
  <c r="D1293" i="5"/>
  <c r="E1293" i="5" s="1"/>
  <c r="D1292" i="5"/>
  <c r="E1292" i="5" s="1"/>
  <c r="D1291" i="5"/>
  <c r="E1291" i="5" s="1"/>
  <c r="D1290" i="5"/>
  <c r="E1290" i="5" s="1"/>
  <c r="D1289" i="5"/>
  <c r="E1289" i="5" s="1"/>
  <c r="D1288" i="5"/>
  <c r="E1288" i="5" s="1"/>
  <c r="D1287" i="5"/>
  <c r="E1287" i="5" s="1"/>
  <c r="D1286" i="5"/>
  <c r="E1286" i="5" s="1"/>
  <c r="D1285" i="5"/>
  <c r="E1285" i="5" s="1"/>
  <c r="D1284" i="5"/>
  <c r="E1284" i="5" s="1"/>
  <c r="D1283" i="5"/>
  <c r="E1283" i="5" s="1"/>
  <c r="D1282" i="5"/>
  <c r="E1282" i="5" s="1"/>
  <c r="D1281" i="5"/>
  <c r="E1281" i="5" s="1"/>
  <c r="D1280" i="5"/>
  <c r="E1280" i="5" s="1"/>
  <c r="D1279" i="5"/>
  <c r="E1279" i="5" s="1"/>
  <c r="D1278" i="5"/>
  <c r="E1278" i="5" s="1"/>
  <c r="D1277" i="5"/>
  <c r="E1277" i="5" s="1"/>
  <c r="D1276" i="5"/>
  <c r="E1276" i="5" s="1"/>
  <c r="D1275" i="5"/>
  <c r="E1275" i="5" s="1"/>
  <c r="D1274" i="5"/>
  <c r="E1274" i="5" s="1"/>
  <c r="D1273" i="5"/>
  <c r="E1273" i="5" s="1"/>
  <c r="D1272" i="5"/>
  <c r="E1272" i="5" s="1"/>
  <c r="D1271" i="5"/>
  <c r="E1271" i="5" s="1"/>
  <c r="D1270" i="5"/>
  <c r="E1270" i="5" s="1"/>
  <c r="D1269" i="5"/>
  <c r="E1269" i="5" s="1"/>
  <c r="D1268" i="5"/>
  <c r="E1268" i="5" s="1"/>
  <c r="D1267" i="5"/>
  <c r="E1267" i="5" s="1"/>
  <c r="D1266" i="5"/>
  <c r="E1266" i="5" s="1"/>
  <c r="D1265" i="5"/>
  <c r="E1265" i="5" s="1"/>
  <c r="D1264" i="5"/>
  <c r="E1264" i="5" s="1"/>
  <c r="D1263" i="5"/>
  <c r="E1263" i="5" s="1"/>
  <c r="D1262" i="5"/>
  <c r="E1262" i="5" s="1"/>
  <c r="D1261" i="5"/>
  <c r="E1261" i="5" s="1"/>
  <c r="D1260" i="5"/>
  <c r="E1260" i="5" s="1"/>
  <c r="D1259" i="5"/>
  <c r="E1259" i="5" s="1"/>
  <c r="D1258" i="5"/>
  <c r="E1258" i="5" s="1"/>
  <c r="D1257" i="5"/>
  <c r="E1257" i="5" s="1"/>
  <c r="D1256" i="5"/>
  <c r="E1256" i="5" s="1"/>
  <c r="D1255" i="5"/>
  <c r="E1255" i="5" s="1"/>
  <c r="D1254" i="5"/>
  <c r="E1254" i="5" s="1"/>
  <c r="D1253" i="5"/>
  <c r="E1253" i="5" s="1"/>
  <c r="D1252" i="5"/>
  <c r="E1252" i="5" s="1"/>
  <c r="D1251" i="5"/>
  <c r="E1251" i="5" s="1"/>
  <c r="D1250" i="5"/>
  <c r="E1250" i="5" s="1"/>
  <c r="D1249" i="5"/>
  <c r="E1249" i="5" s="1"/>
  <c r="D1248" i="5"/>
  <c r="E1248" i="5" s="1"/>
  <c r="D1247" i="5"/>
  <c r="E1247" i="5" s="1"/>
  <c r="D1246" i="5"/>
  <c r="E1246" i="5" s="1"/>
  <c r="D1245" i="5"/>
  <c r="E1245" i="5" s="1"/>
  <c r="D1244" i="5"/>
  <c r="E1244" i="5" s="1"/>
  <c r="D1243" i="5"/>
  <c r="E1243" i="5" s="1"/>
  <c r="D1242" i="5"/>
  <c r="E1242" i="5" s="1"/>
  <c r="D1241" i="5"/>
  <c r="E1241" i="5" s="1"/>
  <c r="D1240" i="5"/>
  <c r="E1240" i="5" s="1"/>
  <c r="D1239" i="5"/>
  <c r="E1239" i="5" s="1"/>
  <c r="D1238" i="5"/>
  <c r="E1238" i="5" s="1"/>
  <c r="D1237" i="5"/>
  <c r="E1237" i="5" s="1"/>
  <c r="D1236" i="5"/>
  <c r="E1236" i="5" s="1"/>
  <c r="D1235" i="5"/>
  <c r="E1235" i="5" s="1"/>
  <c r="D1234" i="5"/>
  <c r="E1234" i="5" s="1"/>
  <c r="D1233" i="5"/>
  <c r="E1233" i="5" s="1"/>
  <c r="D1232" i="5"/>
  <c r="E1232" i="5" s="1"/>
  <c r="D1231" i="5"/>
  <c r="E1231" i="5" s="1"/>
  <c r="D1230" i="5"/>
  <c r="E1230" i="5" s="1"/>
  <c r="D1229" i="5"/>
  <c r="E1229" i="5" s="1"/>
  <c r="D1228" i="5"/>
  <c r="E1228" i="5" s="1"/>
  <c r="D1227" i="5"/>
  <c r="E1227" i="5" s="1"/>
  <c r="D1226" i="5"/>
  <c r="E1226" i="5" s="1"/>
  <c r="D1225" i="5"/>
  <c r="E1225" i="5" s="1"/>
  <c r="D1224" i="5"/>
  <c r="E1224" i="5" s="1"/>
  <c r="D1223" i="5"/>
  <c r="E1223" i="5" s="1"/>
  <c r="D1222" i="5"/>
  <c r="E1222" i="5" s="1"/>
  <c r="D1221" i="5"/>
  <c r="E1221" i="5" s="1"/>
  <c r="D1220" i="5"/>
  <c r="E1220" i="5" s="1"/>
  <c r="D1219" i="5"/>
  <c r="E1219" i="5" s="1"/>
  <c r="D1218" i="5"/>
  <c r="E1218" i="5" s="1"/>
  <c r="D1217" i="5"/>
  <c r="E1217" i="5" s="1"/>
  <c r="D1216" i="5"/>
  <c r="E1216" i="5" s="1"/>
  <c r="D1215" i="5"/>
  <c r="E1215" i="5" s="1"/>
  <c r="D1214" i="5"/>
  <c r="E1214" i="5" s="1"/>
  <c r="D1213" i="5"/>
  <c r="E1213" i="5" s="1"/>
  <c r="D1212" i="5"/>
  <c r="E1212" i="5" s="1"/>
  <c r="D1211" i="5"/>
  <c r="E1211" i="5" s="1"/>
  <c r="D1210" i="5"/>
  <c r="E1210" i="5" s="1"/>
  <c r="D1209" i="5"/>
  <c r="E1209" i="5" s="1"/>
  <c r="D1208" i="5"/>
  <c r="E1208" i="5" s="1"/>
  <c r="D1207" i="5"/>
  <c r="E1207" i="5" s="1"/>
  <c r="D1206" i="5"/>
  <c r="E1206" i="5" s="1"/>
  <c r="D1205" i="5"/>
  <c r="E1205" i="5" s="1"/>
  <c r="D1204" i="5"/>
  <c r="E1204" i="5" s="1"/>
  <c r="D1203" i="5"/>
  <c r="E1203" i="5" s="1"/>
  <c r="D1202" i="5"/>
  <c r="E1202" i="5" s="1"/>
  <c r="D1201" i="5"/>
  <c r="E1201" i="5" s="1"/>
  <c r="D1200" i="5"/>
  <c r="E1200" i="5" s="1"/>
  <c r="D1199" i="5"/>
  <c r="E1199" i="5" s="1"/>
  <c r="D1198" i="5"/>
  <c r="E1198" i="5" s="1"/>
  <c r="D1197" i="5"/>
  <c r="E1197" i="5" s="1"/>
  <c r="D1196" i="5"/>
  <c r="E1196" i="5" s="1"/>
  <c r="D1195" i="5"/>
  <c r="E1195" i="5" s="1"/>
  <c r="D1194" i="5"/>
  <c r="E1194" i="5" s="1"/>
  <c r="D1193" i="5"/>
  <c r="E1193" i="5" s="1"/>
  <c r="D1192" i="5"/>
  <c r="E1192" i="5" s="1"/>
  <c r="D1191" i="5"/>
  <c r="E1191" i="5" s="1"/>
  <c r="D1190" i="5"/>
  <c r="E1190" i="5" s="1"/>
  <c r="D1189" i="5"/>
  <c r="E1189" i="5" s="1"/>
  <c r="D1188" i="5"/>
  <c r="E1188" i="5" s="1"/>
  <c r="D1187" i="5"/>
  <c r="E1187" i="5" s="1"/>
  <c r="D1186" i="5"/>
  <c r="E1186" i="5" s="1"/>
  <c r="D1185" i="5"/>
  <c r="E1185" i="5" s="1"/>
  <c r="D1184" i="5"/>
  <c r="E1184" i="5" s="1"/>
  <c r="D1183" i="5"/>
  <c r="E1183" i="5" s="1"/>
  <c r="D1182" i="5"/>
  <c r="E1182" i="5" s="1"/>
  <c r="D1181" i="5"/>
  <c r="E1181" i="5" s="1"/>
  <c r="D1180" i="5"/>
  <c r="E1180" i="5" s="1"/>
  <c r="D1179" i="5"/>
  <c r="E1179" i="5" s="1"/>
  <c r="D1178" i="5"/>
  <c r="E1178" i="5" s="1"/>
  <c r="D1177" i="5"/>
  <c r="E1177" i="5" s="1"/>
  <c r="D1176" i="5"/>
  <c r="E1176" i="5" s="1"/>
  <c r="D1175" i="5"/>
  <c r="E1175" i="5" s="1"/>
  <c r="D1174" i="5"/>
  <c r="E1174" i="5" s="1"/>
  <c r="D1173" i="5"/>
  <c r="E1173" i="5" s="1"/>
  <c r="D1172" i="5"/>
  <c r="E1172" i="5" s="1"/>
  <c r="D1171" i="5"/>
  <c r="E1171" i="5" s="1"/>
  <c r="D1170" i="5"/>
  <c r="E1170" i="5" s="1"/>
  <c r="D1169" i="5"/>
  <c r="E1169" i="5" s="1"/>
  <c r="D1168" i="5"/>
  <c r="E1168" i="5" s="1"/>
  <c r="D1167" i="5"/>
  <c r="E1167" i="5" s="1"/>
  <c r="D1166" i="5"/>
  <c r="E1166" i="5" s="1"/>
  <c r="D1165" i="5"/>
  <c r="E1165" i="5" s="1"/>
  <c r="D1164" i="5"/>
  <c r="E1164" i="5" s="1"/>
  <c r="D1163" i="5"/>
  <c r="E1163" i="5" s="1"/>
  <c r="D1162" i="5"/>
  <c r="E1162" i="5" s="1"/>
  <c r="D1161" i="5"/>
  <c r="E1161" i="5" s="1"/>
  <c r="D1160" i="5"/>
  <c r="E1160" i="5" s="1"/>
  <c r="D1159" i="5"/>
  <c r="E1159" i="5" s="1"/>
  <c r="D1158" i="5"/>
  <c r="E1158" i="5" s="1"/>
  <c r="D1157" i="5"/>
  <c r="E1157" i="5" s="1"/>
  <c r="D1156" i="5"/>
  <c r="E1156" i="5" s="1"/>
  <c r="D1155" i="5"/>
  <c r="E1155" i="5" s="1"/>
  <c r="D1154" i="5"/>
  <c r="E1154" i="5" s="1"/>
  <c r="D1153" i="5"/>
  <c r="E1153" i="5" s="1"/>
  <c r="D1152" i="5"/>
  <c r="E1152" i="5" s="1"/>
  <c r="D1151" i="5"/>
  <c r="E1151" i="5" s="1"/>
  <c r="D1150" i="5"/>
  <c r="E1150" i="5" s="1"/>
  <c r="D1149" i="5"/>
  <c r="E1149" i="5" s="1"/>
  <c r="D1148" i="5"/>
  <c r="E1148" i="5" s="1"/>
  <c r="D1147" i="5"/>
  <c r="E1147" i="5" s="1"/>
  <c r="D1146" i="5"/>
  <c r="E1146" i="5" s="1"/>
  <c r="D1145" i="5"/>
  <c r="E1145" i="5" s="1"/>
  <c r="D1144" i="5"/>
  <c r="E1144" i="5" s="1"/>
  <c r="D1143" i="5"/>
  <c r="E1143" i="5" s="1"/>
  <c r="D1142" i="5"/>
  <c r="E1142" i="5" s="1"/>
  <c r="D1141" i="5"/>
  <c r="E1141" i="5" s="1"/>
  <c r="D1140" i="5"/>
  <c r="E1140" i="5" s="1"/>
  <c r="D1139" i="5"/>
  <c r="E1139" i="5" s="1"/>
  <c r="D1138" i="5"/>
  <c r="E1138" i="5" s="1"/>
  <c r="D1137" i="5"/>
  <c r="E1137" i="5" s="1"/>
  <c r="D1136" i="5"/>
  <c r="E1136" i="5" s="1"/>
  <c r="D1135" i="5"/>
  <c r="E1135" i="5" s="1"/>
  <c r="D1134" i="5"/>
  <c r="E1134" i="5" s="1"/>
  <c r="D1133" i="5"/>
  <c r="E1133" i="5" s="1"/>
  <c r="D1132" i="5"/>
  <c r="E1132" i="5" s="1"/>
  <c r="D1131" i="5"/>
  <c r="E1131" i="5" s="1"/>
  <c r="D1130" i="5"/>
  <c r="E1130" i="5" s="1"/>
  <c r="D1129" i="5"/>
  <c r="E1129" i="5" s="1"/>
  <c r="D1128" i="5"/>
  <c r="E1128" i="5" s="1"/>
  <c r="D1127" i="5"/>
  <c r="E1127" i="5" s="1"/>
  <c r="D1126" i="5"/>
  <c r="E1126" i="5" s="1"/>
  <c r="D1125" i="5"/>
  <c r="E1125" i="5" s="1"/>
  <c r="D1124" i="5"/>
  <c r="E1124" i="5" s="1"/>
  <c r="D1123" i="5"/>
  <c r="E1123" i="5" s="1"/>
  <c r="D1122" i="5"/>
  <c r="E1122" i="5" s="1"/>
  <c r="D1121" i="5"/>
  <c r="E1121" i="5" s="1"/>
  <c r="D1120" i="5"/>
  <c r="E1120" i="5" s="1"/>
  <c r="D1119" i="5"/>
  <c r="E1119" i="5" s="1"/>
  <c r="D1118" i="5"/>
  <c r="E1118" i="5" s="1"/>
  <c r="D1117" i="5"/>
  <c r="E1117" i="5" s="1"/>
  <c r="D1116" i="5"/>
  <c r="E1116" i="5" s="1"/>
  <c r="D1115" i="5"/>
  <c r="E1115" i="5" s="1"/>
  <c r="D1114" i="5"/>
  <c r="E1114" i="5" s="1"/>
  <c r="D1113" i="5"/>
  <c r="E1113" i="5" s="1"/>
  <c r="D1112" i="5"/>
  <c r="E1112" i="5" s="1"/>
  <c r="D1111" i="5"/>
  <c r="E1111" i="5" s="1"/>
  <c r="D1110" i="5"/>
  <c r="E1110" i="5" s="1"/>
  <c r="D1109" i="5"/>
  <c r="E1109" i="5" s="1"/>
  <c r="D1108" i="5"/>
  <c r="E1108" i="5" s="1"/>
  <c r="D1107" i="5"/>
  <c r="E1107" i="5" s="1"/>
  <c r="D1106" i="5"/>
  <c r="E1106" i="5" s="1"/>
  <c r="D1105" i="5"/>
  <c r="E1105" i="5" s="1"/>
  <c r="D1104" i="5"/>
  <c r="E1104" i="5" s="1"/>
  <c r="D1103" i="5"/>
  <c r="E1103" i="5" s="1"/>
  <c r="D1102" i="5"/>
  <c r="E1102" i="5" s="1"/>
  <c r="D1101" i="5"/>
  <c r="E1101" i="5" s="1"/>
  <c r="D1100" i="5"/>
  <c r="E1100" i="5" s="1"/>
  <c r="D1099" i="5"/>
  <c r="E1099" i="5" s="1"/>
  <c r="D1098" i="5"/>
  <c r="E1098" i="5" s="1"/>
  <c r="D1097" i="5"/>
  <c r="E1097" i="5" s="1"/>
  <c r="D1096" i="5"/>
  <c r="E1096" i="5" s="1"/>
  <c r="D1095" i="5"/>
  <c r="E1095" i="5" s="1"/>
  <c r="D1094" i="5"/>
  <c r="E1094" i="5" s="1"/>
  <c r="D1093" i="5"/>
  <c r="E1093" i="5" s="1"/>
  <c r="D1092" i="5"/>
  <c r="E1092" i="5" s="1"/>
  <c r="D1091" i="5"/>
  <c r="E1091" i="5" s="1"/>
  <c r="D1090" i="5"/>
  <c r="E1090" i="5" s="1"/>
  <c r="D1089" i="5"/>
  <c r="E1089" i="5" s="1"/>
  <c r="D1088" i="5"/>
  <c r="E1088" i="5" s="1"/>
  <c r="D1087" i="5"/>
  <c r="E1087" i="5" s="1"/>
  <c r="D1086" i="5"/>
  <c r="E1086" i="5" s="1"/>
  <c r="D1085" i="5"/>
  <c r="E1085" i="5" s="1"/>
  <c r="D1084" i="5"/>
  <c r="E1084" i="5" s="1"/>
  <c r="D1083" i="5"/>
  <c r="E1083" i="5" s="1"/>
  <c r="D1082" i="5"/>
  <c r="E1082" i="5" s="1"/>
  <c r="D1081" i="5"/>
  <c r="E1081" i="5" s="1"/>
  <c r="D1080" i="5"/>
  <c r="E1080" i="5" s="1"/>
  <c r="D1079" i="5"/>
  <c r="E1079" i="5" s="1"/>
  <c r="D1078" i="5"/>
  <c r="E1078" i="5" s="1"/>
  <c r="D1077" i="5"/>
  <c r="E1077" i="5" s="1"/>
  <c r="D1076" i="5"/>
  <c r="E1076" i="5" s="1"/>
  <c r="D1075" i="5"/>
  <c r="E1075" i="5" s="1"/>
  <c r="D1074" i="5"/>
  <c r="E1074" i="5" s="1"/>
  <c r="D1073" i="5"/>
  <c r="E1073" i="5" s="1"/>
  <c r="D1072" i="5"/>
  <c r="E1072" i="5" s="1"/>
  <c r="D1071" i="5"/>
  <c r="E1071" i="5" s="1"/>
  <c r="D1070" i="5"/>
  <c r="E1070" i="5" s="1"/>
  <c r="D1069" i="5"/>
  <c r="E1069" i="5" s="1"/>
  <c r="D1068" i="5"/>
  <c r="E1068" i="5" s="1"/>
  <c r="D1067" i="5"/>
  <c r="E1067" i="5" s="1"/>
  <c r="D1066" i="5"/>
  <c r="E1066" i="5" s="1"/>
  <c r="D1065" i="5"/>
  <c r="E1065" i="5" s="1"/>
  <c r="D1064" i="5"/>
  <c r="E1064" i="5" s="1"/>
  <c r="D1063" i="5"/>
  <c r="E1063" i="5" s="1"/>
  <c r="D1062" i="5"/>
  <c r="E1062" i="5" s="1"/>
  <c r="D1061" i="5"/>
  <c r="E1061" i="5" s="1"/>
  <c r="D1060" i="5"/>
  <c r="E1060" i="5" s="1"/>
  <c r="D1059" i="5"/>
  <c r="E1059" i="5" s="1"/>
  <c r="D1058" i="5"/>
  <c r="E1058" i="5" s="1"/>
  <c r="D1057" i="5"/>
  <c r="E1057" i="5" s="1"/>
  <c r="D1056" i="5"/>
  <c r="E1056" i="5" s="1"/>
  <c r="D1055" i="5"/>
  <c r="E1055" i="5" s="1"/>
  <c r="D1054" i="5"/>
  <c r="E1054" i="5" s="1"/>
  <c r="D1053" i="5"/>
  <c r="E1053" i="5" s="1"/>
  <c r="D1052" i="5"/>
  <c r="E1052" i="5" s="1"/>
  <c r="D1051" i="5"/>
  <c r="E1051" i="5" s="1"/>
  <c r="D1050" i="5"/>
  <c r="E1050" i="5" s="1"/>
  <c r="D1049" i="5"/>
  <c r="E1049" i="5" s="1"/>
  <c r="D1048" i="5"/>
  <c r="E1048" i="5" s="1"/>
  <c r="D1047" i="5"/>
  <c r="E1047" i="5" s="1"/>
  <c r="D1046" i="5"/>
  <c r="E1046" i="5" s="1"/>
  <c r="D1045" i="5"/>
  <c r="E1045" i="5" s="1"/>
  <c r="D1044" i="5"/>
  <c r="E1044" i="5" s="1"/>
  <c r="D1043" i="5"/>
  <c r="E1043" i="5" s="1"/>
  <c r="D1042" i="5"/>
  <c r="E1042" i="5" s="1"/>
  <c r="D1041" i="5"/>
  <c r="E1041" i="5" s="1"/>
  <c r="D1040" i="5"/>
  <c r="E1040" i="5" s="1"/>
  <c r="D1039" i="5"/>
  <c r="E1039" i="5" s="1"/>
  <c r="D1038" i="5"/>
  <c r="E1038" i="5" s="1"/>
  <c r="D1037" i="5"/>
  <c r="E1037" i="5" s="1"/>
  <c r="D1036" i="5"/>
  <c r="E1036" i="5" s="1"/>
  <c r="D1035" i="5"/>
  <c r="E1035" i="5" s="1"/>
  <c r="D1034" i="5"/>
  <c r="E1034" i="5" s="1"/>
  <c r="D1033" i="5"/>
  <c r="E1033" i="5" s="1"/>
  <c r="D1032" i="5"/>
  <c r="E1032" i="5" s="1"/>
  <c r="D1031" i="5"/>
  <c r="E1031" i="5" s="1"/>
  <c r="D1030" i="5"/>
  <c r="E1030" i="5" s="1"/>
  <c r="D1029" i="5"/>
  <c r="E1029" i="5" s="1"/>
  <c r="D1028" i="5"/>
  <c r="E1028" i="5" s="1"/>
  <c r="D1027" i="5"/>
  <c r="E1027" i="5" s="1"/>
  <c r="D1026" i="5"/>
  <c r="E1026" i="5" s="1"/>
  <c r="D1025" i="5"/>
  <c r="E1025" i="5" s="1"/>
  <c r="D1024" i="5"/>
  <c r="E1024" i="5" s="1"/>
  <c r="D1023" i="5"/>
  <c r="E1023" i="5" s="1"/>
  <c r="D1022" i="5"/>
  <c r="E1022" i="5" s="1"/>
  <c r="D1021" i="5"/>
  <c r="E1021" i="5" s="1"/>
  <c r="D1020" i="5"/>
  <c r="E1020" i="5" s="1"/>
  <c r="D1019" i="5"/>
  <c r="E1019" i="5" s="1"/>
  <c r="D1018" i="5"/>
  <c r="E1018" i="5" s="1"/>
  <c r="D1017" i="5"/>
  <c r="E1017" i="5" s="1"/>
  <c r="D1016" i="5"/>
  <c r="E1016" i="5" s="1"/>
  <c r="D1015" i="5"/>
  <c r="E1015" i="5" s="1"/>
  <c r="D1014" i="5"/>
  <c r="E1014" i="5" s="1"/>
  <c r="D1013" i="5"/>
  <c r="E1013" i="5" s="1"/>
  <c r="D1012" i="5"/>
  <c r="E1012" i="5" s="1"/>
  <c r="D1011" i="5"/>
  <c r="E1011" i="5" s="1"/>
  <c r="D1010" i="5"/>
  <c r="E1010" i="5" s="1"/>
  <c r="D1009" i="5"/>
  <c r="E1009" i="5" s="1"/>
  <c r="D1008" i="5"/>
  <c r="E1008" i="5" s="1"/>
  <c r="D1007" i="5"/>
  <c r="E1007" i="5" s="1"/>
  <c r="D1006" i="5"/>
  <c r="E1006" i="5" s="1"/>
  <c r="D1005" i="5"/>
  <c r="E1005" i="5" s="1"/>
  <c r="D1004" i="5"/>
  <c r="E1004" i="5" s="1"/>
  <c r="D1003" i="5"/>
  <c r="E1003" i="5" s="1"/>
  <c r="D1002" i="5"/>
  <c r="E1002" i="5" s="1"/>
  <c r="D1001" i="5"/>
  <c r="E1001" i="5" s="1"/>
  <c r="D1000" i="5"/>
  <c r="E1000" i="5" s="1"/>
  <c r="D999" i="5"/>
  <c r="E999" i="5" s="1"/>
  <c r="D998" i="5"/>
  <c r="E998" i="5" s="1"/>
  <c r="D997" i="5"/>
  <c r="E997" i="5" s="1"/>
  <c r="D996" i="5"/>
  <c r="E996" i="5" s="1"/>
  <c r="D995" i="5"/>
  <c r="E995" i="5" s="1"/>
  <c r="D994" i="5"/>
  <c r="E994" i="5" s="1"/>
  <c r="D993" i="5"/>
  <c r="E993" i="5" s="1"/>
  <c r="D992" i="5"/>
  <c r="E992" i="5" s="1"/>
  <c r="D991" i="5"/>
  <c r="E991" i="5" s="1"/>
  <c r="D990" i="5"/>
  <c r="E990" i="5" s="1"/>
  <c r="D989" i="5"/>
  <c r="E989" i="5" s="1"/>
  <c r="D988" i="5"/>
  <c r="E988" i="5" s="1"/>
  <c r="D987" i="5"/>
  <c r="E987" i="5" s="1"/>
  <c r="D986" i="5"/>
  <c r="E986" i="5" s="1"/>
  <c r="D985" i="5"/>
  <c r="E985" i="5" s="1"/>
  <c r="D984" i="5"/>
  <c r="E984" i="5" s="1"/>
  <c r="D983" i="5"/>
  <c r="E983" i="5" s="1"/>
  <c r="D982" i="5"/>
  <c r="E982" i="5" s="1"/>
  <c r="D981" i="5"/>
  <c r="E981" i="5" s="1"/>
  <c r="D980" i="5"/>
  <c r="E980" i="5" s="1"/>
  <c r="D979" i="5"/>
  <c r="E979" i="5" s="1"/>
  <c r="D978" i="5"/>
  <c r="E978" i="5" s="1"/>
  <c r="D977" i="5"/>
  <c r="E977" i="5" s="1"/>
  <c r="D976" i="5"/>
  <c r="E976" i="5" s="1"/>
  <c r="D975" i="5"/>
  <c r="E975" i="5" s="1"/>
  <c r="D974" i="5"/>
  <c r="E974" i="5" s="1"/>
  <c r="D973" i="5"/>
  <c r="E973" i="5" s="1"/>
  <c r="D972" i="5"/>
  <c r="E972" i="5" s="1"/>
  <c r="D971" i="5"/>
  <c r="E971" i="5" s="1"/>
  <c r="D970" i="5"/>
  <c r="E970" i="5" s="1"/>
  <c r="D969" i="5"/>
  <c r="E969" i="5" s="1"/>
  <c r="D968" i="5"/>
  <c r="E968" i="5" s="1"/>
  <c r="D967" i="5"/>
  <c r="E967" i="5" s="1"/>
  <c r="D966" i="5"/>
  <c r="E966" i="5" s="1"/>
  <c r="D965" i="5"/>
  <c r="E965" i="5" s="1"/>
  <c r="D964" i="5"/>
  <c r="E964" i="5" s="1"/>
  <c r="D963" i="5"/>
  <c r="E963" i="5" s="1"/>
  <c r="D962" i="5"/>
  <c r="E962" i="5" s="1"/>
  <c r="D961" i="5"/>
  <c r="E961" i="5" s="1"/>
  <c r="D960" i="5"/>
  <c r="E960" i="5" s="1"/>
  <c r="D959" i="5"/>
  <c r="E959" i="5" s="1"/>
  <c r="D958" i="5"/>
  <c r="E958" i="5" s="1"/>
  <c r="D957" i="5"/>
  <c r="E957" i="5" s="1"/>
  <c r="D956" i="5"/>
  <c r="E956" i="5" s="1"/>
  <c r="D955" i="5"/>
  <c r="E955" i="5" s="1"/>
  <c r="D954" i="5"/>
  <c r="E954" i="5" s="1"/>
  <c r="D953" i="5"/>
  <c r="E953" i="5" s="1"/>
  <c r="D952" i="5"/>
  <c r="E952" i="5" s="1"/>
  <c r="D951" i="5"/>
  <c r="E951" i="5" s="1"/>
  <c r="D950" i="5"/>
  <c r="E950" i="5" s="1"/>
  <c r="D949" i="5"/>
  <c r="E949" i="5" s="1"/>
  <c r="D948" i="5"/>
  <c r="E948" i="5" s="1"/>
  <c r="D947" i="5"/>
  <c r="E947" i="5" s="1"/>
  <c r="D946" i="5"/>
  <c r="E946" i="5" s="1"/>
  <c r="D945" i="5"/>
  <c r="E945" i="5" s="1"/>
  <c r="D944" i="5"/>
  <c r="E944" i="5" s="1"/>
  <c r="D943" i="5"/>
  <c r="E943" i="5" s="1"/>
  <c r="D942" i="5"/>
  <c r="E942" i="5" s="1"/>
  <c r="D941" i="5"/>
  <c r="E941" i="5" s="1"/>
  <c r="D940" i="5"/>
  <c r="E940" i="5" s="1"/>
  <c r="D939" i="5"/>
  <c r="E939" i="5" s="1"/>
  <c r="D938" i="5"/>
  <c r="E938" i="5" s="1"/>
  <c r="D937" i="5"/>
  <c r="E937" i="5" s="1"/>
  <c r="D936" i="5"/>
  <c r="E936" i="5" s="1"/>
  <c r="D935" i="5"/>
  <c r="E935" i="5" s="1"/>
  <c r="D934" i="5"/>
  <c r="E934" i="5" s="1"/>
  <c r="D933" i="5"/>
  <c r="E933" i="5" s="1"/>
  <c r="D932" i="5"/>
  <c r="E932" i="5" s="1"/>
  <c r="D931" i="5"/>
  <c r="E931" i="5" s="1"/>
  <c r="D930" i="5"/>
  <c r="E930" i="5" s="1"/>
  <c r="D929" i="5"/>
  <c r="E929" i="5" s="1"/>
  <c r="D928" i="5"/>
  <c r="E928" i="5" s="1"/>
  <c r="D927" i="5"/>
  <c r="E927" i="5" s="1"/>
  <c r="D926" i="5"/>
  <c r="E926" i="5" s="1"/>
  <c r="D925" i="5"/>
  <c r="E925" i="5" s="1"/>
  <c r="D924" i="5"/>
  <c r="E924" i="5" s="1"/>
  <c r="D923" i="5"/>
  <c r="E923" i="5" s="1"/>
  <c r="D922" i="5"/>
  <c r="E922" i="5" s="1"/>
  <c r="D921" i="5"/>
  <c r="E921" i="5" s="1"/>
  <c r="D920" i="5"/>
  <c r="E920" i="5" s="1"/>
  <c r="D919" i="5"/>
  <c r="E919" i="5" s="1"/>
  <c r="D918" i="5"/>
  <c r="E918" i="5" s="1"/>
  <c r="D917" i="5"/>
  <c r="E917" i="5" s="1"/>
  <c r="D916" i="5"/>
  <c r="E916" i="5" s="1"/>
  <c r="D915" i="5"/>
  <c r="E915" i="5" s="1"/>
  <c r="D914" i="5"/>
  <c r="E914" i="5" s="1"/>
  <c r="D913" i="5"/>
  <c r="E913" i="5" s="1"/>
  <c r="D912" i="5"/>
  <c r="E912" i="5" s="1"/>
  <c r="D911" i="5"/>
  <c r="E911" i="5" s="1"/>
  <c r="D910" i="5"/>
  <c r="E910" i="5" s="1"/>
  <c r="D909" i="5"/>
  <c r="E909" i="5" s="1"/>
  <c r="D908" i="5"/>
  <c r="E908" i="5" s="1"/>
  <c r="D907" i="5"/>
  <c r="E907" i="5" s="1"/>
  <c r="D906" i="5"/>
  <c r="E906" i="5" s="1"/>
  <c r="D905" i="5"/>
  <c r="E905" i="5" s="1"/>
  <c r="D904" i="5"/>
  <c r="E904" i="5" s="1"/>
  <c r="D903" i="5"/>
  <c r="E903" i="5" s="1"/>
  <c r="D902" i="5"/>
  <c r="E902" i="5" s="1"/>
  <c r="D901" i="5"/>
  <c r="E901" i="5" s="1"/>
  <c r="D900" i="5"/>
  <c r="E900" i="5" s="1"/>
  <c r="D899" i="5"/>
  <c r="E899" i="5" s="1"/>
  <c r="D898" i="5"/>
  <c r="E898" i="5" s="1"/>
  <c r="D897" i="5"/>
  <c r="E897" i="5" s="1"/>
  <c r="D896" i="5"/>
  <c r="E896" i="5" s="1"/>
  <c r="D895" i="5"/>
  <c r="E895" i="5" s="1"/>
  <c r="D894" i="5"/>
  <c r="E894" i="5" s="1"/>
  <c r="D893" i="5"/>
  <c r="E893" i="5" s="1"/>
  <c r="D892" i="5"/>
  <c r="E892" i="5" s="1"/>
  <c r="D891" i="5"/>
  <c r="E891" i="5" s="1"/>
  <c r="D890" i="5"/>
  <c r="E890" i="5" s="1"/>
  <c r="D889" i="5"/>
  <c r="E889" i="5" s="1"/>
  <c r="D888" i="5"/>
  <c r="E888" i="5" s="1"/>
  <c r="D887" i="5"/>
  <c r="E887" i="5" s="1"/>
  <c r="D886" i="5"/>
  <c r="E886" i="5" s="1"/>
  <c r="D885" i="5"/>
  <c r="E885" i="5" s="1"/>
  <c r="D884" i="5"/>
  <c r="E884" i="5" s="1"/>
  <c r="D883" i="5"/>
  <c r="E883" i="5" s="1"/>
  <c r="D882" i="5"/>
  <c r="E882" i="5" s="1"/>
  <c r="D881" i="5"/>
  <c r="E881" i="5" s="1"/>
  <c r="D880" i="5"/>
  <c r="E880" i="5" s="1"/>
  <c r="D879" i="5"/>
  <c r="E879" i="5" s="1"/>
  <c r="D878" i="5"/>
  <c r="E878" i="5" s="1"/>
  <c r="D877" i="5"/>
  <c r="E877" i="5" s="1"/>
  <c r="D876" i="5"/>
  <c r="E876" i="5" s="1"/>
  <c r="D875" i="5"/>
  <c r="E875" i="5" s="1"/>
  <c r="D874" i="5"/>
  <c r="E874" i="5" s="1"/>
  <c r="D873" i="5"/>
  <c r="E873" i="5" s="1"/>
  <c r="D872" i="5"/>
  <c r="E872" i="5" s="1"/>
  <c r="D871" i="5"/>
  <c r="E871" i="5" s="1"/>
  <c r="D870" i="5"/>
  <c r="E870" i="5" s="1"/>
  <c r="D869" i="5"/>
  <c r="E869" i="5" s="1"/>
  <c r="D868" i="5"/>
  <c r="E868" i="5" s="1"/>
  <c r="D867" i="5"/>
  <c r="E867" i="5" s="1"/>
  <c r="D866" i="5"/>
  <c r="E866" i="5" s="1"/>
  <c r="D865" i="5"/>
  <c r="E865" i="5" s="1"/>
  <c r="D864" i="5"/>
  <c r="E864" i="5" s="1"/>
  <c r="D863" i="5"/>
  <c r="E863" i="5" s="1"/>
  <c r="D862" i="5"/>
  <c r="E862" i="5" s="1"/>
  <c r="D861" i="5"/>
  <c r="E861" i="5" s="1"/>
  <c r="D860" i="5"/>
  <c r="E860" i="5" s="1"/>
  <c r="D859" i="5"/>
  <c r="E859" i="5" s="1"/>
  <c r="D858" i="5"/>
  <c r="E858" i="5" s="1"/>
  <c r="D857" i="5"/>
  <c r="E857" i="5" s="1"/>
  <c r="D856" i="5"/>
  <c r="E856" i="5" s="1"/>
  <c r="D855" i="5"/>
  <c r="E855" i="5" s="1"/>
  <c r="D854" i="5"/>
  <c r="E854" i="5" s="1"/>
  <c r="D853" i="5"/>
  <c r="E853" i="5" s="1"/>
  <c r="D852" i="5"/>
  <c r="E852" i="5" s="1"/>
  <c r="D851" i="5"/>
  <c r="E851" i="5" s="1"/>
  <c r="D850" i="5"/>
  <c r="E850" i="5" s="1"/>
  <c r="D849" i="5"/>
  <c r="E849" i="5" s="1"/>
  <c r="D848" i="5"/>
  <c r="E848" i="5" s="1"/>
  <c r="D847" i="5"/>
  <c r="E847" i="5" s="1"/>
  <c r="D846" i="5"/>
  <c r="E846" i="5" s="1"/>
  <c r="D845" i="5"/>
  <c r="E845" i="5" s="1"/>
  <c r="D844" i="5"/>
  <c r="E844" i="5" s="1"/>
  <c r="D843" i="5"/>
  <c r="E843" i="5" s="1"/>
  <c r="D842" i="5"/>
  <c r="E842" i="5" s="1"/>
  <c r="D841" i="5"/>
  <c r="E841" i="5" s="1"/>
  <c r="D840" i="5"/>
  <c r="E840" i="5" s="1"/>
  <c r="D839" i="5"/>
  <c r="E839" i="5" s="1"/>
  <c r="D838" i="5"/>
  <c r="E838" i="5" s="1"/>
  <c r="D837" i="5"/>
  <c r="E837" i="5" s="1"/>
  <c r="D836" i="5"/>
  <c r="E836" i="5" s="1"/>
  <c r="D835" i="5"/>
  <c r="E835" i="5" s="1"/>
  <c r="D834" i="5"/>
  <c r="E834" i="5" s="1"/>
  <c r="D833" i="5"/>
  <c r="E833" i="5" s="1"/>
  <c r="D832" i="5"/>
  <c r="E832" i="5" s="1"/>
  <c r="D831" i="5"/>
  <c r="E831" i="5" s="1"/>
  <c r="D830" i="5"/>
  <c r="E830" i="5" s="1"/>
  <c r="D829" i="5"/>
  <c r="E829" i="5" s="1"/>
  <c r="D828" i="5"/>
  <c r="E828" i="5" s="1"/>
  <c r="D827" i="5"/>
  <c r="E827" i="5" s="1"/>
  <c r="D826" i="5"/>
  <c r="E826" i="5" s="1"/>
  <c r="D825" i="5"/>
  <c r="E825" i="5" s="1"/>
  <c r="D824" i="5"/>
  <c r="E824" i="5" s="1"/>
  <c r="D823" i="5"/>
  <c r="E823" i="5" s="1"/>
  <c r="D822" i="5"/>
  <c r="E822" i="5" s="1"/>
  <c r="D821" i="5"/>
  <c r="E821" i="5" s="1"/>
  <c r="D820" i="5"/>
  <c r="E820" i="5" s="1"/>
  <c r="D819" i="5"/>
  <c r="E819" i="5" s="1"/>
  <c r="D818" i="5"/>
  <c r="E818" i="5" s="1"/>
  <c r="D817" i="5"/>
  <c r="E817" i="5" s="1"/>
  <c r="D816" i="5"/>
  <c r="E816" i="5" s="1"/>
  <c r="D815" i="5"/>
  <c r="E815" i="5" s="1"/>
  <c r="D814" i="5"/>
  <c r="E814" i="5" s="1"/>
  <c r="D813" i="5"/>
  <c r="E813" i="5" s="1"/>
  <c r="D812" i="5"/>
  <c r="E812" i="5" s="1"/>
  <c r="D811" i="5"/>
  <c r="E811" i="5" s="1"/>
  <c r="D810" i="5"/>
  <c r="E810" i="5" s="1"/>
  <c r="D809" i="5"/>
  <c r="E809" i="5" s="1"/>
  <c r="D808" i="5"/>
  <c r="E808" i="5" s="1"/>
  <c r="D807" i="5"/>
  <c r="E807" i="5" s="1"/>
  <c r="D806" i="5"/>
  <c r="E806" i="5" s="1"/>
  <c r="D805" i="5"/>
  <c r="E805" i="5" s="1"/>
  <c r="D804" i="5"/>
  <c r="E804" i="5" s="1"/>
  <c r="D803" i="5"/>
  <c r="E803" i="5" s="1"/>
  <c r="D802" i="5"/>
  <c r="E802" i="5" s="1"/>
  <c r="D801" i="5"/>
  <c r="E801" i="5" s="1"/>
  <c r="D800" i="5"/>
  <c r="E800" i="5" s="1"/>
  <c r="D799" i="5"/>
  <c r="E799" i="5" s="1"/>
  <c r="D798" i="5"/>
  <c r="E798" i="5" s="1"/>
  <c r="D797" i="5"/>
  <c r="E797" i="5" s="1"/>
  <c r="D796" i="5"/>
  <c r="E796" i="5" s="1"/>
  <c r="D795" i="5"/>
  <c r="E795" i="5" s="1"/>
  <c r="D794" i="5"/>
  <c r="E794" i="5" s="1"/>
  <c r="D793" i="5"/>
  <c r="E793" i="5" s="1"/>
  <c r="D792" i="5"/>
  <c r="E792" i="5" s="1"/>
  <c r="D791" i="5"/>
  <c r="E791" i="5" s="1"/>
  <c r="D790" i="5"/>
  <c r="E790" i="5" s="1"/>
  <c r="D789" i="5"/>
  <c r="E789" i="5" s="1"/>
  <c r="D788" i="5"/>
  <c r="E788" i="5" s="1"/>
  <c r="D787" i="5"/>
  <c r="E787" i="5" s="1"/>
  <c r="D786" i="5"/>
  <c r="E786" i="5" s="1"/>
  <c r="D785" i="5"/>
  <c r="E785" i="5" s="1"/>
  <c r="D784" i="5"/>
  <c r="E784" i="5" s="1"/>
  <c r="D783" i="5"/>
  <c r="E783" i="5" s="1"/>
  <c r="D782" i="5"/>
  <c r="E782" i="5" s="1"/>
  <c r="D781" i="5"/>
  <c r="E781" i="5" s="1"/>
  <c r="D780" i="5"/>
  <c r="E780" i="5" s="1"/>
  <c r="D779" i="5"/>
  <c r="E779" i="5" s="1"/>
  <c r="D778" i="5"/>
  <c r="E778" i="5" s="1"/>
  <c r="D777" i="5"/>
  <c r="E777" i="5" s="1"/>
  <c r="D776" i="5"/>
  <c r="E776" i="5" s="1"/>
  <c r="D775" i="5"/>
  <c r="E775" i="5" s="1"/>
  <c r="D774" i="5"/>
  <c r="E774" i="5" s="1"/>
  <c r="D773" i="5"/>
  <c r="E773" i="5" s="1"/>
  <c r="D772" i="5"/>
  <c r="E772" i="5" s="1"/>
  <c r="D771" i="5"/>
  <c r="E771" i="5" s="1"/>
  <c r="D770" i="5"/>
  <c r="E770" i="5" s="1"/>
  <c r="D769" i="5"/>
  <c r="E769" i="5" s="1"/>
  <c r="D768" i="5"/>
  <c r="E768" i="5" s="1"/>
  <c r="D767" i="5"/>
  <c r="E767" i="5" s="1"/>
  <c r="D766" i="5"/>
  <c r="E766" i="5" s="1"/>
  <c r="D765" i="5"/>
  <c r="E765" i="5" s="1"/>
  <c r="D764" i="5"/>
  <c r="E764" i="5" s="1"/>
  <c r="D763" i="5"/>
  <c r="E763" i="5" s="1"/>
  <c r="D762" i="5"/>
  <c r="E762" i="5" s="1"/>
  <c r="D761" i="5"/>
  <c r="E761" i="5" s="1"/>
  <c r="D760" i="5"/>
  <c r="E760" i="5" s="1"/>
  <c r="D759" i="5"/>
  <c r="E759" i="5" s="1"/>
  <c r="D758" i="5"/>
  <c r="E758" i="5" s="1"/>
  <c r="D757" i="5"/>
  <c r="E757" i="5" s="1"/>
  <c r="D756" i="5"/>
  <c r="E756" i="5" s="1"/>
  <c r="D755" i="5"/>
  <c r="E755" i="5" s="1"/>
  <c r="D754" i="5"/>
  <c r="E754" i="5" s="1"/>
  <c r="D753" i="5"/>
  <c r="E753" i="5" s="1"/>
  <c r="D752" i="5"/>
  <c r="E752" i="5" s="1"/>
  <c r="D751" i="5"/>
  <c r="E751" i="5" s="1"/>
  <c r="D750" i="5"/>
  <c r="E750" i="5" s="1"/>
  <c r="D749" i="5"/>
  <c r="E749" i="5" s="1"/>
  <c r="D748" i="5"/>
  <c r="E748" i="5" s="1"/>
  <c r="D747" i="5"/>
  <c r="E747" i="5" s="1"/>
  <c r="D746" i="5"/>
  <c r="E746" i="5" s="1"/>
  <c r="D745" i="5"/>
  <c r="E745" i="5" s="1"/>
  <c r="D744" i="5"/>
  <c r="E744" i="5" s="1"/>
  <c r="D743" i="5"/>
  <c r="E743" i="5" s="1"/>
  <c r="D742" i="5"/>
  <c r="E742" i="5" s="1"/>
  <c r="D741" i="5"/>
  <c r="E741" i="5" s="1"/>
  <c r="D740" i="5"/>
  <c r="E740" i="5" s="1"/>
  <c r="D739" i="5"/>
  <c r="E739" i="5" s="1"/>
  <c r="D738" i="5"/>
  <c r="E738" i="5" s="1"/>
  <c r="D737" i="5"/>
  <c r="E737" i="5" s="1"/>
  <c r="D736" i="5"/>
  <c r="E736" i="5" s="1"/>
  <c r="D735" i="5"/>
  <c r="E735" i="5" s="1"/>
  <c r="D734" i="5"/>
  <c r="E734" i="5" s="1"/>
  <c r="D733" i="5"/>
  <c r="E733" i="5" s="1"/>
  <c r="D732" i="5"/>
  <c r="E732" i="5" s="1"/>
  <c r="D731" i="5"/>
  <c r="E731" i="5" s="1"/>
  <c r="D730" i="5"/>
  <c r="E730" i="5" s="1"/>
  <c r="D729" i="5"/>
  <c r="E729" i="5" s="1"/>
  <c r="D728" i="5"/>
  <c r="E728" i="5" s="1"/>
  <c r="D727" i="5"/>
  <c r="E727" i="5" s="1"/>
  <c r="D726" i="5"/>
  <c r="E726" i="5" s="1"/>
  <c r="D725" i="5"/>
  <c r="E725" i="5" s="1"/>
  <c r="D724" i="5"/>
  <c r="E724" i="5" s="1"/>
  <c r="D723" i="5"/>
  <c r="E723" i="5" s="1"/>
  <c r="D722" i="5"/>
  <c r="E722" i="5" s="1"/>
  <c r="D721" i="5"/>
  <c r="E721" i="5" s="1"/>
  <c r="D720" i="5"/>
  <c r="E720" i="5" s="1"/>
  <c r="D719" i="5"/>
  <c r="E719" i="5" s="1"/>
  <c r="D718" i="5"/>
  <c r="E718" i="5" s="1"/>
  <c r="D717" i="5"/>
  <c r="E717" i="5" s="1"/>
  <c r="D716" i="5"/>
  <c r="E716" i="5" s="1"/>
  <c r="D715" i="5"/>
  <c r="E715" i="5" s="1"/>
  <c r="D714" i="5"/>
  <c r="E714" i="5" s="1"/>
  <c r="D713" i="5"/>
  <c r="E713" i="5" s="1"/>
  <c r="D712" i="5"/>
  <c r="E712" i="5" s="1"/>
  <c r="D711" i="5"/>
  <c r="E711" i="5" s="1"/>
  <c r="D710" i="5"/>
  <c r="E710" i="5" s="1"/>
  <c r="D709" i="5"/>
  <c r="E709" i="5" s="1"/>
  <c r="D708" i="5"/>
  <c r="E708" i="5" s="1"/>
  <c r="D707" i="5"/>
  <c r="E707" i="5" s="1"/>
  <c r="D706" i="5"/>
  <c r="E706" i="5" s="1"/>
  <c r="D705" i="5"/>
  <c r="E705" i="5" s="1"/>
  <c r="D704" i="5"/>
  <c r="E704" i="5" s="1"/>
  <c r="D703" i="5"/>
  <c r="E703" i="5" s="1"/>
  <c r="D702" i="5"/>
  <c r="E702" i="5" s="1"/>
  <c r="D701" i="5"/>
  <c r="E701" i="5" s="1"/>
  <c r="D700" i="5"/>
  <c r="E700" i="5" s="1"/>
  <c r="D699" i="5"/>
  <c r="E699" i="5" s="1"/>
  <c r="D698" i="5"/>
  <c r="E698" i="5" s="1"/>
  <c r="D697" i="5"/>
  <c r="E697" i="5" s="1"/>
  <c r="D696" i="5"/>
  <c r="E696" i="5" s="1"/>
  <c r="D695" i="5"/>
  <c r="E695" i="5" s="1"/>
  <c r="D694" i="5"/>
  <c r="E694" i="5" s="1"/>
  <c r="D693" i="5"/>
  <c r="E693" i="5" s="1"/>
  <c r="D692" i="5"/>
  <c r="E692" i="5" s="1"/>
  <c r="D691" i="5"/>
  <c r="E691" i="5" s="1"/>
  <c r="D690" i="5"/>
  <c r="E690" i="5" s="1"/>
  <c r="D689" i="5"/>
  <c r="E689" i="5" s="1"/>
  <c r="D688" i="5"/>
  <c r="E688" i="5" s="1"/>
  <c r="D687" i="5"/>
  <c r="E687" i="5" s="1"/>
  <c r="D686" i="5"/>
  <c r="E686" i="5" s="1"/>
  <c r="D685" i="5"/>
  <c r="E685" i="5" s="1"/>
  <c r="D684" i="5"/>
  <c r="E684" i="5" s="1"/>
  <c r="D683" i="5"/>
  <c r="E683" i="5" s="1"/>
  <c r="D682" i="5"/>
  <c r="E682" i="5" s="1"/>
  <c r="D681" i="5"/>
  <c r="E681" i="5" s="1"/>
  <c r="D680" i="5"/>
  <c r="E680" i="5" s="1"/>
  <c r="D679" i="5"/>
  <c r="E679" i="5" s="1"/>
  <c r="D678" i="5"/>
  <c r="E678" i="5" s="1"/>
  <c r="D677" i="5"/>
  <c r="E677" i="5" s="1"/>
  <c r="D676" i="5"/>
  <c r="E676" i="5" s="1"/>
  <c r="D675" i="5"/>
  <c r="E675" i="5" s="1"/>
  <c r="D674" i="5"/>
  <c r="E674" i="5" s="1"/>
  <c r="D673" i="5"/>
  <c r="E673" i="5" s="1"/>
  <c r="D672" i="5"/>
  <c r="E672" i="5" s="1"/>
  <c r="D671" i="5"/>
  <c r="E671" i="5" s="1"/>
  <c r="D670" i="5"/>
  <c r="E670" i="5" s="1"/>
  <c r="D669" i="5"/>
  <c r="E669" i="5" s="1"/>
  <c r="D668" i="5"/>
  <c r="E668" i="5" s="1"/>
  <c r="D667" i="5"/>
  <c r="E667" i="5" s="1"/>
  <c r="D666" i="5"/>
  <c r="E666" i="5" s="1"/>
  <c r="D665" i="5"/>
  <c r="E665" i="5" s="1"/>
  <c r="D664" i="5"/>
  <c r="E664" i="5" s="1"/>
  <c r="D663" i="5"/>
  <c r="E663" i="5" s="1"/>
  <c r="D662" i="5"/>
  <c r="E662" i="5" s="1"/>
  <c r="D661" i="5"/>
  <c r="E661" i="5" s="1"/>
  <c r="D660" i="5"/>
  <c r="E660" i="5" s="1"/>
  <c r="D659" i="5"/>
  <c r="E659" i="5" s="1"/>
  <c r="D658" i="5"/>
  <c r="E658" i="5" s="1"/>
  <c r="D657" i="5"/>
  <c r="E657" i="5" s="1"/>
  <c r="D656" i="5"/>
  <c r="E656" i="5" s="1"/>
  <c r="D655" i="5"/>
  <c r="E655" i="5" s="1"/>
  <c r="D654" i="5"/>
  <c r="E654" i="5" s="1"/>
  <c r="D653" i="5"/>
  <c r="E653" i="5" s="1"/>
  <c r="D652" i="5"/>
  <c r="E652" i="5" s="1"/>
  <c r="D651" i="5"/>
  <c r="E651" i="5" s="1"/>
  <c r="D650" i="5"/>
  <c r="E650" i="5" s="1"/>
  <c r="D649" i="5"/>
  <c r="E649" i="5" s="1"/>
  <c r="D648" i="5"/>
  <c r="E648" i="5" s="1"/>
  <c r="D647" i="5"/>
  <c r="E647" i="5" s="1"/>
  <c r="D646" i="5"/>
  <c r="E646" i="5" s="1"/>
  <c r="D645" i="5"/>
  <c r="E645" i="5" s="1"/>
  <c r="D644" i="5"/>
  <c r="E644" i="5" s="1"/>
  <c r="D643" i="5"/>
  <c r="E643" i="5" s="1"/>
  <c r="D642" i="5"/>
  <c r="E642" i="5" s="1"/>
  <c r="D641" i="5"/>
  <c r="E641" i="5" s="1"/>
  <c r="D640" i="5"/>
  <c r="E640" i="5" s="1"/>
  <c r="D639" i="5"/>
  <c r="E639" i="5" s="1"/>
  <c r="D638" i="5"/>
  <c r="E638" i="5" s="1"/>
  <c r="D637" i="5"/>
  <c r="E637" i="5" s="1"/>
  <c r="D636" i="5"/>
  <c r="E636" i="5" s="1"/>
  <c r="D635" i="5"/>
  <c r="E635" i="5" s="1"/>
  <c r="D634" i="5"/>
  <c r="E634" i="5" s="1"/>
  <c r="D633" i="5"/>
  <c r="E633" i="5" s="1"/>
  <c r="D632" i="5"/>
  <c r="E632" i="5" s="1"/>
  <c r="D631" i="5"/>
  <c r="E631" i="5" s="1"/>
  <c r="D630" i="5"/>
  <c r="E630" i="5" s="1"/>
  <c r="D629" i="5"/>
  <c r="E629" i="5" s="1"/>
  <c r="D628" i="5"/>
  <c r="E628" i="5" s="1"/>
  <c r="D627" i="5"/>
  <c r="E627" i="5" s="1"/>
  <c r="D626" i="5"/>
  <c r="E626" i="5" s="1"/>
  <c r="D625" i="5"/>
  <c r="E625" i="5" s="1"/>
  <c r="D624" i="5"/>
  <c r="E624" i="5" s="1"/>
  <c r="D623" i="5"/>
  <c r="E623" i="5" s="1"/>
  <c r="D622" i="5"/>
  <c r="E622" i="5" s="1"/>
  <c r="D621" i="5"/>
  <c r="E621" i="5" s="1"/>
  <c r="D620" i="5"/>
  <c r="E620" i="5" s="1"/>
  <c r="D619" i="5"/>
  <c r="E619" i="5" s="1"/>
  <c r="D618" i="5"/>
  <c r="E618" i="5" s="1"/>
  <c r="D617" i="5"/>
  <c r="E617" i="5" s="1"/>
  <c r="D616" i="5"/>
  <c r="E616" i="5" s="1"/>
  <c r="D615" i="5"/>
  <c r="E615" i="5" s="1"/>
  <c r="D614" i="5"/>
  <c r="E614" i="5" s="1"/>
  <c r="D613" i="5"/>
  <c r="E613" i="5" s="1"/>
  <c r="D612" i="5"/>
  <c r="E612" i="5" s="1"/>
  <c r="D611" i="5"/>
  <c r="E611" i="5" s="1"/>
  <c r="D610" i="5"/>
  <c r="E610" i="5" s="1"/>
  <c r="D609" i="5"/>
  <c r="E609" i="5" s="1"/>
  <c r="D608" i="5"/>
  <c r="E608" i="5" s="1"/>
  <c r="D607" i="5"/>
  <c r="E607" i="5" s="1"/>
  <c r="D606" i="5"/>
  <c r="E606" i="5" s="1"/>
  <c r="D605" i="5"/>
  <c r="E605" i="5" s="1"/>
  <c r="D604" i="5"/>
  <c r="E604" i="5" s="1"/>
  <c r="D603" i="5"/>
  <c r="E603" i="5" s="1"/>
  <c r="D602" i="5"/>
  <c r="E602" i="5" s="1"/>
  <c r="D601" i="5"/>
  <c r="E601" i="5" s="1"/>
  <c r="D600" i="5"/>
  <c r="E600" i="5" s="1"/>
  <c r="D599" i="5"/>
  <c r="E599" i="5" s="1"/>
  <c r="D598" i="5"/>
  <c r="E598" i="5" s="1"/>
  <c r="D597" i="5"/>
  <c r="E597" i="5" s="1"/>
  <c r="D596" i="5"/>
  <c r="E596" i="5" s="1"/>
  <c r="D595" i="5"/>
  <c r="E595" i="5" s="1"/>
  <c r="D594" i="5"/>
  <c r="E594" i="5" s="1"/>
  <c r="D593" i="5"/>
  <c r="E593" i="5" s="1"/>
  <c r="D592" i="5"/>
  <c r="E592" i="5" s="1"/>
  <c r="D591" i="5"/>
  <c r="E591" i="5" s="1"/>
  <c r="D590" i="5"/>
  <c r="E590" i="5" s="1"/>
  <c r="D589" i="5"/>
  <c r="E589" i="5" s="1"/>
  <c r="D588" i="5"/>
  <c r="E588" i="5" s="1"/>
  <c r="D587" i="5"/>
  <c r="E587" i="5" s="1"/>
  <c r="D586" i="5"/>
  <c r="E586" i="5" s="1"/>
  <c r="D585" i="5"/>
  <c r="E585" i="5" s="1"/>
  <c r="D584" i="5"/>
  <c r="E584" i="5" s="1"/>
  <c r="D583" i="5"/>
  <c r="E583" i="5" s="1"/>
  <c r="D582" i="5"/>
  <c r="E582" i="5" s="1"/>
  <c r="D581" i="5"/>
  <c r="E581" i="5" s="1"/>
  <c r="D580" i="5"/>
  <c r="E580" i="5" s="1"/>
  <c r="D579" i="5"/>
  <c r="E579" i="5" s="1"/>
  <c r="D578" i="5"/>
  <c r="E578" i="5" s="1"/>
  <c r="D577" i="5"/>
  <c r="E577" i="5" s="1"/>
  <c r="D576" i="5"/>
  <c r="E576" i="5" s="1"/>
  <c r="D575" i="5"/>
  <c r="E575" i="5" s="1"/>
  <c r="D574" i="5"/>
  <c r="E574" i="5" s="1"/>
  <c r="D573" i="5"/>
  <c r="E573" i="5" s="1"/>
  <c r="D572" i="5"/>
  <c r="E572" i="5" s="1"/>
  <c r="D571" i="5"/>
  <c r="E571" i="5" s="1"/>
  <c r="D570" i="5"/>
  <c r="E570" i="5" s="1"/>
  <c r="D569" i="5"/>
  <c r="E569" i="5" s="1"/>
  <c r="D568" i="5"/>
  <c r="E568" i="5" s="1"/>
  <c r="D567" i="5"/>
  <c r="E567" i="5" s="1"/>
  <c r="D566" i="5"/>
  <c r="E566" i="5" s="1"/>
  <c r="D565" i="5"/>
  <c r="E565" i="5" s="1"/>
  <c r="D564" i="5"/>
  <c r="E564" i="5" s="1"/>
  <c r="D563" i="5"/>
  <c r="E563" i="5" s="1"/>
  <c r="D562" i="5"/>
  <c r="E562" i="5" s="1"/>
  <c r="D561" i="5"/>
  <c r="E561" i="5" s="1"/>
  <c r="D560" i="5"/>
  <c r="E560" i="5" s="1"/>
  <c r="D559" i="5"/>
  <c r="E559" i="5" s="1"/>
  <c r="D558" i="5"/>
  <c r="E558" i="5" s="1"/>
  <c r="D557" i="5"/>
  <c r="E557" i="5" s="1"/>
  <c r="D556" i="5"/>
  <c r="E556" i="5" s="1"/>
  <c r="D555" i="5"/>
  <c r="E555" i="5" s="1"/>
  <c r="D554" i="5"/>
  <c r="E554" i="5" s="1"/>
  <c r="D553" i="5"/>
  <c r="E553" i="5" s="1"/>
  <c r="D552" i="5"/>
  <c r="E552" i="5" s="1"/>
  <c r="D551" i="5"/>
  <c r="E551" i="5" s="1"/>
  <c r="D550" i="5"/>
  <c r="E550" i="5" s="1"/>
  <c r="D549" i="5"/>
  <c r="E549" i="5" s="1"/>
  <c r="D548" i="5"/>
  <c r="E548" i="5" s="1"/>
  <c r="D547" i="5"/>
  <c r="E547" i="5" s="1"/>
  <c r="D546" i="5"/>
  <c r="E546" i="5" s="1"/>
  <c r="D545" i="5"/>
  <c r="E545" i="5" s="1"/>
  <c r="D544" i="5"/>
  <c r="E544" i="5" s="1"/>
  <c r="D543" i="5"/>
  <c r="E543" i="5" s="1"/>
  <c r="D542" i="5"/>
  <c r="E542" i="5" s="1"/>
  <c r="D541" i="5"/>
  <c r="E541" i="5" s="1"/>
  <c r="D540" i="5"/>
  <c r="E540" i="5" s="1"/>
  <c r="D539" i="5"/>
  <c r="E539" i="5" s="1"/>
  <c r="D538" i="5"/>
  <c r="E538" i="5" s="1"/>
  <c r="D537" i="5"/>
  <c r="E537" i="5" s="1"/>
  <c r="D536" i="5"/>
  <c r="E536" i="5" s="1"/>
  <c r="D535" i="5"/>
  <c r="E535" i="5" s="1"/>
  <c r="D534" i="5"/>
  <c r="E534" i="5" s="1"/>
  <c r="D533" i="5"/>
  <c r="E533" i="5" s="1"/>
  <c r="D532" i="5"/>
  <c r="E532" i="5" s="1"/>
  <c r="D531" i="5"/>
  <c r="E531" i="5" s="1"/>
  <c r="D530" i="5"/>
  <c r="E530" i="5" s="1"/>
  <c r="D529" i="5"/>
  <c r="E529" i="5" s="1"/>
  <c r="D528" i="5"/>
  <c r="E528" i="5" s="1"/>
  <c r="D527" i="5"/>
  <c r="E527" i="5" s="1"/>
  <c r="D526" i="5"/>
  <c r="E526" i="5" s="1"/>
  <c r="D525" i="5"/>
  <c r="E525" i="5" s="1"/>
  <c r="D524" i="5"/>
  <c r="E524" i="5" s="1"/>
  <c r="D523" i="5"/>
  <c r="E523" i="5" s="1"/>
  <c r="D522" i="5"/>
  <c r="E522" i="5" s="1"/>
  <c r="D521" i="5"/>
  <c r="E521" i="5" s="1"/>
  <c r="D520" i="5"/>
  <c r="E520" i="5" s="1"/>
  <c r="D519" i="5"/>
  <c r="E519" i="5" s="1"/>
  <c r="D518" i="5"/>
  <c r="E518" i="5" s="1"/>
  <c r="D517" i="5"/>
  <c r="E517" i="5" s="1"/>
  <c r="D516" i="5"/>
  <c r="E516" i="5" s="1"/>
  <c r="D515" i="5"/>
  <c r="E515" i="5" s="1"/>
  <c r="D514" i="5"/>
  <c r="E514" i="5" s="1"/>
  <c r="D513" i="5"/>
  <c r="E513" i="5" s="1"/>
  <c r="D512" i="5"/>
  <c r="E512" i="5" s="1"/>
  <c r="D511" i="5"/>
  <c r="E511" i="5" s="1"/>
  <c r="D510" i="5"/>
  <c r="E510" i="5" s="1"/>
  <c r="D509" i="5"/>
  <c r="E509" i="5" s="1"/>
  <c r="D508" i="5"/>
  <c r="E508" i="5" s="1"/>
  <c r="D507" i="5"/>
  <c r="E507" i="5" s="1"/>
  <c r="D506" i="5"/>
  <c r="E506" i="5" s="1"/>
  <c r="D505" i="5"/>
  <c r="E505" i="5" s="1"/>
  <c r="D504" i="5"/>
  <c r="E504" i="5" s="1"/>
  <c r="D503" i="5"/>
  <c r="E503" i="5" s="1"/>
  <c r="D502" i="5"/>
  <c r="E502" i="5" s="1"/>
  <c r="D501" i="5"/>
  <c r="E501" i="5" s="1"/>
  <c r="D500" i="5"/>
  <c r="E500" i="5" s="1"/>
  <c r="D499" i="5"/>
  <c r="E499" i="5" s="1"/>
  <c r="D498" i="5"/>
  <c r="E498" i="5" s="1"/>
  <c r="D497" i="5"/>
  <c r="E497" i="5" s="1"/>
  <c r="D496" i="5"/>
  <c r="E496" i="5" s="1"/>
  <c r="D495" i="5"/>
  <c r="E495" i="5" s="1"/>
  <c r="D494" i="5"/>
  <c r="E494" i="5" s="1"/>
  <c r="D493" i="5"/>
  <c r="E493" i="5" s="1"/>
  <c r="D492" i="5"/>
  <c r="E492" i="5" s="1"/>
  <c r="D491" i="5"/>
  <c r="E491" i="5" s="1"/>
  <c r="D490" i="5"/>
  <c r="E490" i="5" s="1"/>
  <c r="D489" i="5"/>
  <c r="E489" i="5" s="1"/>
  <c r="D488" i="5"/>
  <c r="E488" i="5" s="1"/>
  <c r="D487" i="5"/>
  <c r="E487" i="5" s="1"/>
  <c r="D486" i="5"/>
  <c r="E486" i="5" s="1"/>
  <c r="D485" i="5"/>
  <c r="E485" i="5" s="1"/>
  <c r="D484" i="5"/>
  <c r="E484" i="5" s="1"/>
  <c r="D483" i="5"/>
  <c r="E483" i="5" s="1"/>
  <c r="D482" i="5"/>
  <c r="E482" i="5" s="1"/>
  <c r="D481" i="5"/>
  <c r="E481" i="5" s="1"/>
  <c r="D480" i="5"/>
  <c r="E480" i="5" s="1"/>
  <c r="D479" i="5"/>
  <c r="E479" i="5" s="1"/>
  <c r="D478" i="5"/>
  <c r="E478" i="5" s="1"/>
  <c r="D477" i="5"/>
  <c r="E477" i="5" s="1"/>
  <c r="D476" i="5"/>
  <c r="E476" i="5" s="1"/>
  <c r="D475" i="5"/>
  <c r="E475" i="5" s="1"/>
  <c r="D474" i="5"/>
  <c r="E474" i="5" s="1"/>
  <c r="D473" i="5"/>
  <c r="E473" i="5" s="1"/>
  <c r="D472" i="5"/>
  <c r="E472" i="5" s="1"/>
  <c r="D471" i="5"/>
  <c r="E471" i="5" s="1"/>
  <c r="D470" i="5"/>
  <c r="E470" i="5" s="1"/>
  <c r="D469" i="5"/>
  <c r="E469" i="5" s="1"/>
  <c r="D468" i="5"/>
  <c r="E468" i="5" s="1"/>
  <c r="D467" i="5"/>
  <c r="E467" i="5" s="1"/>
  <c r="D466" i="5"/>
  <c r="E466" i="5" s="1"/>
  <c r="D465" i="5"/>
  <c r="E465" i="5" s="1"/>
  <c r="D464" i="5"/>
  <c r="E464" i="5" s="1"/>
  <c r="D463" i="5"/>
  <c r="E463" i="5" s="1"/>
  <c r="D462" i="5"/>
  <c r="E462" i="5" s="1"/>
  <c r="D461" i="5"/>
  <c r="E461" i="5" s="1"/>
  <c r="D460" i="5"/>
  <c r="E460" i="5" s="1"/>
  <c r="D459" i="5"/>
  <c r="E459" i="5" s="1"/>
  <c r="D458" i="5"/>
  <c r="E458" i="5" s="1"/>
  <c r="D457" i="5"/>
  <c r="E457" i="5" s="1"/>
  <c r="D456" i="5"/>
  <c r="E456" i="5" s="1"/>
  <c r="D455" i="5"/>
  <c r="E455" i="5" s="1"/>
  <c r="D454" i="5"/>
  <c r="E454" i="5" s="1"/>
  <c r="D453" i="5"/>
  <c r="E453" i="5" s="1"/>
  <c r="D452" i="5"/>
  <c r="E452" i="5" s="1"/>
  <c r="D451" i="5"/>
  <c r="E451" i="5" s="1"/>
  <c r="D450" i="5"/>
  <c r="E450" i="5" s="1"/>
  <c r="D449" i="5"/>
  <c r="E449" i="5" s="1"/>
  <c r="D448" i="5"/>
  <c r="E448" i="5" s="1"/>
  <c r="D447" i="5"/>
  <c r="E447" i="5" s="1"/>
  <c r="D446" i="5"/>
  <c r="E446" i="5" s="1"/>
  <c r="D445" i="5"/>
  <c r="E445" i="5" s="1"/>
  <c r="D444" i="5"/>
  <c r="E444" i="5" s="1"/>
  <c r="D443" i="5"/>
  <c r="E443" i="5" s="1"/>
  <c r="D442" i="5"/>
  <c r="E442" i="5" s="1"/>
  <c r="D441" i="5"/>
  <c r="E441" i="5" s="1"/>
  <c r="D440" i="5"/>
  <c r="E440" i="5" s="1"/>
  <c r="D439" i="5"/>
  <c r="E439" i="5" s="1"/>
  <c r="D438" i="5"/>
  <c r="E438" i="5" s="1"/>
  <c r="D437" i="5"/>
  <c r="E437" i="5" s="1"/>
  <c r="D436" i="5"/>
  <c r="E436" i="5" s="1"/>
  <c r="D435" i="5"/>
  <c r="E435" i="5" s="1"/>
  <c r="D434" i="5"/>
  <c r="E434" i="5" s="1"/>
  <c r="D433" i="5"/>
  <c r="E433" i="5" s="1"/>
  <c r="D432" i="5"/>
  <c r="E432" i="5" s="1"/>
  <c r="D431" i="5"/>
  <c r="E431" i="5" s="1"/>
  <c r="D430" i="5"/>
  <c r="E430" i="5" s="1"/>
  <c r="D429" i="5"/>
  <c r="E429" i="5" s="1"/>
  <c r="D428" i="5"/>
  <c r="E428" i="5" s="1"/>
  <c r="D427" i="5"/>
  <c r="E427" i="5" s="1"/>
  <c r="D426" i="5"/>
  <c r="E426" i="5" s="1"/>
  <c r="D425" i="5"/>
  <c r="E425" i="5" s="1"/>
  <c r="D424" i="5"/>
  <c r="E424" i="5" s="1"/>
  <c r="D423" i="5"/>
  <c r="E423" i="5" s="1"/>
  <c r="D422" i="5"/>
  <c r="E422" i="5" s="1"/>
  <c r="D421" i="5"/>
  <c r="E421" i="5" s="1"/>
  <c r="D420" i="5"/>
  <c r="E420" i="5" s="1"/>
  <c r="D419" i="5"/>
  <c r="E419" i="5" s="1"/>
  <c r="D418" i="5"/>
  <c r="E418" i="5" s="1"/>
  <c r="D417" i="5"/>
  <c r="E417" i="5" s="1"/>
  <c r="D416" i="5"/>
  <c r="E416" i="5" s="1"/>
  <c r="D415" i="5"/>
  <c r="E415" i="5" s="1"/>
  <c r="D414" i="5"/>
  <c r="E414" i="5" s="1"/>
  <c r="D413" i="5"/>
  <c r="E413" i="5" s="1"/>
  <c r="D412" i="5"/>
  <c r="E412" i="5" s="1"/>
  <c r="D411" i="5"/>
  <c r="E411" i="5" s="1"/>
  <c r="D410" i="5"/>
  <c r="E410" i="5" s="1"/>
  <c r="D409" i="5"/>
  <c r="E409" i="5" s="1"/>
  <c r="D408" i="5"/>
  <c r="E408" i="5" s="1"/>
  <c r="D407" i="5"/>
  <c r="E407" i="5" s="1"/>
  <c r="D406" i="5"/>
  <c r="E406" i="5" s="1"/>
  <c r="D405" i="5"/>
  <c r="E405" i="5" s="1"/>
  <c r="D404" i="5"/>
  <c r="E404" i="5" s="1"/>
  <c r="D403" i="5"/>
  <c r="E403" i="5" s="1"/>
  <c r="D402" i="5"/>
  <c r="E402" i="5" s="1"/>
  <c r="D401" i="5"/>
  <c r="E401" i="5" s="1"/>
  <c r="D400" i="5"/>
  <c r="E400" i="5" s="1"/>
  <c r="D399" i="5"/>
  <c r="E399" i="5" s="1"/>
  <c r="D398" i="5"/>
  <c r="E398" i="5" s="1"/>
  <c r="D397" i="5"/>
  <c r="E397" i="5" s="1"/>
  <c r="D396" i="5"/>
  <c r="E396" i="5" s="1"/>
  <c r="D395" i="5"/>
  <c r="E395" i="5" s="1"/>
  <c r="D394" i="5"/>
  <c r="E394" i="5" s="1"/>
  <c r="D393" i="5"/>
  <c r="E393" i="5" s="1"/>
  <c r="D392" i="5"/>
  <c r="E392" i="5" s="1"/>
  <c r="D391" i="5"/>
  <c r="E391" i="5" s="1"/>
  <c r="D390" i="5"/>
  <c r="E390" i="5" s="1"/>
  <c r="D389" i="5"/>
  <c r="E389" i="5" s="1"/>
  <c r="D388" i="5"/>
  <c r="E388" i="5" s="1"/>
  <c r="D387" i="5"/>
  <c r="E387" i="5" s="1"/>
  <c r="D386" i="5"/>
  <c r="E386" i="5" s="1"/>
  <c r="D385" i="5"/>
  <c r="E385" i="5" s="1"/>
  <c r="D384" i="5"/>
  <c r="E384" i="5" s="1"/>
  <c r="D383" i="5"/>
  <c r="E383" i="5" s="1"/>
  <c r="D382" i="5"/>
  <c r="E382" i="5" s="1"/>
  <c r="D381" i="5"/>
  <c r="E381" i="5" s="1"/>
  <c r="D380" i="5"/>
  <c r="E380" i="5" s="1"/>
  <c r="D379" i="5"/>
  <c r="E379" i="5" s="1"/>
  <c r="D378" i="5"/>
  <c r="E378" i="5" s="1"/>
  <c r="D377" i="5"/>
  <c r="E377" i="5" s="1"/>
  <c r="D376" i="5"/>
  <c r="E376" i="5" s="1"/>
  <c r="D375" i="5"/>
  <c r="E375" i="5" s="1"/>
  <c r="D374" i="5"/>
  <c r="E374" i="5" s="1"/>
  <c r="D373" i="5"/>
  <c r="E373" i="5" s="1"/>
  <c r="D372" i="5"/>
  <c r="E372" i="5" s="1"/>
  <c r="D371" i="5"/>
  <c r="E371" i="5" s="1"/>
  <c r="D370" i="5"/>
  <c r="E370" i="5" s="1"/>
  <c r="D369" i="5"/>
  <c r="E369" i="5" s="1"/>
  <c r="D368" i="5"/>
  <c r="E368" i="5" s="1"/>
  <c r="D367" i="5"/>
  <c r="E367" i="5" s="1"/>
  <c r="D366" i="5"/>
  <c r="E366" i="5" s="1"/>
  <c r="D365" i="5"/>
  <c r="E365" i="5" s="1"/>
  <c r="D364" i="5"/>
  <c r="E364" i="5" s="1"/>
  <c r="D363" i="5"/>
  <c r="E363" i="5" s="1"/>
  <c r="D362" i="5"/>
  <c r="E362" i="5" s="1"/>
  <c r="D361" i="5"/>
  <c r="E361" i="5" s="1"/>
  <c r="D360" i="5"/>
  <c r="E360" i="5" s="1"/>
  <c r="D359" i="5"/>
  <c r="E359" i="5" s="1"/>
  <c r="D358" i="5"/>
  <c r="E358" i="5" s="1"/>
  <c r="D357" i="5"/>
  <c r="E357" i="5" s="1"/>
  <c r="D356" i="5"/>
  <c r="E356" i="5" s="1"/>
  <c r="D355" i="5"/>
  <c r="E355" i="5" s="1"/>
  <c r="D354" i="5"/>
  <c r="E354" i="5" s="1"/>
  <c r="D353" i="5"/>
  <c r="E353" i="5" s="1"/>
  <c r="D352" i="5"/>
  <c r="E352" i="5" s="1"/>
  <c r="D351" i="5"/>
  <c r="E351" i="5" s="1"/>
  <c r="D350" i="5"/>
  <c r="E350" i="5" s="1"/>
  <c r="D349" i="5"/>
  <c r="E349" i="5" s="1"/>
  <c r="D348" i="5"/>
  <c r="E348" i="5" s="1"/>
  <c r="D347" i="5"/>
  <c r="E347" i="5" s="1"/>
  <c r="D346" i="5"/>
  <c r="E346" i="5" s="1"/>
  <c r="D345" i="5"/>
  <c r="E345" i="5" s="1"/>
  <c r="D344" i="5"/>
  <c r="E344" i="5" s="1"/>
  <c r="D343" i="5"/>
  <c r="E343" i="5" s="1"/>
  <c r="D342" i="5"/>
  <c r="E342" i="5" s="1"/>
  <c r="D341" i="5"/>
  <c r="E341" i="5" s="1"/>
  <c r="D340" i="5"/>
  <c r="E340" i="5" s="1"/>
  <c r="D339" i="5"/>
  <c r="E339" i="5" s="1"/>
  <c r="D338" i="5"/>
  <c r="E338" i="5" s="1"/>
  <c r="D337" i="5"/>
  <c r="E337" i="5" s="1"/>
  <c r="D336" i="5"/>
  <c r="E336" i="5" s="1"/>
  <c r="D335" i="5"/>
  <c r="E335" i="5" s="1"/>
  <c r="D334" i="5"/>
  <c r="E334" i="5" s="1"/>
  <c r="D333" i="5"/>
  <c r="E333" i="5" s="1"/>
  <c r="D332" i="5"/>
  <c r="E332" i="5" s="1"/>
  <c r="D331" i="5"/>
  <c r="E331" i="5" s="1"/>
  <c r="D330" i="5"/>
  <c r="E330" i="5" s="1"/>
  <c r="D329" i="5"/>
  <c r="E329" i="5" s="1"/>
  <c r="D328" i="5"/>
  <c r="E328" i="5" s="1"/>
  <c r="D327" i="5"/>
  <c r="E327" i="5" s="1"/>
  <c r="D326" i="5"/>
  <c r="E326" i="5" s="1"/>
  <c r="D325" i="5"/>
  <c r="E325" i="5" s="1"/>
  <c r="D324" i="5"/>
  <c r="E324" i="5" s="1"/>
  <c r="D323" i="5"/>
  <c r="E323" i="5" s="1"/>
  <c r="D322" i="5"/>
  <c r="E322" i="5" s="1"/>
  <c r="D321" i="5"/>
  <c r="E321" i="5" s="1"/>
  <c r="D320" i="5"/>
  <c r="E320" i="5" s="1"/>
  <c r="D319" i="5"/>
  <c r="E319" i="5" s="1"/>
  <c r="D318" i="5"/>
  <c r="E318" i="5" s="1"/>
  <c r="D317" i="5"/>
  <c r="E317" i="5" s="1"/>
  <c r="D316" i="5"/>
  <c r="E316" i="5" s="1"/>
  <c r="D315" i="5"/>
  <c r="E315" i="5" s="1"/>
  <c r="D314" i="5"/>
  <c r="E314" i="5" s="1"/>
  <c r="D313" i="5"/>
  <c r="E313" i="5" s="1"/>
  <c r="D312" i="5"/>
  <c r="E312" i="5" s="1"/>
  <c r="D311" i="5"/>
  <c r="E311" i="5" s="1"/>
  <c r="D310" i="5"/>
  <c r="E310" i="5" s="1"/>
  <c r="D309" i="5"/>
  <c r="E309" i="5" s="1"/>
  <c r="D308" i="5"/>
  <c r="E308" i="5" s="1"/>
  <c r="D307" i="5"/>
  <c r="E307" i="5" s="1"/>
  <c r="D306" i="5"/>
  <c r="E306" i="5" s="1"/>
  <c r="D305" i="5"/>
  <c r="E305" i="5" s="1"/>
  <c r="D304" i="5"/>
  <c r="E304" i="5" s="1"/>
  <c r="D303" i="5"/>
  <c r="E303" i="5" s="1"/>
  <c r="D302" i="5"/>
  <c r="E302" i="5" s="1"/>
  <c r="D301" i="5"/>
  <c r="E301" i="5" s="1"/>
  <c r="D300" i="5"/>
  <c r="E300" i="5" s="1"/>
  <c r="D299" i="5"/>
  <c r="E299" i="5" s="1"/>
  <c r="D298" i="5"/>
  <c r="E298" i="5" s="1"/>
  <c r="D297" i="5"/>
  <c r="E297" i="5" s="1"/>
  <c r="D296" i="5"/>
  <c r="E296" i="5" s="1"/>
  <c r="D295" i="5"/>
  <c r="E295" i="5" s="1"/>
  <c r="D294" i="5"/>
  <c r="E294" i="5" s="1"/>
  <c r="D293" i="5"/>
  <c r="E293" i="5" s="1"/>
  <c r="D292" i="5"/>
  <c r="E292" i="5" s="1"/>
  <c r="D291" i="5"/>
  <c r="E291" i="5" s="1"/>
  <c r="D290" i="5"/>
  <c r="E290" i="5" s="1"/>
  <c r="D289" i="5"/>
  <c r="E289" i="5" s="1"/>
  <c r="D288" i="5"/>
  <c r="E288" i="5" s="1"/>
  <c r="D287" i="5"/>
  <c r="E287" i="5" s="1"/>
  <c r="D286" i="5"/>
  <c r="E286" i="5" s="1"/>
  <c r="D285" i="5"/>
  <c r="E285" i="5" s="1"/>
  <c r="D284" i="5"/>
  <c r="E284" i="5" s="1"/>
  <c r="D283" i="5"/>
  <c r="E283" i="5" s="1"/>
  <c r="D282" i="5"/>
  <c r="E282" i="5" s="1"/>
  <c r="D281" i="5"/>
  <c r="E281" i="5" s="1"/>
  <c r="D280" i="5"/>
  <c r="E280" i="5" s="1"/>
  <c r="D279" i="5"/>
  <c r="E279" i="5" s="1"/>
  <c r="D278" i="5"/>
  <c r="E278" i="5" s="1"/>
  <c r="D277" i="5"/>
  <c r="E277" i="5" s="1"/>
  <c r="D276" i="5"/>
  <c r="E276" i="5" s="1"/>
  <c r="D275" i="5"/>
  <c r="E275" i="5" s="1"/>
  <c r="D274" i="5"/>
  <c r="E274" i="5" s="1"/>
  <c r="D273" i="5"/>
  <c r="E273" i="5" s="1"/>
  <c r="D272" i="5"/>
  <c r="E272" i="5" s="1"/>
  <c r="D271" i="5"/>
  <c r="E271" i="5" s="1"/>
  <c r="D270" i="5"/>
  <c r="E270" i="5" s="1"/>
  <c r="D269" i="5"/>
  <c r="E269" i="5" s="1"/>
  <c r="D268" i="5"/>
  <c r="E268" i="5" s="1"/>
  <c r="D267" i="5"/>
  <c r="E267" i="5" s="1"/>
  <c r="D266" i="5"/>
  <c r="E266" i="5" s="1"/>
  <c r="D265" i="5"/>
  <c r="E265" i="5" s="1"/>
  <c r="D264" i="5"/>
  <c r="E264" i="5" s="1"/>
  <c r="D263" i="5"/>
  <c r="E263" i="5" s="1"/>
  <c r="D262" i="5"/>
  <c r="E262" i="5" s="1"/>
  <c r="D261" i="5"/>
  <c r="E261" i="5" s="1"/>
  <c r="D260" i="5"/>
  <c r="E260" i="5" s="1"/>
  <c r="D259" i="5"/>
  <c r="E259" i="5" s="1"/>
  <c r="D258" i="5"/>
  <c r="E258" i="5" s="1"/>
  <c r="D257" i="5"/>
  <c r="E257" i="5" s="1"/>
  <c r="D256" i="5"/>
  <c r="E256" i="5" s="1"/>
  <c r="D255" i="5"/>
  <c r="E255" i="5" s="1"/>
  <c r="D254" i="5"/>
  <c r="E254" i="5" s="1"/>
  <c r="D253" i="5"/>
  <c r="E253" i="5" s="1"/>
  <c r="D252" i="5"/>
  <c r="E252" i="5" s="1"/>
  <c r="D251" i="5"/>
  <c r="E251" i="5" s="1"/>
  <c r="D250" i="5"/>
  <c r="E250" i="5" s="1"/>
  <c r="D249" i="5"/>
  <c r="E249" i="5" s="1"/>
  <c r="D248" i="5"/>
  <c r="E248" i="5" s="1"/>
  <c r="D247" i="5"/>
  <c r="E247" i="5" s="1"/>
  <c r="D246" i="5"/>
  <c r="E246" i="5" s="1"/>
  <c r="D245" i="5"/>
  <c r="E245" i="5" s="1"/>
  <c r="D244" i="5"/>
  <c r="E244" i="5" s="1"/>
  <c r="D243" i="5"/>
  <c r="E243" i="5" s="1"/>
  <c r="D242" i="5"/>
  <c r="E242" i="5" s="1"/>
  <c r="D241" i="5"/>
  <c r="E241" i="5" s="1"/>
  <c r="D240" i="5"/>
  <c r="E240" i="5" s="1"/>
  <c r="D239" i="5"/>
  <c r="E239" i="5" s="1"/>
  <c r="D238" i="5"/>
  <c r="E238" i="5" s="1"/>
  <c r="D237" i="5"/>
  <c r="E237" i="5" s="1"/>
  <c r="D236" i="5"/>
  <c r="E236" i="5" s="1"/>
  <c r="D235" i="5"/>
  <c r="E235" i="5" s="1"/>
  <c r="D234" i="5"/>
  <c r="E234" i="5" s="1"/>
  <c r="D233" i="5"/>
  <c r="E233" i="5" s="1"/>
  <c r="D232" i="5"/>
  <c r="E232" i="5" s="1"/>
  <c r="D231" i="5"/>
  <c r="E231" i="5" s="1"/>
  <c r="D230" i="5"/>
  <c r="E230" i="5" s="1"/>
  <c r="D229" i="5"/>
  <c r="E229" i="5" s="1"/>
  <c r="D228" i="5"/>
  <c r="E228" i="5" s="1"/>
  <c r="D227" i="5"/>
  <c r="E227" i="5" s="1"/>
  <c r="D226" i="5"/>
  <c r="E226" i="5" s="1"/>
  <c r="D225" i="5"/>
  <c r="E225" i="5" s="1"/>
  <c r="D224" i="5"/>
  <c r="E224" i="5" s="1"/>
  <c r="D223" i="5"/>
  <c r="E223" i="5" s="1"/>
  <c r="D222" i="5"/>
  <c r="E222" i="5" s="1"/>
  <c r="D221" i="5"/>
  <c r="E221" i="5" s="1"/>
  <c r="D220" i="5"/>
  <c r="E220" i="5" s="1"/>
  <c r="D219" i="5"/>
  <c r="E219" i="5" s="1"/>
  <c r="D218" i="5"/>
  <c r="E218" i="5" s="1"/>
  <c r="D217" i="5"/>
  <c r="E217" i="5" s="1"/>
  <c r="D216" i="5"/>
  <c r="E216" i="5" s="1"/>
  <c r="D215" i="5"/>
  <c r="E215" i="5" s="1"/>
  <c r="D214" i="5"/>
  <c r="E214" i="5" s="1"/>
  <c r="D213" i="5"/>
  <c r="E213" i="5" s="1"/>
  <c r="D212" i="5"/>
  <c r="E212" i="5" s="1"/>
  <c r="D211" i="5"/>
  <c r="E211" i="5" s="1"/>
  <c r="D210" i="5"/>
  <c r="E210" i="5" s="1"/>
  <c r="D209" i="5"/>
  <c r="E209" i="5" s="1"/>
  <c r="D208" i="5"/>
  <c r="E208" i="5" s="1"/>
  <c r="D207" i="5"/>
  <c r="E207" i="5" s="1"/>
  <c r="D206" i="5"/>
  <c r="E206" i="5" s="1"/>
  <c r="D205" i="5"/>
  <c r="E205" i="5" s="1"/>
  <c r="D204" i="5"/>
  <c r="E204" i="5" s="1"/>
  <c r="D203" i="5"/>
  <c r="E203" i="5" s="1"/>
  <c r="D202" i="5"/>
  <c r="E202" i="5" s="1"/>
  <c r="D201" i="5"/>
  <c r="E201" i="5" s="1"/>
  <c r="D200" i="5"/>
  <c r="E200" i="5" s="1"/>
  <c r="D199" i="5"/>
  <c r="E199" i="5" s="1"/>
  <c r="D198" i="5"/>
  <c r="E198" i="5" s="1"/>
  <c r="D197" i="5"/>
  <c r="E197" i="5" s="1"/>
  <c r="D196" i="5"/>
  <c r="E196" i="5" s="1"/>
  <c r="D195" i="5"/>
  <c r="E195" i="5" s="1"/>
  <c r="D194" i="5"/>
  <c r="E194" i="5" s="1"/>
  <c r="D193" i="5"/>
  <c r="E193" i="5" s="1"/>
  <c r="D192" i="5"/>
  <c r="E192" i="5" s="1"/>
  <c r="D191" i="5"/>
  <c r="E191" i="5" s="1"/>
  <c r="D190" i="5"/>
  <c r="E190" i="5" s="1"/>
  <c r="D189" i="5"/>
  <c r="E189" i="5" s="1"/>
  <c r="D188" i="5"/>
  <c r="E188" i="5" s="1"/>
  <c r="D187" i="5"/>
  <c r="E187" i="5" s="1"/>
  <c r="D186" i="5"/>
  <c r="E186" i="5" s="1"/>
  <c r="D185" i="5"/>
  <c r="E185" i="5" s="1"/>
  <c r="D184" i="5"/>
  <c r="E184" i="5" s="1"/>
  <c r="D183" i="5"/>
  <c r="E183" i="5" s="1"/>
  <c r="D182" i="5"/>
  <c r="E182" i="5" s="1"/>
  <c r="D181" i="5"/>
  <c r="E181" i="5" s="1"/>
  <c r="D180" i="5"/>
  <c r="E180" i="5" s="1"/>
  <c r="D179" i="5"/>
  <c r="E179" i="5" s="1"/>
  <c r="D178" i="5"/>
  <c r="E178" i="5" s="1"/>
  <c r="D177" i="5"/>
  <c r="E177" i="5" s="1"/>
  <c r="D176" i="5"/>
  <c r="E176" i="5" s="1"/>
  <c r="D175" i="5"/>
  <c r="E175" i="5" s="1"/>
  <c r="D174" i="5"/>
  <c r="E174" i="5" s="1"/>
  <c r="D173" i="5"/>
  <c r="E173" i="5" s="1"/>
  <c r="D172" i="5"/>
  <c r="E172" i="5" s="1"/>
  <c r="D171" i="5"/>
  <c r="E171" i="5" s="1"/>
  <c r="D170" i="5"/>
  <c r="E170" i="5" s="1"/>
  <c r="D169" i="5"/>
  <c r="E169" i="5" s="1"/>
  <c r="D168" i="5"/>
  <c r="E168" i="5" s="1"/>
  <c r="D167" i="5"/>
  <c r="E167" i="5" s="1"/>
  <c r="D166" i="5"/>
  <c r="E166" i="5" s="1"/>
  <c r="D165" i="5"/>
  <c r="E165" i="5" s="1"/>
  <c r="D164" i="5"/>
  <c r="E164" i="5" s="1"/>
  <c r="D163" i="5"/>
  <c r="E163" i="5" s="1"/>
  <c r="D162" i="5"/>
  <c r="E162" i="5" s="1"/>
  <c r="D161" i="5"/>
  <c r="E161" i="5" s="1"/>
  <c r="D160" i="5"/>
  <c r="E160" i="5" s="1"/>
  <c r="D159" i="5"/>
  <c r="E159" i="5" s="1"/>
  <c r="D158" i="5"/>
  <c r="E158" i="5" s="1"/>
  <c r="D157" i="5"/>
  <c r="E157" i="5" s="1"/>
  <c r="D156" i="5"/>
  <c r="E156" i="5" s="1"/>
  <c r="D155" i="5"/>
  <c r="E155" i="5" s="1"/>
  <c r="D154" i="5"/>
  <c r="E154" i="5" s="1"/>
  <c r="D153" i="5"/>
  <c r="E153" i="5" s="1"/>
  <c r="D152" i="5"/>
  <c r="E152" i="5" s="1"/>
  <c r="D151" i="5"/>
  <c r="E151" i="5" s="1"/>
  <c r="D150" i="5"/>
  <c r="E150" i="5" s="1"/>
  <c r="D149" i="5"/>
  <c r="E149" i="5" s="1"/>
  <c r="D148" i="5"/>
  <c r="E148" i="5" s="1"/>
  <c r="D147" i="5"/>
  <c r="E147" i="5" s="1"/>
  <c r="D146" i="5"/>
  <c r="E146" i="5" s="1"/>
  <c r="D145" i="5"/>
  <c r="E145" i="5" s="1"/>
  <c r="D144" i="5"/>
  <c r="E144" i="5" s="1"/>
  <c r="D143" i="5"/>
  <c r="E143" i="5" s="1"/>
  <c r="D142" i="5"/>
  <c r="E142" i="5" s="1"/>
  <c r="D141" i="5"/>
  <c r="E141" i="5" s="1"/>
  <c r="D140" i="5"/>
  <c r="E140" i="5" s="1"/>
  <c r="D139" i="5"/>
  <c r="E139" i="5" s="1"/>
  <c r="D138" i="5"/>
  <c r="E138" i="5" s="1"/>
  <c r="D137" i="5"/>
  <c r="E137" i="5" s="1"/>
  <c r="D136" i="5"/>
  <c r="E136" i="5" s="1"/>
  <c r="D135" i="5"/>
  <c r="E135" i="5" s="1"/>
  <c r="D134" i="5"/>
  <c r="E134" i="5" s="1"/>
  <c r="D133" i="5"/>
  <c r="E133" i="5" s="1"/>
  <c r="D132" i="5"/>
  <c r="E132" i="5" s="1"/>
  <c r="D131" i="5"/>
  <c r="E131" i="5" s="1"/>
  <c r="D130" i="5"/>
  <c r="E130" i="5" s="1"/>
  <c r="D129" i="5"/>
  <c r="E129" i="5" s="1"/>
  <c r="D128" i="5"/>
  <c r="E128" i="5" s="1"/>
  <c r="D127" i="5"/>
  <c r="E127" i="5" s="1"/>
  <c r="D126" i="5"/>
  <c r="E126" i="5" s="1"/>
  <c r="D125" i="5"/>
  <c r="E125" i="5" s="1"/>
  <c r="D124" i="5"/>
  <c r="E124" i="5" s="1"/>
  <c r="D123" i="5"/>
  <c r="E123" i="5" s="1"/>
  <c r="D122" i="5"/>
  <c r="E122" i="5" s="1"/>
  <c r="D121" i="5"/>
  <c r="E121" i="5" s="1"/>
  <c r="D120" i="5"/>
  <c r="E120" i="5" s="1"/>
  <c r="D119" i="5"/>
  <c r="E119" i="5" s="1"/>
  <c r="D118" i="5"/>
  <c r="E118" i="5" s="1"/>
  <c r="D117" i="5"/>
  <c r="E117" i="5" s="1"/>
  <c r="D116" i="5"/>
  <c r="E116" i="5" s="1"/>
  <c r="D115" i="5"/>
  <c r="E115" i="5" s="1"/>
  <c r="D114" i="5"/>
  <c r="E114" i="5" s="1"/>
  <c r="D113" i="5"/>
  <c r="E113" i="5" s="1"/>
  <c r="D112" i="5"/>
  <c r="E112" i="5" s="1"/>
  <c r="D111" i="5"/>
  <c r="E111" i="5" s="1"/>
  <c r="D110" i="5"/>
  <c r="E110" i="5" s="1"/>
  <c r="D109" i="5"/>
  <c r="E109" i="5" s="1"/>
  <c r="D108" i="5"/>
  <c r="E108" i="5" s="1"/>
  <c r="D107" i="5"/>
  <c r="E107" i="5" s="1"/>
  <c r="D106" i="5"/>
  <c r="E106" i="5" s="1"/>
  <c r="D105" i="5"/>
  <c r="E105" i="5" s="1"/>
  <c r="D104" i="5"/>
  <c r="E104" i="5" s="1"/>
  <c r="D103" i="5"/>
  <c r="E103" i="5" s="1"/>
  <c r="D102" i="5"/>
  <c r="E102" i="5" s="1"/>
  <c r="D101" i="5"/>
  <c r="E101" i="5" s="1"/>
  <c r="D100" i="5"/>
  <c r="E100" i="5" s="1"/>
  <c r="D99" i="5"/>
  <c r="E99" i="5" s="1"/>
  <c r="D98" i="5"/>
  <c r="E98" i="5" s="1"/>
  <c r="D97" i="5"/>
  <c r="E97" i="5" s="1"/>
  <c r="D96" i="5"/>
  <c r="E96" i="5" s="1"/>
  <c r="D95" i="5"/>
  <c r="E95" i="5" s="1"/>
  <c r="D94" i="5"/>
  <c r="E94" i="5" s="1"/>
  <c r="D93" i="5"/>
  <c r="E93" i="5" s="1"/>
  <c r="D92" i="5"/>
  <c r="E92" i="5" s="1"/>
  <c r="D91" i="5"/>
  <c r="E91" i="5" s="1"/>
  <c r="D90" i="5"/>
  <c r="E90" i="5" s="1"/>
  <c r="D89" i="5"/>
  <c r="E89" i="5" s="1"/>
  <c r="D88" i="5"/>
  <c r="E88" i="5" s="1"/>
  <c r="D87" i="5"/>
  <c r="E87" i="5" s="1"/>
  <c r="D86" i="5"/>
  <c r="E86" i="5" s="1"/>
  <c r="D85" i="5"/>
  <c r="E85" i="5" s="1"/>
  <c r="D84" i="5"/>
  <c r="E84" i="5" s="1"/>
  <c r="D83" i="5"/>
  <c r="E83" i="5" s="1"/>
  <c r="D82" i="5"/>
  <c r="E82" i="5" s="1"/>
  <c r="D81" i="5"/>
  <c r="E81" i="5" s="1"/>
  <c r="D80" i="5"/>
  <c r="E80" i="5" s="1"/>
  <c r="D79" i="5"/>
  <c r="E79" i="5" s="1"/>
  <c r="D78" i="5"/>
  <c r="E78" i="5" s="1"/>
  <c r="D77" i="5"/>
  <c r="E77" i="5" s="1"/>
  <c r="D76" i="5"/>
  <c r="E76" i="5" s="1"/>
  <c r="D75" i="5"/>
  <c r="E75" i="5" s="1"/>
  <c r="D74" i="5"/>
  <c r="E74" i="5" s="1"/>
  <c r="D73" i="5"/>
  <c r="E73" i="5" s="1"/>
  <c r="D72" i="5"/>
  <c r="E72" i="5" s="1"/>
  <c r="D71" i="5"/>
  <c r="E71" i="5" s="1"/>
  <c r="D70" i="5"/>
  <c r="E70" i="5" s="1"/>
  <c r="D69" i="5"/>
  <c r="E69" i="5" s="1"/>
  <c r="D68" i="5"/>
  <c r="E68" i="5" s="1"/>
  <c r="D67" i="5"/>
  <c r="E67" i="5" s="1"/>
  <c r="D66" i="5"/>
  <c r="E66" i="5" s="1"/>
  <c r="D65" i="5"/>
  <c r="E65" i="5" s="1"/>
  <c r="D64" i="5"/>
  <c r="E64" i="5" s="1"/>
  <c r="D63" i="5"/>
  <c r="E63" i="5" s="1"/>
  <c r="D62" i="5"/>
  <c r="E62" i="5" s="1"/>
  <c r="D61" i="5"/>
  <c r="E61" i="5" s="1"/>
  <c r="D60" i="5"/>
  <c r="E60" i="5" s="1"/>
  <c r="D59" i="5"/>
  <c r="E59" i="5" s="1"/>
  <c r="D58" i="5"/>
  <c r="E58" i="5" s="1"/>
  <c r="D57" i="5"/>
  <c r="E57" i="5" s="1"/>
  <c r="D56" i="5"/>
  <c r="E56" i="5" s="1"/>
  <c r="D55" i="5"/>
  <c r="E55" i="5" s="1"/>
  <c r="D54" i="5"/>
  <c r="E54" i="5" s="1"/>
  <c r="D53" i="5"/>
  <c r="E53" i="5" s="1"/>
  <c r="D52" i="5"/>
  <c r="E52" i="5" s="1"/>
  <c r="D51" i="5"/>
  <c r="E51" i="5" s="1"/>
  <c r="D50" i="5"/>
  <c r="E50" i="5" s="1"/>
  <c r="D49" i="5"/>
  <c r="E49" i="5" s="1"/>
  <c r="D48" i="5"/>
  <c r="E48" i="5" s="1"/>
  <c r="D47" i="5"/>
  <c r="E47" i="5" s="1"/>
  <c r="D46" i="5"/>
  <c r="E46" i="5" s="1"/>
  <c r="D45" i="5"/>
  <c r="E45" i="5" s="1"/>
  <c r="D44" i="5"/>
  <c r="E44" i="5" s="1"/>
  <c r="D43" i="5"/>
  <c r="E43" i="5" s="1"/>
  <c r="D42" i="5"/>
  <c r="E42" i="5" s="1"/>
  <c r="D41" i="5"/>
  <c r="E41" i="5" s="1"/>
  <c r="D40" i="5"/>
  <c r="E40" i="5" s="1"/>
  <c r="D39" i="5"/>
  <c r="E39" i="5" s="1"/>
  <c r="D38" i="5"/>
  <c r="E38" i="5" s="1"/>
  <c r="D37" i="5"/>
  <c r="E37" i="5" s="1"/>
  <c r="D36" i="5"/>
  <c r="E36" i="5" s="1"/>
  <c r="D35" i="5"/>
  <c r="E35" i="5" s="1"/>
  <c r="D34" i="5"/>
  <c r="E34" i="5" s="1"/>
  <c r="D33" i="5"/>
  <c r="E33" i="5" s="1"/>
  <c r="D32" i="5"/>
  <c r="E32" i="5" s="1"/>
  <c r="D31" i="5"/>
  <c r="E31" i="5" s="1"/>
  <c r="D30" i="5"/>
  <c r="E30" i="5" s="1"/>
  <c r="D29" i="5"/>
  <c r="E29" i="5" s="1"/>
  <c r="D28" i="5"/>
  <c r="E28" i="5" s="1"/>
  <c r="D27" i="5"/>
  <c r="E27" i="5" s="1"/>
  <c r="D26" i="5"/>
  <c r="E26" i="5" s="1"/>
  <c r="D25" i="5"/>
  <c r="E25" i="5" s="1"/>
  <c r="D24" i="5"/>
  <c r="E24" i="5" s="1"/>
  <c r="D23" i="5"/>
  <c r="E23" i="5" s="1"/>
  <c r="D22" i="5"/>
  <c r="E22" i="5" s="1"/>
  <c r="D21" i="5"/>
  <c r="E21" i="5" s="1"/>
  <c r="D20" i="5"/>
  <c r="E20" i="5" s="1"/>
  <c r="D19" i="5"/>
  <c r="E19" i="5" s="1"/>
  <c r="D18" i="5"/>
  <c r="E18" i="5" s="1"/>
  <c r="D17" i="5"/>
  <c r="E17" i="5" s="1"/>
  <c r="D16" i="5"/>
  <c r="E16" i="5" s="1"/>
  <c r="D15" i="5"/>
  <c r="E15" i="5" s="1"/>
  <c r="D14" i="5"/>
  <c r="E14" i="5" s="1"/>
  <c r="D13" i="5"/>
  <c r="E13" i="5" s="1"/>
  <c r="D12" i="5"/>
  <c r="E12" i="5" s="1"/>
  <c r="D11" i="5"/>
  <c r="E11" i="5" s="1"/>
  <c r="D10" i="5"/>
  <c r="E10" i="5" s="1"/>
  <c r="D9" i="5"/>
  <c r="E9" i="5" s="1"/>
  <c r="D8" i="5"/>
  <c r="E8" i="5" s="1"/>
  <c r="D7" i="5"/>
  <c r="E7" i="5" s="1"/>
  <c r="D6" i="5"/>
  <c r="E6" i="5" s="1"/>
  <c r="D5" i="5"/>
  <c r="E5" i="5" s="1"/>
  <c r="G5" i="5" s="1"/>
  <c r="F6" i="5" l="1"/>
  <c r="H6" i="5" s="1"/>
  <c r="H5" i="5"/>
  <c r="C5" i="6"/>
  <c r="E5" i="6" s="1"/>
  <c r="G5" i="6" s="1"/>
  <c r="C6" i="6"/>
  <c r="E6" i="6" s="1"/>
  <c r="C7" i="6"/>
  <c r="C8" i="6"/>
  <c r="E8" i="6" s="1"/>
  <c r="F8" i="6" s="1"/>
  <c r="C9" i="6"/>
  <c r="E9" i="6" s="1"/>
  <c r="C10" i="6"/>
  <c r="E10" i="6" s="1"/>
  <c r="C11" i="6"/>
  <c r="E11" i="6" s="1"/>
  <c r="G11" i="6" s="1"/>
  <c r="C12" i="6"/>
  <c r="C13" i="6"/>
  <c r="E13" i="6" s="1"/>
  <c r="C14" i="6"/>
  <c r="E14" i="6" s="1"/>
  <c r="C15" i="6"/>
  <c r="C16" i="6"/>
  <c r="E16" i="6" s="1"/>
  <c r="F16" i="6" s="1"/>
  <c r="C17" i="6"/>
  <c r="E17" i="6" s="1"/>
  <c r="C18" i="6"/>
  <c r="E18" i="6" s="1"/>
  <c r="C19" i="6"/>
  <c r="E19" i="6" s="1"/>
  <c r="I19" i="6" s="1"/>
  <c r="C20" i="6"/>
  <c r="C21" i="6"/>
  <c r="E21" i="6" s="1"/>
  <c r="C22" i="6"/>
  <c r="E22" i="6" s="1"/>
  <c r="C23" i="6"/>
  <c r="C24" i="6"/>
  <c r="E24" i="6" s="1"/>
  <c r="F24" i="6" s="1"/>
  <c r="C25" i="6"/>
  <c r="E25" i="6" s="1"/>
  <c r="C26" i="6"/>
  <c r="E26" i="6" s="1"/>
  <c r="C27" i="6"/>
  <c r="E27" i="6" s="1"/>
  <c r="G27" i="6" s="1"/>
  <c r="C28" i="6"/>
  <c r="E28" i="6" s="1"/>
  <c r="F28" i="6" s="1"/>
  <c r="C29" i="6"/>
  <c r="E29" i="6" s="1"/>
  <c r="C30" i="6"/>
  <c r="E30" i="6" s="1"/>
  <c r="C31" i="6"/>
  <c r="E31" i="6" s="1"/>
  <c r="G31" i="6" s="1"/>
  <c r="C32" i="6"/>
  <c r="E32" i="6" s="1"/>
  <c r="F32" i="6" s="1"/>
  <c r="C33" i="6"/>
  <c r="E33" i="6" s="1"/>
  <c r="G33" i="6" s="1"/>
  <c r="C34" i="6"/>
  <c r="E34" i="6" s="1"/>
  <c r="C35" i="6"/>
  <c r="E35" i="6" s="1"/>
  <c r="G35" i="6" s="1"/>
  <c r="C36" i="6"/>
  <c r="E36" i="6" s="1"/>
  <c r="F36" i="6" s="1"/>
  <c r="C37" i="6"/>
  <c r="E37" i="6" s="1"/>
  <c r="G37" i="6" s="1"/>
  <c r="C38" i="6"/>
  <c r="E38" i="6" s="1"/>
  <c r="H38" i="6" s="1"/>
  <c r="C39" i="6"/>
  <c r="E39" i="6" s="1"/>
  <c r="I39" i="6" s="1"/>
  <c r="C40" i="6"/>
  <c r="E40" i="6" s="1"/>
  <c r="C41" i="6"/>
  <c r="E41" i="6" s="1"/>
  <c r="G41" i="6" s="1"/>
  <c r="C42" i="6"/>
  <c r="E42" i="6" s="1"/>
  <c r="C43" i="6"/>
  <c r="C44" i="6"/>
  <c r="E44" i="6" s="1"/>
  <c r="C4" i="6"/>
  <c r="E4" i="6" s="1"/>
  <c r="F4" i="6" s="1"/>
  <c r="E23" i="6"/>
  <c r="G23" i="6" s="1"/>
  <c r="E15" i="6"/>
  <c r="G15" i="6" s="1"/>
  <c r="E7" i="6"/>
  <c r="I7" i="6" s="1"/>
  <c r="E1197" i="9"/>
  <c r="E1196" i="9"/>
  <c r="E1195" i="9"/>
  <c r="E1194" i="9"/>
  <c r="E1193" i="9"/>
  <c r="E1192" i="9"/>
  <c r="E1191" i="9"/>
  <c r="E1190" i="9"/>
  <c r="E1189" i="9"/>
  <c r="E1188" i="9"/>
  <c r="E1187" i="9"/>
  <c r="E1186" i="9"/>
  <c r="E1185" i="9"/>
  <c r="E1184" i="9"/>
  <c r="E1183" i="9"/>
  <c r="E1182" i="9"/>
  <c r="E1181" i="9"/>
  <c r="E1180" i="9"/>
  <c r="E1179" i="9"/>
  <c r="E1178" i="9"/>
  <c r="E1177" i="9"/>
  <c r="E1176" i="9"/>
  <c r="E1175" i="9"/>
  <c r="E1174" i="9"/>
  <c r="E1173" i="9"/>
  <c r="E1172" i="9"/>
  <c r="E1171" i="9"/>
  <c r="E1170" i="9"/>
  <c r="E1169" i="9"/>
  <c r="E1168" i="9"/>
  <c r="E1167" i="9"/>
  <c r="E1166" i="9"/>
  <c r="E1165" i="9"/>
  <c r="E1164" i="9"/>
  <c r="E1163" i="9"/>
  <c r="E1162" i="9"/>
  <c r="E1161" i="9"/>
  <c r="E1160" i="9"/>
  <c r="E1159" i="9"/>
  <c r="E1158" i="9"/>
  <c r="E1157" i="9"/>
  <c r="E1156" i="9"/>
  <c r="E1155" i="9"/>
  <c r="E1154" i="9"/>
  <c r="E1153" i="9"/>
  <c r="E1152" i="9"/>
  <c r="E1151" i="9"/>
  <c r="E1150" i="9"/>
  <c r="E1149" i="9"/>
  <c r="E1148" i="9"/>
  <c r="E1147" i="9"/>
  <c r="E1146" i="9"/>
  <c r="E1145" i="9"/>
  <c r="E1144" i="9"/>
  <c r="E1143" i="9"/>
  <c r="E1142" i="9"/>
  <c r="E1141" i="9"/>
  <c r="E1140" i="9"/>
  <c r="E1139" i="9"/>
  <c r="E1138" i="9"/>
  <c r="E1137" i="9"/>
  <c r="E1136" i="9"/>
  <c r="E1135" i="9"/>
  <c r="E1134" i="9"/>
  <c r="E1133" i="9"/>
  <c r="E1132" i="9"/>
  <c r="E1131" i="9"/>
  <c r="E1130" i="9"/>
  <c r="E1129" i="9"/>
  <c r="E1128" i="9"/>
  <c r="E1127" i="9"/>
  <c r="E1126" i="9"/>
  <c r="E1125" i="9"/>
  <c r="E1124" i="9"/>
  <c r="E1123" i="9"/>
  <c r="E1122" i="9"/>
  <c r="E1121" i="9"/>
  <c r="E1120" i="9"/>
  <c r="E1119" i="9"/>
  <c r="E1118" i="9"/>
  <c r="E1117" i="9"/>
  <c r="E1116" i="9"/>
  <c r="E1115" i="9"/>
  <c r="E1114" i="9"/>
  <c r="E1113" i="9"/>
  <c r="E1112" i="9"/>
  <c r="E1111" i="9"/>
  <c r="E1110" i="9"/>
  <c r="E1109" i="9"/>
  <c r="E1108" i="9"/>
  <c r="E1107" i="9"/>
  <c r="E1106" i="9"/>
  <c r="E1105" i="9"/>
  <c r="E1104" i="9"/>
  <c r="E1103" i="9"/>
  <c r="E1102" i="9"/>
  <c r="E1101" i="9"/>
  <c r="E1100" i="9"/>
  <c r="E1099" i="9"/>
  <c r="E1098" i="9"/>
  <c r="E1097" i="9"/>
  <c r="E1096" i="9"/>
  <c r="E1095" i="9"/>
  <c r="E1094" i="9"/>
  <c r="E1093" i="9"/>
  <c r="E1092" i="9"/>
  <c r="E1091" i="9"/>
  <c r="E1090" i="9"/>
  <c r="E1089" i="9"/>
  <c r="E1088" i="9"/>
  <c r="E1087" i="9"/>
  <c r="E1086" i="9"/>
  <c r="E1085" i="9"/>
  <c r="E1084" i="9"/>
  <c r="E1083" i="9"/>
  <c r="E1082" i="9"/>
  <c r="E1081" i="9"/>
  <c r="E1080" i="9"/>
  <c r="E1079" i="9"/>
  <c r="E1078" i="9"/>
  <c r="E1077" i="9"/>
  <c r="E1076" i="9"/>
  <c r="E1075" i="9"/>
  <c r="E1074" i="9"/>
  <c r="E1073" i="9"/>
  <c r="E1072" i="9"/>
  <c r="E1071" i="9"/>
  <c r="E1070" i="9"/>
  <c r="E1069" i="9"/>
  <c r="E1068" i="9"/>
  <c r="E1067" i="9"/>
  <c r="E1066" i="9"/>
  <c r="E1065" i="9"/>
  <c r="E1064" i="9"/>
  <c r="E1063" i="9"/>
  <c r="E1062" i="9"/>
  <c r="E1061" i="9"/>
  <c r="E1060" i="9"/>
  <c r="E1059" i="9"/>
  <c r="E1058" i="9"/>
  <c r="E1057" i="9"/>
  <c r="E1056" i="9"/>
  <c r="E1055" i="9"/>
  <c r="E1054" i="9"/>
  <c r="E1053" i="9"/>
  <c r="E1052" i="9"/>
  <c r="E1051" i="9"/>
  <c r="E1050" i="9"/>
  <c r="E1049" i="9"/>
  <c r="E1048" i="9"/>
  <c r="E1047" i="9"/>
  <c r="E1046" i="9"/>
  <c r="E1045" i="9"/>
  <c r="E1044" i="9"/>
  <c r="E1043" i="9"/>
  <c r="E1042" i="9"/>
  <c r="E1041" i="9"/>
  <c r="E1040" i="9"/>
  <c r="E1039" i="9"/>
  <c r="E1038" i="9"/>
  <c r="E1037" i="9"/>
  <c r="E1036" i="9"/>
  <c r="E1035" i="9"/>
  <c r="E1034" i="9"/>
  <c r="E1033" i="9"/>
  <c r="E1032" i="9"/>
  <c r="E1031" i="9"/>
  <c r="E1030" i="9"/>
  <c r="E1029" i="9"/>
  <c r="E1028" i="9"/>
  <c r="E1027" i="9"/>
  <c r="E1026" i="9"/>
  <c r="E1025" i="9"/>
  <c r="E1024" i="9"/>
  <c r="E1023" i="9"/>
  <c r="E1022" i="9"/>
  <c r="E1021" i="9"/>
  <c r="E1020" i="9"/>
  <c r="E1019" i="9"/>
  <c r="E1018" i="9"/>
  <c r="E1017" i="9"/>
  <c r="E1016" i="9"/>
  <c r="E1015" i="9"/>
  <c r="E1014" i="9"/>
  <c r="E1013" i="9"/>
  <c r="E1012" i="9"/>
  <c r="E1011" i="9"/>
  <c r="E1010" i="9"/>
  <c r="E1009" i="9"/>
  <c r="E1008" i="9"/>
  <c r="E1007" i="9"/>
  <c r="E1006" i="9"/>
  <c r="E1005" i="9"/>
  <c r="E1004" i="9"/>
  <c r="E1003" i="9"/>
  <c r="E1002" i="9"/>
  <c r="E1001" i="9"/>
  <c r="E1000" i="9"/>
  <c r="E999" i="9"/>
  <c r="E998" i="9"/>
  <c r="E997" i="9"/>
  <c r="E996" i="9"/>
  <c r="E995" i="9"/>
  <c r="E994" i="9"/>
  <c r="E993" i="9"/>
  <c r="E992" i="9"/>
  <c r="E991" i="9"/>
  <c r="E990" i="9"/>
  <c r="E989" i="9"/>
  <c r="E988" i="9"/>
  <c r="E987" i="9"/>
  <c r="E986" i="9"/>
  <c r="E985" i="9"/>
  <c r="E984" i="9"/>
  <c r="E983" i="9"/>
  <c r="E982" i="9"/>
  <c r="E981" i="9"/>
  <c r="E980" i="9"/>
  <c r="E979" i="9"/>
  <c r="E978" i="9"/>
  <c r="E977" i="9"/>
  <c r="E976" i="9"/>
  <c r="E975" i="9"/>
  <c r="E974" i="9"/>
  <c r="E973" i="9"/>
  <c r="E972" i="9"/>
  <c r="E971" i="9"/>
  <c r="E970" i="9"/>
  <c r="E969" i="9"/>
  <c r="E968" i="9"/>
  <c r="E967" i="9"/>
  <c r="E966" i="9"/>
  <c r="E965" i="9"/>
  <c r="E964" i="9"/>
  <c r="E963" i="9"/>
  <c r="E962" i="9"/>
  <c r="E961" i="9"/>
  <c r="E960" i="9"/>
  <c r="E959" i="9"/>
  <c r="E958" i="9"/>
  <c r="E957" i="9"/>
  <c r="E956" i="9"/>
  <c r="E955" i="9"/>
  <c r="E954" i="9"/>
  <c r="E953" i="9"/>
  <c r="E952" i="9"/>
  <c r="E951" i="9"/>
  <c r="E950" i="9"/>
  <c r="E949" i="9"/>
  <c r="E948" i="9"/>
  <c r="E947" i="9"/>
  <c r="E946" i="9"/>
  <c r="E945" i="9"/>
  <c r="E944" i="9"/>
  <c r="E943" i="9"/>
  <c r="E942" i="9"/>
  <c r="E941" i="9"/>
  <c r="E940" i="9"/>
  <c r="E939" i="9"/>
  <c r="E938" i="9"/>
  <c r="E937" i="9"/>
  <c r="E936" i="9"/>
  <c r="E935" i="9"/>
  <c r="E934" i="9"/>
  <c r="E933" i="9"/>
  <c r="E932" i="9"/>
  <c r="E931" i="9"/>
  <c r="E930" i="9"/>
  <c r="E929" i="9"/>
  <c r="E928" i="9"/>
  <c r="E927" i="9"/>
  <c r="E926" i="9"/>
  <c r="E925" i="9"/>
  <c r="E924" i="9"/>
  <c r="E923" i="9"/>
  <c r="E922" i="9"/>
  <c r="E921" i="9"/>
  <c r="E920" i="9"/>
  <c r="E919" i="9"/>
  <c r="E918" i="9"/>
  <c r="E917" i="9"/>
  <c r="E916" i="9"/>
  <c r="E915" i="9"/>
  <c r="E914" i="9"/>
  <c r="E913" i="9"/>
  <c r="E912" i="9"/>
  <c r="E911" i="9"/>
  <c r="E910" i="9"/>
  <c r="E909" i="9"/>
  <c r="E908" i="9"/>
  <c r="E907" i="9"/>
  <c r="E906" i="9"/>
  <c r="E905" i="9"/>
  <c r="E904" i="9"/>
  <c r="E903" i="9"/>
  <c r="E902" i="9"/>
  <c r="E901" i="9"/>
  <c r="E900" i="9"/>
  <c r="E899" i="9"/>
  <c r="E898" i="9"/>
  <c r="E897" i="9"/>
  <c r="E896" i="9"/>
  <c r="E895" i="9"/>
  <c r="E894" i="9"/>
  <c r="E893" i="9"/>
  <c r="E892" i="9"/>
  <c r="E891" i="9"/>
  <c r="E890" i="9"/>
  <c r="E889" i="9"/>
  <c r="E888" i="9"/>
  <c r="E887" i="9"/>
  <c r="E886" i="9"/>
  <c r="E885" i="9"/>
  <c r="E884" i="9"/>
  <c r="E883" i="9"/>
  <c r="E882" i="9"/>
  <c r="E881" i="9"/>
  <c r="E880" i="9"/>
  <c r="E879" i="9"/>
  <c r="E878" i="9"/>
  <c r="E877" i="9"/>
  <c r="E876" i="9"/>
  <c r="E875" i="9"/>
  <c r="E874" i="9"/>
  <c r="E873" i="9"/>
  <c r="E872" i="9"/>
  <c r="E871" i="9"/>
  <c r="E870" i="9"/>
  <c r="E869" i="9"/>
  <c r="E868" i="9"/>
  <c r="E867" i="9"/>
  <c r="E866" i="9"/>
  <c r="E865" i="9"/>
  <c r="E864" i="9"/>
  <c r="E863" i="9"/>
  <c r="E862" i="9"/>
  <c r="E861" i="9"/>
  <c r="E860" i="9"/>
  <c r="E859" i="9"/>
  <c r="E858" i="9"/>
  <c r="E857" i="9"/>
  <c r="E856" i="9"/>
  <c r="E855" i="9"/>
  <c r="E854" i="9"/>
  <c r="E853" i="9"/>
  <c r="E852" i="9"/>
  <c r="E851" i="9"/>
  <c r="E850" i="9"/>
  <c r="E849" i="9"/>
  <c r="E848" i="9"/>
  <c r="E847" i="9"/>
  <c r="E846" i="9"/>
  <c r="E845" i="9"/>
  <c r="E844" i="9"/>
  <c r="E843" i="9"/>
  <c r="E842" i="9"/>
  <c r="E841" i="9"/>
  <c r="E840" i="9"/>
  <c r="E839" i="9"/>
  <c r="E838" i="9"/>
  <c r="E837" i="9"/>
  <c r="E836" i="9"/>
  <c r="E835" i="9"/>
  <c r="E834" i="9"/>
  <c r="E833" i="9"/>
  <c r="E832" i="9"/>
  <c r="E831" i="9"/>
  <c r="E830" i="9"/>
  <c r="E829" i="9"/>
  <c r="E828" i="9"/>
  <c r="E827" i="9"/>
  <c r="E826" i="9"/>
  <c r="E825" i="9"/>
  <c r="E824" i="9"/>
  <c r="E823" i="9"/>
  <c r="E822" i="9"/>
  <c r="E821" i="9"/>
  <c r="E820" i="9"/>
  <c r="E819" i="9"/>
  <c r="E818" i="9"/>
  <c r="E817" i="9"/>
  <c r="E816" i="9"/>
  <c r="E815" i="9"/>
  <c r="E814" i="9"/>
  <c r="E813" i="9"/>
  <c r="E812" i="9"/>
  <c r="E811" i="9"/>
  <c r="E810" i="9"/>
  <c r="E809" i="9"/>
  <c r="E808" i="9"/>
  <c r="E807" i="9"/>
  <c r="E806" i="9"/>
  <c r="E805" i="9"/>
  <c r="E804" i="9"/>
  <c r="E803" i="9"/>
  <c r="E802" i="9"/>
  <c r="E801" i="9"/>
  <c r="E800" i="9"/>
  <c r="E799" i="9"/>
  <c r="E798" i="9"/>
  <c r="E797" i="9"/>
  <c r="E796" i="9"/>
  <c r="E795" i="9"/>
  <c r="E794" i="9"/>
  <c r="E793" i="9"/>
  <c r="E792" i="9"/>
  <c r="E791" i="9"/>
  <c r="E790" i="9"/>
  <c r="E789" i="9"/>
  <c r="E788" i="9"/>
  <c r="E787" i="9"/>
  <c r="E786" i="9"/>
  <c r="E785" i="9"/>
  <c r="E784" i="9"/>
  <c r="E783" i="9"/>
  <c r="E782" i="9"/>
  <c r="E781" i="9"/>
  <c r="E780" i="9"/>
  <c r="E779" i="9"/>
  <c r="E778" i="9"/>
  <c r="E777" i="9"/>
  <c r="E776" i="9"/>
  <c r="E775" i="9"/>
  <c r="E774" i="9"/>
  <c r="E773" i="9"/>
  <c r="E772" i="9"/>
  <c r="E771" i="9"/>
  <c r="E770" i="9"/>
  <c r="E769" i="9"/>
  <c r="E768" i="9"/>
  <c r="E767" i="9"/>
  <c r="E766" i="9"/>
  <c r="E765" i="9"/>
  <c r="E764" i="9"/>
  <c r="E763" i="9"/>
  <c r="E762" i="9"/>
  <c r="E761" i="9"/>
  <c r="E760" i="9"/>
  <c r="E759" i="9"/>
  <c r="E758" i="9"/>
  <c r="E757" i="9"/>
  <c r="E756" i="9"/>
  <c r="E755" i="9"/>
  <c r="E754" i="9"/>
  <c r="E753" i="9"/>
  <c r="E752" i="9"/>
  <c r="E751" i="9"/>
  <c r="E750" i="9"/>
  <c r="E749" i="9"/>
  <c r="E748" i="9"/>
  <c r="E747" i="9"/>
  <c r="E746" i="9"/>
  <c r="E745" i="9"/>
  <c r="E744" i="9"/>
  <c r="E743" i="9"/>
  <c r="E742" i="9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E559" i="9"/>
  <c r="E558" i="9"/>
  <c r="E557" i="9"/>
  <c r="E556" i="9"/>
  <c r="E555" i="9"/>
  <c r="E554" i="9"/>
  <c r="E553" i="9"/>
  <c r="E552" i="9"/>
  <c r="E551" i="9"/>
  <c r="E550" i="9"/>
  <c r="E549" i="9"/>
  <c r="E548" i="9"/>
  <c r="E547" i="9"/>
  <c r="E546" i="9"/>
  <c r="E545" i="9"/>
  <c r="E544" i="9"/>
  <c r="E543" i="9"/>
  <c r="E542" i="9"/>
  <c r="E541" i="9"/>
  <c r="E540" i="9"/>
  <c r="E539" i="9"/>
  <c r="E538" i="9"/>
  <c r="E537" i="9"/>
  <c r="E536" i="9"/>
  <c r="E535" i="9"/>
  <c r="E534" i="9"/>
  <c r="E533" i="9"/>
  <c r="E532" i="9"/>
  <c r="E531" i="9"/>
  <c r="E530" i="9"/>
  <c r="E529" i="9"/>
  <c r="E528" i="9"/>
  <c r="E527" i="9"/>
  <c r="E526" i="9"/>
  <c r="E525" i="9"/>
  <c r="E524" i="9"/>
  <c r="E523" i="9"/>
  <c r="E522" i="9"/>
  <c r="E521" i="9"/>
  <c r="E520" i="9"/>
  <c r="E519" i="9"/>
  <c r="E518" i="9"/>
  <c r="E517" i="9"/>
  <c r="E516" i="9"/>
  <c r="E515" i="9"/>
  <c r="E514" i="9"/>
  <c r="E513" i="9"/>
  <c r="E512" i="9"/>
  <c r="E511" i="9"/>
  <c r="E510" i="9"/>
  <c r="E509" i="9"/>
  <c r="E508" i="9"/>
  <c r="E507" i="9"/>
  <c r="E506" i="9"/>
  <c r="E505" i="9"/>
  <c r="E504" i="9"/>
  <c r="E503" i="9"/>
  <c r="E502" i="9"/>
  <c r="E501" i="9"/>
  <c r="E500" i="9"/>
  <c r="E499" i="9"/>
  <c r="E498" i="9"/>
  <c r="E497" i="9"/>
  <c r="E496" i="9"/>
  <c r="E495" i="9"/>
  <c r="E494" i="9"/>
  <c r="E493" i="9"/>
  <c r="E492" i="9"/>
  <c r="E491" i="9"/>
  <c r="E490" i="9"/>
  <c r="E489" i="9"/>
  <c r="E488" i="9"/>
  <c r="E487" i="9"/>
  <c r="E486" i="9"/>
  <c r="E485" i="9"/>
  <c r="E484" i="9"/>
  <c r="E483" i="9"/>
  <c r="E482" i="9"/>
  <c r="E481" i="9"/>
  <c r="E480" i="9"/>
  <c r="E479" i="9"/>
  <c r="E478" i="9"/>
  <c r="E477" i="9"/>
  <c r="E476" i="9"/>
  <c r="E475" i="9"/>
  <c r="E474" i="9"/>
  <c r="E473" i="9"/>
  <c r="E472" i="9"/>
  <c r="E471" i="9"/>
  <c r="E470" i="9"/>
  <c r="E469" i="9"/>
  <c r="E468" i="9"/>
  <c r="E467" i="9"/>
  <c r="E466" i="9"/>
  <c r="E465" i="9"/>
  <c r="E464" i="9"/>
  <c r="E463" i="9"/>
  <c r="E462" i="9"/>
  <c r="E461" i="9"/>
  <c r="E460" i="9"/>
  <c r="E459" i="9"/>
  <c r="E458" i="9"/>
  <c r="E457" i="9"/>
  <c r="E456" i="9"/>
  <c r="E455" i="9"/>
  <c r="E454" i="9"/>
  <c r="E453" i="9"/>
  <c r="E452" i="9"/>
  <c r="E451" i="9"/>
  <c r="E450" i="9"/>
  <c r="E449" i="9"/>
  <c r="E448" i="9"/>
  <c r="E447" i="9"/>
  <c r="E446" i="9"/>
  <c r="E445" i="9"/>
  <c r="E444" i="9"/>
  <c r="E443" i="9"/>
  <c r="E442" i="9"/>
  <c r="E441" i="9"/>
  <c r="E440" i="9"/>
  <c r="E439" i="9"/>
  <c r="E438" i="9"/>
  <c r="E437" i="9"/>
  <c r="E436" i="9"/>
  <c r="E435" i="9"/>
  <c r="E434" i="9"/>
  <c r="E433" i="9"/>
  <c r="E432" i="9"/>
  <c r="E431" i="9"/>
  <c r="E430" i="9"/>
  <c r="E429" i="9"/>
  <c r="E428" i="9"/>
  <c r="E427" i="9"/>
  <c r="E426" i="9"/>
  <c r="E425" i="9"/>
  <c r="E424" i="9"/>
  <c r="E423" i="9"/>
  <c r="E422" i="9"/>
  <c r="E421" i="9"/>
  <c r="E420" i="9"/>
  <c r="E419" i="9"/>
  <c r="E418" i="9"/>
  <c r="E417" i="9"/>
  <c r="E416" i="9"/>
  <c r="E415" i="9"/>
  <c r="E414" i="9"/>
  <c r="E413" i="9"/>
  <c r="E412" i="9"/>
  <c r="E411" i="9"/>
  <c r="E410" i="9"/>
  <c r="E409" i="9"/>
  <c r="E408" i="9"/>
  <c r="E407" i="9"/>
  <c r="E406" i="9"/>
  <c r="E405" i="9"/>
  <c r="E404" i="9"/>
  <c r="E403" i="9"/>
  <c r="E402" i="9"/>
  <c r="E401" i="9"/>
  <c r="E400" i="9"/>
  <c r="E399" i="9"/>
  <c r="E398" i="9"/>
  <c r="E397" i="9"/>
  <c r="E396" i="9"/>
  <c r="E395" i="9"/>
  <c r="E394" i="9"/>
  <c r="E393" i="9"/>
  <c r="E392" i="9"/>
  <c r="E391" i="9"/>
  <c r="E390" i="9"/>
  <c r="E389" i="9"/>
  <c r="E388" i="9"/>
  <c r="E387" i="9"/>
  <c r="E386" i="9"/>
  <c r="E385" i="9"/>
  <c r="E384" i="9"/>
  <c r="E383" i="9"/>
  <c r="E382" i="9"/>
  <c r="E381" i="9"/>
  <c r="E380" i="9"/>
  <c r="E379" i="9"/>
  <c r="E378" i="9"/>
  <c r="E377" i="9"/>
  <c r="E376" i="9"/>
  <c r="E375" i="9"/>
  <c r="E374" i="9"/>
  <c r="E373" i="9"/>
  <c r="E372" i="9"/>
  <c r="E371" i="9"/>
  <c r="E370" i="9"/>
  <c r="E369" i="9"/>
  <c r="E368" i="9"/>
  <c r="E367" i="9"/>
  <c r="E366" i="9"/>
  <c r="E365" i="9"/>
  <c r="E364" i="9"/>
  <c r="E363" i="9"/>
  <c r="E362" i="9"/>
  <c r="E361" i="9"/>
  <c r="E360" i="9"/>
  <c r="E359" i="9"/>
  <c r="E358" i="9"/>
  <c r="E357" i="9"/>
  <c r="E356" i="9"/>
  <c r="E355" i="9"/>
  <c r="E354" i="9"/>
  <c r="E353" i="9"/>
  <c r="E352" i="9"/>
  <c r="E351" i="9"/>
  <c r="E350" i="9"/>
  <c r="E349" i="9"/>
  <c r="E348" i="9"/>
  <c r="E347" i="9"/>
  <c r="E346" i="9"/>
  <c r="E345" i="9"/>
  <c r="E344" i="9"/>
  <c r="E343" i="9"/>
  <c r="E342" i="9"/>
  <c r="E341" i="9"/>
  <c r="E340" i="9"/>
  <c r="E339" i="9"/>
  <c r="E338" i="9"/>
  <c r="E337" i="9"/>
  <c r="E336" i="9"/>
  <c r="E335" i="9"/>
  <c r="E334" i="9"/>
  <c r="E333" i="9"/>
  <c r="E332" i="9"/>
  <c r="E331" i="9"/>
  <c r="E330" i="9"/>
  <c r="E329" i="9"/>
  <c r="E328" i="9"/>
  <c r="E327" i="9"/>
  <c r="E326" i="9"/>
  <c r="E325" i="9"/>
  <c r="E324" i="9"/>
  <c r="E323" i="9"/>
  <c r="E322" i="9"/>
  <c r="E321" i="9"/>
  <c r="E320" i="9"/>
  <c r="E319" i="9"/>
  <c r="E318" i="9"/>
  <c r="E317" i="9"/>
  <c r="E316" i="9"/>
  <c r="E315" i="9"/>
  <c r="E314" i="9"/>
  <c r="E313" i="9"/>
  <c r="E312" i="9"/>
  <c r="E311" i="9"/>
  <c r="E310" i="9"/>
  <c r="E309" i="9"/>
  <c r="E308" i="9"/>
  <c r="E307" i="9"/>
  <c r="E306" i="9"/>
  <c r="E305" i="9"/>
  <c r="E304" i="9"/>
  <c r="E303" i="9"/>
  <c r="E302" i="9"/>
  <c r="E301" i="9"/>
  <c r="E300" i="9"/>
  <c r="E299" i="9"/>
  <c r="E298" i="9"/>
  <c r="E297" i="9"/>
  <c r="E296" i="9"/>
  <c r="E295" i="9"/>
  <c r="E294" i="9"/>
  <c r="E293" i="9"/>
  <c r="E292" i="9"/>
  <c r="E291" i="9"/>
  <c r="E290" i="9"/>
  <c r="E289" i="9"/>
  <c r="E288" i="9"/>
  <c r="E287" i="9"/>
  <c r="E286" i="9"/>
  <c r="E285" i="9"/>
  <c r="E284" i="9"/>
  <c r="E283" i="9"/>
  <c r="E282" i="9"/>
  <c r="E281" i="9"/>
  <c r="E280" i="9"/>
  <c r="E279" i="9"/>
  <c r="E278" i="9"/>
  <c r="E277" i="9"/>
  <c r="E276" i="9"/>
  <c r="E275" i="9"/>
  <c r="E274" i="9"/>
  <c r="E273" i="9"/>
  <c r="E272" i="9"/>
  <c r="E271" i="9"/>
  <c r="E270" i="9"/>
  <c r="E269" i="9"/>
  <c r="E268" i="9"/>
  <c r="E267" i="9"/>
  <c r="E266" i="9"/>
  <c r="E265" i="9"/>
  <c r="E264" i="9"/>
  <c r="E263" i="9"/>
  <c r="E262" i="9"/>
  <c r="E261" i="9"/>
  <c r="E260" i="9"/>
  <c r="E259" i="9"/>
  <c r="E258" i="9"/>
  <c r="E257" i="9"/>
  <c r="E256" i="9"/>
  <c r="E255" i="9"/>
  <c r="E254" i="9"/>
  <c r="E253" i="9"/>
  <c r="E252" i="9"/>
  <c r="E251" i="9"/>
  <c r="E250" i="9"/>
  <c r="E249" i="9"/>
  <c r="E248" i="9"/>
  <c r="E247" i="9"/>
  <c r="E246" i="9"/>
  <c r="E245" i="9"/>
  <c r="E244" i="9"/>
  <c r="E243" i="9"/>
  <c r="E242" i="9"/>
  <c r="E241" i="9"/>
  <c r="E240" i="9"/>
  <c r="E239" i="9"/>
  <c r="E238" i="9"/>
  <c r="E237" i="9"/>
  <c r="E236" i="9"/>
  <c r="E235" i="9"/>
  <c r="E234" i="9"/>
  <c r="E233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2" i="9"/>
  <c r="E211" i="9"/>
  <c r="E210" i="9"/>
  <c r="E209" i="9"/>
  <c r="E208" i="9"/>
  <c r="E207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1" i="9"/>
  <c r="E190" i="9"/>
  <c r="E189" i="9"/>
  <c r="E188" i="9"/>
  <c r="E187" i="9"/>
  <c r="E186" i="9"/>
  <c r="E185" i="9"/>
  <c r="E184" i="9"/>
  <c r="E183" i="9"/>
  <c r="E182" i="9"/>
  <c r="E181" i="9"/>
  <c r="E180" i="9"/>
  <c r="E179" i="9"/>
  <c r="E178" i="9"/>
  <c r="E177" i="9"/>
  <c r="E176" i="9"/>
  <c r="E175" i="9"/>
  <c r="E174" i="9"/>
  <c r="E173" i="9"/>
  <c r="E172" i="9"/>
  <c r="E171" i="9"/>
  <c r="E170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D44" i="6"/>
  <c r="E43" i="6"/>
  <c r="I43" i="6" s="1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E20" i="6"/>
  <c r="F20" i="6" s="1"/>
  <c r="D19" i="6"/>
  <c r="D18" i="6"/>
  <c r="D17" i="6"/>
  <c r="D16" i="6"/>
  <c r="D15" i="6"/>
  <c r="D14" i="6"/>
  <c r="D13" i="6"/>
  <c r="D12" i="6"/>
  <c r="E12" i="6"/>
  <c r="F12" i="6" s="1"/>
  <c r="D11" i="6"/>
  <c r="D10" i="6"/>
  <c r="D9" i="6"/>
  <c r="D8" i="6"/>
  <c r="D7" i="6"/>
  <c r="D6" i="6"/>
  <c r="D5" i="6"/>
  <c r="D4" i="6"/>
  <c r="G6" i="5" l="1"/>
  <c r="G26" i="6"/>
  <c r="G34" i="6"/>
  <c r="G30" i="6"/>
  <c r="G38" i="6"/>
  <c r="I8" i="6"/>
  <c r="G10" i="6"/>
  <c r="I24" i="6"/>
  <c r="I32" i="6"/>
  <c r="G42" i="6"/>
  <c r="H5" i="6"/>
  <c r="H7" i="6"/>
  <c r="H11" i="6"/>
  <c r="H15" i="6"/>
  <c r="H19" i="6"/>
  <c r="H23" i="6"/>
  <c r="H27" i="6"/>
  <c r="H31" i="6"/>
  <c r="H35" i="6"/>
  <c r="F17" i="6"/>
  <c r="F29" i="6"/>
  <c r="F37" i="6"/>
  <c r="H39" i="6"/>
  <c r="H43" i="6"/>
  <c r="G21" i="6"/>
  <c r="I21" i="6"/>
  <c r="F40" i="6"/>
  <c r="G40" i="6"/>
  <c r="I9" i="6"/>
  <c r="G9" i="6"/>
  <c r="I12" i="6"/>
  <c r="G14" i="6"/>
  <c r="F21" i="6"/>
  <c r="G25" i="6"/>
  <c r="I25" i="6"/>
  <c r="I40" i="6"/>
  <c r="I4" i="6"/>
  <c r="F9" i="6"/>
  <c r="G13" i="6"/>
  <c r="I13" i="6"/>
  <c r="I16" i="6"/>
  <c r="G18" i="6"/>
  <c r="F25" i="6"/>
  <c r="I28" i="6"/>
  <c r="F33" i="6"/>
  <c r="I36" i="6"/>
  <c r="G44" i="6"/>
  <c r="F44" i="6"/>
  <c r="G6" i="6"/>
  <c r="F13" i="6"/>
  <c r="I17" i="6"/>
  <c r="G17" i="6"/>
  <c r="I20" i="6"/>
  <c r="G22" i="6"/>
  <c r="G29" i="6"/>
  <c r="I29" i="6"/>
  <c r="F41" i="6"/>
  <c r="I44" i="6"/>
  <c r="I5" i="6"/>
  <c r="H6" i="6"/>
  <c r="H10" i="6"/>
  <c r="I11" i="6"/>
  <c r="I15" i="6"/>
  <c r="H18" i="6"/>
  <c r="I23" i="6"/>
  <c r="I27" i="6"/>
  <c r="I31" i="6"/>
  <c r="I35" i="6"/>
  <c r="G4" i="6"/>
  <c r="F5" i="6"/>
  <c r="I6" i="6"/>
  <c r="F7" i="6"/>
  <c r="G8" i="6"/>
  <c r="H9" i="6"/>
  <c r="I10" i="6"/>
  <c r="F11" i="6"/>
  <c r="G12" i="6"/>
  <c r="H13" i="6"/>
  <c r="I14" i="6"/>
  <c r="F15" i="6"/>
  <c r="G16" i="6"/>
  <c r="H17" i="6"/>
  <c r="I18" i="6"/>
  <c r="F19" i="6"/>
  <c r="G20" i="6"/>
  <c r="H21" i="6"/>
  <c r="I22" i="6"/>
  <c r="F23" i="6"/>
  <c r="G24" i="6"/>
  <c r="H25" i="6"/>
  <c r="I26" i="6"/>
  <c r="F27" i="6"/>
  <c r="G28" i="6"/>
  <c r="H29" i="6"/>
  <c r="I30" i="6"/>
  <c r="F31" i="6"/>
  <c r="G32" i="6"/>
  <c r="H33" i="6"/>
  <c r="I34" i="6"/>
  <c r="F35" i="6"/>
  <c r="G36" i="6"/>
  <c r="H37" i="6"/>
  <c r="I38" i="6"/>
  <c r="F39" i="6"/>
  <c r="H41" i="6"/>
  <c r="I42" i="6"/>
  <c r="F43" i="6"/>
  <c r="H4" i="6"/>
  <c r="F6" i="6"/>
  <c r="G7" i="6"/>
  <c r="H8" i="6"/>
  <c r="F10" i="6"/>
  <c r="H12" i="6"/>
  <c r="F14" i="6"/>
  <c r="H16" i="6"/>
  <c r="F18" i="6"/>
  <c r="G19" i="6"/>
  <c r="H20" i="6"/>
  <c r="F22" i="6"/>
  <c r="H24" i="6"/>
  <c r="F26" i="6"/>
  <c r="H28" i="6"/>
  <c r="F30" i="6"/>
  <c r="H32" i="6"/>
  <c r="I33" i="6"/>
  <c r="F34" i="6"/>
  <c r="H36" i="6"/>
  <c r="I37" i="6"/>
  <c r="F38" i="6"/>
  <c r="G39" i="6"/>
  <c r="H40" i="6"/>
  <c r="I41" i="6"/>
  <c r="F42" i="6"/>
  <c r="G43" i="6"/>
  <c r="H44" i="6"/>
  <c r="H14" i="6"/>
  <c r="H22" i="6"/>
  <c r="H26" i="6"/>
  <c r="H30" i="6"/>
  <c r="H34" i="6"/>
  <c r="H42" i="6"/>
  <c r="F7" i="5" l="1"/>
  <c r="O4" i="6"/>
  <c r="P4" i="6"/>
  <c r="P5" i="6"/>
  <c r="O5" i="6"/>
  <c r="H7" i="5" l="1"/>
  <c r="G7" i="5"/>
  <c r="I24" i="4"/>
  <c r="H24" i="4"/>
  <c r="G24" i="4"/>
  <c r="F24" i="4"/>
  <c r="I23" i="4"/>
  <c r="H23" i="4"/>
  <c r="G23" i="4"/>
  <c r="F23" i="4"/>
  <c r="I22" i="4"/>
  <c r="H22" i="4"/>
  <c r="G22" i="4"/>
  <c r="F22" i="4"/>
  <c r="I21" i="4"/>
  <c r="H21" i="4"/>
  <c r="G21" i="4"/>
  <c r="F21" i="4"/>
  <c r="I20" i="4"/>
  <c r="H20" i="4"/>
  <c r="G20" i="4"/>
  <c r="F20" i="4"/>
  <c r="I19" i="4"/>
  <c r="H19" i="4"/>
  <c r="G19" i="4"/>
  <c r="F19" i="4"/>
  <c r="I18" i="4"/>
  <c r="H18" i="4"/>
  <c r="G18" i="4"/>
  <c r="F18" i="4"/>
  <c r="I17" i="4"/>
  <c r="H17" i="4"/>
  <c r="G17" i="4"/>
  <c r="F17" i="4"/>
  <c r="I16" i="4"/>
  <c r="H16" i="4"/>
  <c r="G16" i="4"/>
  <c r="F16" i="4"/>
  <c r="I15" i="4"/>
  <c r="H15" i="4"/>
  <c r="G15" i="4"/>
  <c r="F15" i="4"/>
  <c r="I14" i="4"/>
  <c r="H14" i="4"/>
  <c r="G14" i="4"/>
  <c r="F14" i="4"/>
  <c r="I13" i="4"/>
  <c r="H13" i="4"/>
  <c r="G13" i="4"/>
  <c r="F13" i="4"/>
  <c r="I12" i="4"/>
  <c r="H12" i="4"/>
  <c r="G12" i="4"/>
  <c r="F12" i="4"/>
  <c r="I11" i="4"/>
  <c r="H11" i="4"/>
  <c r="G11" i="4"/>
  <c r="F11" i="4"/>
  <c r="I10" i="4"/>
  <c r="H10" i="4"/>
  <c r="G10" i="4"/>
  <c r="F10" i="4"/>
  <c r="I9" i="4"/>
  <c r="H9" i="4"/>
  <c r="G9" i="4"/>
  <c r="F9" i="4"/>
  <c r="I8" i="4"/>
  <c r="H8" i="4"/>
  <c r="G8" i="4"/>
  <c r="F8" i="4"/>
  <c r="I7" i="4"/>
  <c r="H7" i="4"/>
  <c r="G7" i="4"/>
  <c r="F7" i="4"/>
  <c r="I6" i="4"/>
  <c r="H6" i="4"/>
  <c r="G6" i="4"/>
  <c r="F6" i="4"/>
  <c r="I5" i="4"/>
  <c r="H5" i="4"/>
  <c r="G5" i="4"/>
  <c r="F5" i="4"/>
  <c r="I4" i="4"/>
  <c r="H4" i="4"/>
  <c r="G4" i="4"/>
  <c r="F4" i="4"/>
  <c r="I3" i="4"/>
  <c r="H3" i="4"/>
  <c r="G3" i="4"/>
  <c r="F3" i="4"/>
  <c r="I2" i="4"/>
  <c r="H2" i="4"/>
  <c r="G2" i="4"/>
  <c r="F2" i="4"/>
  <c r="P4" i="4" s="1"/>
  <c r="F8" i="5" l="1"/>
  <c r="Q4" i="4"/>
  <c r="Q5" i="4"/>
  <c r="P5" i="4"/>
  <c r="H8" i="5" l="1"/>
  <c r="G8" i="5"/>
  <c r="F9" i="5" l="1"/>
  <c r="H9" i="5" l="1"/>
  <c r="G9" i="5"/>
  <c r="F10" i="5" l="1"/>
  <c r="H10" i="5" l="1"/>
  <c r="G10" i="5"/>
  <c r="F11" i="5" s="1"/>
  <c r="H11" i="5" l="1"/>
  <c r="G11" i="5"/>
  <c r="F12" i="5" s="1"/>
  <c r="H12" i="5" l="1"/>
  <c r="G12" i="5"/>
  <c r="F13" i="5" s="1"/>
  <c r="H13" i="5" l="1"/>
  <c r="G13" i="5"/>
  <c r="F14" i="5" s="1"/>
  <c r="H14" i="5" l="1"/>
  <c r="G14" i="5"/>
  <c r="F15" i="5" s="1"/>
  <c r="H15" i="5" l="1"/>
  <c r="G15" i="5"/>
  <c r="F16" i="5" s="1"/>
  <c r="H16" i="5" l="1"/>
  <c r="G16" i="5"/>
  <c r="F17" i="5" s="1"/>
  <c r="H17" i="5" l="1"/>
  <c r="G17" i="5"/>
  <c r="F18" i="5" s="1"/>
  <c r="H18" i="5" l="1"/>
  <c r="G18" i="5"/>
  <c r="F19" i="5" s="1"/>
  <c r="H19" i="5" l="1"/>
  <c r="G19" i="5"/>
  <c r="F20" i="5" s="1"/>
  <c r="H20" i="5" l="1"/>
  <c r="G20" i="5"/>
  <c r="F21" i="5" s="1"/>
  <c r="H21" i="5" l="1"/>
  <c r="G21" i="5"/>
  <c r="F22" i="5" s="1"/>
  <c r="H22" i="5" l="1"/>
  <c r="G22" i="5"/>
  <c r="F23" i="5" s="1"/>
  <c r="H23" i="5" l="1"/>
  <c r="G23" i="5"/>
  <c r="F24" i="5" s="1"/>
  <c r="H24" i="5" l="1"/>
  <c r="G24" i="5"/>
  <c r="F25" i="5" s="1"/>
  <c r="H25" i="5" l="1"/>
  <c r="G25" i="5"/>
  <c r="F26" i="5" s="1"/>
  <c r="H26" i="5" l="1"/>
  <c r="G26" i="5"/>
  <c r="F27" i="5" s="1"/>
  <c r="H27" i="5" l="1"/>
  <c r="G27" i="5"/>
  <c r="F28" i="5" s="1"/>
  <c r="H28" i="5" l="1"/>
  <c r="G28" i="5"/>
  <c r="F29" i="5" s="1"/>
  <c r="H29" i="5" l="1"/>
  <c r="G29" i="5"/>
  <c r="F30" i="5" s="1"/>
  <c r="H30" i="5" l="1"/>
  <c r="G30" i="5"/>
  <c r="F31" i="5" s="1"/>
  <c r="H31" i="5" l="1"/>
  <c r="G31" i="5"/>
  <c r="F32" i="5" s="1"/>
  <c r="H32" i="5" l="1"/>
  <c r="G32" i="5"/>
  <c r="F33" i="5" s="1"/>
  <c r="H33" i="5" l="1"/>
  <c r="G33" i="5"/>
  <c r="F34" i="5" s="1"/>
  <c r="H34" i="5" l="1"/>
  <c r="G34" i="5"/>
  <c r="F35" i="5" s="1"/>
  <c r="H35" i="5" l="1"/>
  <c r="G35" i="5"/>
  <c r="F36" i="5" s="1"/>
  <c r="H36" i="5" l="1"/>
  <c r="G36" i="5"/>
  <c r="F37" i="5" s="1"/>
  <c r="H37" i="5" l="1"/>
  <c r="G37" i="5"/>
  <c r="F38" i="5" s="1"/>
  <c r="H38" i="5" l="1"/>
  <c r="G38" i="5"/>
  <c r="F39" i="5" s="1"/>
  <c r="H39" i="5" l="1"/>
  <c r="G39" i="5"/>
  <c r="F40" i="5" s="1"/>
  <c r="H40" i="5" l="1"/>
  <c r="G40" i="5"/>
  <c r="F41" i="5" s="1"/>
  <c r="H41" i="5" l="1"/>
  <c r="G41" i="5"/>
  <c r="F42" i="5" s="1"/>
  <c r="H42" i="5" l="1"/>
  <c r="G42" i="5"/>
  <c r="F43" i="5" s="1"/>
  <c r="H43" i="5" l="1"/>
  <c r="G43" i="5"/>
  <c r="F44" i="5" s="1"/>
  <c r="H44" i="5" l="1"/>
  <c r="G44" i="5"/>
  <c r="F45" i="5" s="1"/>
  <c r="H45" i="5" l="1"/>
  <c r="G45" i="5"/>
  <c r="F46" i="5" s="1"/>
  <c r="H46" i="5" l="1"/>
  <c r="G46" i="5"/>
  <c r="F47" i="5" s="1"/>
  <c r="H47" i="5" l="1"/>
  <c r="G47" i="5"/>
  <c r="F48" i="5" s="1"/>
  <c r="H48" i="5" l="1"/>
  <c r="G48" i="5"/>
  <c r="F49" i="5" s="1"/>
  <c r="H49" i="5" l="1"/>
  <c r="G49" i="5"/>
  <c r="F50" i="5" s="1"/>
  <c r="H50" i="5" l="1"/>
  <c r="G50" i="5"/>
  <c r="F51" i="5" s="1"/>
  <c r="H51" i="5" l="1"/>
  <c r="G51" i="5"/>
  <c r="F52" i="5" s="1"/>
  <c r="H52" i="5" l="1"/>
  <c r="G52" i="5"/>
  <c r="F53" i="5" s="1"/>
  <c r="H53" i="5" l="1"/>
  <c r="G53" i="5"/>
  <c r="F54" i="5" s="1"/>
  <c r="H54" i="5" l="1"/>
  <c r="G54" i="5"/>
  <c r="F55" i="5" s="1"/>
  <c r="H55" i="5" l="1"/>
  <c r="G55" i="5"/>
  <c r="F56" i="5" s="1"/>
  <c r="H56" i="5" l="1"/>
  <c r="G56" i="5"/>
  <c r="F57" i="5" s="1"/>
  <c r="H57" i="5" l="1"/>
  <c r="G57" i="5"/>
  <c r="F58" i="5" s="1"/>
  <c r="H58" i="5" l="1"/>
  <c r="G58" i="5"/>
  <c r="F59" i="5" s="1"/>
  <c r="H59" i="5" l="1"/>
  <c r="G59" i="5"/>
  <c r="F60" i="5" s="1"/>
  <c r="H60" i="5" l="1"/>
  <c r="G60" i="5"/>
  <c r="F61" i="5" s="1"/>
  <c r="H61" i="5" l="1"/>
  <c r="G61" i="5"/>
  <c r="F62" i="5" s="1"/>
  <c r="H62" i="5" l="1"/>
  <c r="G62" i="5"/>
  <c r="F63" i="5" s="1"/>
  <c r="H63" i="5" l="1"/>
  <c r="G63" i="5"/>
  <c r="F64" i="5" s="1"/>
  <c r="H64" i="5" l="1"/>
  <c r="G64" i="5"/>
  <c r="F65" i="5" s="1"/>
  <c r="H65" i="5" l="1"/>
  <c r="G65" i="5"/>
  <c r="F66" i="5" s="1"/>
  <c r="H66" i="5" l="1"/>
  <c r="G66" i="5"/>
  <c r="F67" i="5" s="1"/>
  <c r="H67" i="5" l="1"/>
  <c r="G67" i="5"/>
  <c r="F68" i="5" s="1"/>
  <c r="H68" i="5" l="1"/>
  <c r="G68" i="5"/>
  <c r="F69" i="5" s="1"/>
  <c r="H69" i="5" l="1"/>
  <c r="G69" i="5"/>
  <c r="F70" i="5" s="1"/>
  <c r="H70" i="5" l="1"/>
  <c r="G70" i="5"/>
  <c r="F71" i="5" s="1"/>
  <c r="H71" i="5" l="1"/>
  <c r="G71" i="5"/>
  <c r="F72" i="5" s="1"/>
  <c r="H72" i="5" l="1"/>
  <c r="G72" i="5"/>
  <c r="F73" i="5" s="1"/>
  <c r="H73" i="5" l="1"/>
  <c r="G73" i="5"/>
  <c r="F74" i="5" s="1"/>
  <c r="H74" i="5" l="1"/>
  <c r="G74" i="5"/>
  <c r="F75" i="5" s="1"/>
  <c r="H75" i="5" l="1"/>
  <c r="G75" i="5"/>
  <c r="F76" i="5" s="1"/>
  <c r="H76" i="5" l="1"/>
  <c r="G76" i="5"/>
  <c r="F77" i="5" s="1"/>
  <c r="H77" i="5" l="1"/>
  <c r="G77" i="5"/>
  <c r="F78" i="5" s="1"/>
  <c r="H78" i="5" l="1"/>
  <c r="G78" i="5"/>
  <c r="F79" i="5" s="1"/>
  <c r="H79" i="5" l="1"/>
  <c r="G79" i="5"/>
  <c r="F80" i="5" s="1"/>
  <c r="H80" i="5" l="1"/>
  <c r="G80" i="5"/>
  <c r="F81" i="5" s="1"/>
  <c r="H81" i="5" l="1"/>
  <c r="G81" i="5"/>
  <c r="F82" i="5" s="1"/>
  <c r="H82" i="5" l="1"/>
  <c r="G82" i="5"/>
  <c r="F83" i="5" s="1"/>
  <c r="H83" i="5" l="1"/>
  <c r="G83" i="5"/>
  <c r="F84" i="5" s="1"/>
  <c r="H84" i="5" l="1"/>
  <c r="G84" i="5"/>
  <c r="F85" i="5" s="1"/>
  <c r="H85" i="5" l="1"/>
  <c r="G85" i="5"/>
  <c r="F86" i="5" s="1"/>
  <c r="H86" i="5" l="1"/>
  <c r="G86" i="5"/>
  <c r="F87" i="5" s="1"/>
  <c r="H87" i="5" l="1"/>
  <c r="G87" i="5"/>
  <c r="F88" i="5" s="1"/>
  <c r="H88" i="5" l="1"/>
  <c r="G88" i="5"/>
  <c r="F89" i="5" s="1"/>
  <c r="H89" i="5" l="1"/>
  <c r="G89" i="5"/>
  <c r="F90" i="5" s="1"/>
  <c r="H90" i="5" l="1"/>
  <c r="G90" i="5"/>
  <c r="F91" i="5" s="1"/>
  <c r="H91" i="5" l="1"/>
  <c r="G91" i="5"/>
  <c r="F92" i="5" s="1"/>
  <c r="H92" i="5" l="1"/>
  <c r="G92" i="5"/>
  <c r="F93" i="5" s="1"/>
  <c r="H93" i="5" l="1"/>
  <c r="G93" i="5"/>
  <c r="F94" i="5" s="1"/>
  <c r="H94" i="5" l="1"/>
  <c r="G94" i="5"/>
  <c r="F95" i="5" s="1"/>
  <c r="H95" i="5" l="1"/>
  <c r="G95" i="5"/>
  <c r="F96" i="5" s="1"/>
  <c r="H96" i="5" l="1"/>
  <c r="G96" i="5"/>
  <c r="F97" i="5" s="1"/>
  <c r="H97" i="5" l="1"/>
  <c r="G97" i="5"/>
  <c r="F98" i="5" s="1"/>
  <c r="H98" i="5" l="1"/>
  <c r="G98" i="5"/>
  <c r="F99" i="5" s="1"/>
  <c r="H99" i="5" l="1"/>
  <c r="G99" i="5"/>
  <c r="F100" i="5" s="1"/>
  <c r="H100" i="5" l="1"/>
  <c r="G100" i="5"/>
  <c r="F101" i="5" s="1"/>
  <c r="H101" i="5" l="1"/>
  <c r="G101" i="5"/>
  <c r="F102" i="5" s="1"/>
  <c r="H102" i="5" l="1"/>
  <c r="G102" i="5"/>
  <c r="F103" i="5" s="1"/>
  <c r="H103" i="5" l="1"/>
  <c r="G103" i="5"/>
  <c r="F104" i="5" s="1"/>
  <c r="H104" i="5" l="1"/>
  <c r="G104" i="5"/>
  <c r="F105" i="5" s="1"/>
  <c r="H105" i="5" l="1"/>
  <c r="G105" i="5"/>
  <c r="F106" i="5" s="1"/>
  <c r="H106" i="5" l="1"/>
  <c r="G106" i="5"/>
  <c r="F107" i="5" s="1"/>
  <c r="H107" i="5" l="1"/>
  <c r="G107" i="5"/>
  <c r="F108" i="5" s="1"/>
  <c r="H108" i="5" l="1"/>
  <c r="G108" i="5"/>
  <c r="F109" i="5" s="1"/>
  <c r="H109" i="5" l="1"/>
  <c r="G109" i="5"/>
  <c r="F110" i="5" s="1"/>
  <c r="H110" i="5" l="1"/>
  <c r="G110" i="5"/>
  <c r="F111" i="5" s="1"/>
  <c r="H111" i="5" l="1"/>
  <c r="G111" i="5"/>
  <c r="F112" i="5" s="1"/>
  <c r="H112" i="5" l="1"/>
  <c r="G112" i="5"/>
  <c r="F113" i="5" s="1"/>
  <c r="H113" i="5" l="1"/>
  <c r="G113" i="5"/>
  <c r="F114" i="5" s="1"/>
  <c r="H114" i="5" l="1"/>
  <c r="G114" i="5"/>
  <c r="F115" i="5" s="1"/>
  <c r="H115" i="5" l="1"/>
  <c r="G115" i="5"/>
  <c r="F116" i="5" s="1"/>
  <c r="H116" i="5" l="1"/>
  <c r="G116" i="5"/>
  <c r="F117" i="5" s="1"/>
  <c r="H117" i="5" l="1"/>
  <c r="G117" i="5"/>
  <c r="F118" i="5" s="1"/>
  <c r="H118" i="5" l="1"/>
  <c r="G118" i="5"/>
  <c r="F119" i="5" s="1"/>
  <c r="H119" i="5" l="1"/>
  <c r="G119" i="5"/>
  <c r="F120" i="5" s="1"/>
  <c r="H120" i="5" l="1"/>
  <c r="G120" i="5"/>
  <c r="F121" i="5" s="1"/>
  <c r="H121" i="5" l="1"/>
  <c r="G121" i="5"/>
  <c r="F122" i="5" s="1"/>
  <c r="H122" i="5" l="1"/>
  <c r="G122" i="5"/>
  <c r="F123" i="5" s="1"/>
  <c r="H123" i="5" l="1"/>
  <c r="G123" i="5"/>
  <c r="F124" i="5" s="1"/>
  <c r="H124" i="5" l="1"/>
  <c r="G124" i="5"/>
  <c r="F125" i="5" s="1"/>
  <c r="H125" i="5" l="1"/>
  <c r="G125" i="5"/>
  <c r="F126" i="5" s="1"/>
  <c r="H126" i="5" l="1"/>
  <c r="G126" i="5"/>
  <c r="F127" i="5" s="1"/>
  <c r="H127" i="5" l="1"/>
  <c r="G127" i="5"/>
  <c r="F128" i="5" s="1"/>
  <c r="H128" i="5" l="1"/>
  <c r="G128" i="5"/>
  <c r="F129" i="5" s="1"/>
  <c r="H129" i="5" l="1"/>
  <c r="G129" i="5"/>
  <c r="F130" i="5" s="1"/>
  <c r="H130" i="5" l="1"/>
  <c r="G130" i="5"/>
  <c r="F131" i="5" s="1"/>
  <c r="H131" i="5" l="1"/>
  <c r="G131" i="5"/>
  <c r="F132" i="5" s="1"/>
  <c r="H132" i="5" l="1"/>
  <c r="G132" i="5"/>
  <c r="F133" i="5" s="1"/>
  <c r="H133" i="5" l="1"/>
  <c r="G133" i="5"/>
  <c r="F134" i="5" s="1"/>
  <c r="H134" i="5" l="1"/>
  <c r="G134" i="5"/>
  <c r="F135" i="5" s="1"/>
  <c r="H135" i="5" l="1"/>
  <c r="G135" i="5"/>
  <c r="F136" i="5" s="1"/>
  <c r="H136" i="5" l="1"/>
  <c r="G136" i="5"/>
  <c r="F137" i="5" s="1"/>
  <c r="H137" i="5" l="1"/>
  <c r="G137" i="5"/>
  <c r="F138" i="5" s="1"/>
  <c r="H138" i="5" l="1"/>
  <c r="G138" i="5"/>
  <c r="F139" i="5" s="1"/>
  <c r="H139" i="5" l="1"/>
  <c r="G139" i="5"/>
  <c r="F140" i="5" s="1"/>
  <c r="H140" i="5" l="1"/>
  <c r="G140" i="5"/>
  <c r="F141" i="5" s="1"/>
  <c r="H141" i="5" l="1"/>
  <c r="G141" i="5"/>
  <c r="F142" i="5" s="1"/>
  <c r="H142" i="5" l="1"/>
  <c r="G142" i="5"/>
  <c r="F143" i="5" s="1"/>
  <c r="H143" i="5" l="1"/>
  <c r="G143" i="5"/>
  <c r="F144" i="5" s="1"/>
  <c r="H144" i="5" l="1"/>
  <c r="G144" i="5"/>
  <c r="F145" i="5" s="1"/>
  <c r="H145" i="5" l="1"/>
  <c r="G145" i="5"/>
  <c r="F146" i="5" s="1"/>
  <c r="H146" i="5" l="1"/>
  <c r="G146" i="5"/>
  <c r="F147" i="5" s="1"/>
  <c r="H147" i="5" l="1"/>
  <c r="G147" i="5"/>
  <c r="F148" i="5" s="1"/>
  <c r="H148" i="5" l="1"/>
  <c r="G148" i="5"/>
  <c r="F149" i="5" s="1"/>
  <c r="H149" i="5" l="1"/>
  <c r="G149" i="5"/>
  <c r="F150" i="5" s="1"/>
  <c r="H150" i="5" l="1"/>
  <c r="G150" i="5"/>
  <c r="F151" i="5" s="1"/>
  <c r="H151" i="5" l="1"/>
  <c r="G151" i="5"/>
  <c r="F152" i="5" s="1"/>
  <c r="H152" i="5" l="1"/>
  <c r="G152" i="5"/>
  <c r="F153" i="5" s="1"/>
  <c r="H153" i="5" l="1"/>
  <c r="G153" i="5"/>
  <c r="F154" i="5" s="1"/>
  <c r="H154" i="5" l="1"/>
  <c r="G154" i="5"/>
  <c r="F155" i="5" s="1"/>
  <c r="H155" i="5" l="1"/>
  <c r="G155" i="5"/>
  <c r="F156" i="5" s="1"/>
  <c r="H156" i="5" l="1"/>
  <c r="G156" i="5"/>
  <c r="F157" i="5" s="1"/>
  <c r="H157" i="5" l="1"/>
  <c r="G157" i="5"/>
  <c r="F158" i="5" s="1"/>
  <c r="H158" i="5" l="1"/>
  <c r="G158" i="5"/>
  <c r="F159" i="5" s="1"/>
  <c r="H159" i="5" l="1"/>
  <c r="G159" i="5"/>
  <c r="F160" i="5" s="1"/>
  <c r="H160" i="5" l="1"/>
  <c r="G160" i="5"/>
  <c r="F161" i="5" s="1"/>
  <c r="H161" i="5" l="1"/>
  <c r="G161" i="5"/>
  <c r="F162" i="5" s="1"/>
  <c r="H162" i="5" l="1"/>
  <c r="G162" i="5"/>
  <c r="F163" i="5" s="1"/>
  <c r="H163" i="5" l="1"/>
  <c r="G163" i="5"/>
  <c r="F164" i="5" s="1"/>
  <c r="H164" i="5" l="1"/>
  <c r="G164" i="5"/>
  <c r="F165" i="5" s="1"/>
  <c r="H165" i="5" l="1"/>
  <c r="G165" i="5"/>
  <c r="F166" i="5" s="1"/>
  <c r="H166" i="5" l="1"/>
  <c r="G166" i="5"/>
  <c r="F167" i="5" s="1"/>
  <c r="H167" i="5" l="1"/>
  <c r="G167" i="5"/>
  <c r="F168" i="5" s="1"/>
  <c r="H168" i="5" l="1"/>
  <c r="G168" i="5"/>
  <c r="F169" i="5" s="1"/>
  <c r="H169" i="5" l="1"/>
  <c r="G169" i="5"/>
  <c r="F170" i="5" s="1"/>
  <c r="H170" i="5" l="1"/>
  <c r="G170" i="5"/>
  <c r="F171" i="5" s="1"/>
  <c r="H171" i="5" l="1"/>
  <c r="G171" i="5"/>
  <c r="F172" i="5" s="1"/>
  <c r="H172" i="5" l="1"/>
  <c r="G172" i="5"/>
  <c r="F173" i="5" s="1"/>
  <c r="H173" i="5" l="1"/>
  <c r="G173" i="5"/>
  <c r="F174" i="5" s="1"/>
  <c r="H174" i="5" l="1"/>
  <c r="G174" i="5"/>
  <c r="F175" i="5" s="1"/>
  <c r="H175" i="5" l="1"/>
  <c r="G175" i="5"/>
  <c r="F176" i="5" s="1"/>
  <c r="H176" i="5" l="1"/>
  <c r="G176" i="5"/>
  <c r="F177" i="5" s="1"/>
  <c r="H177" i="5" l="1"/>
  <c r="G177" i="5"/>
  <c r="F178" i="5" s="1"/>
  <c r="H178" i="5" l="1"/>
  <c r="G178" i="5"/>
  <c r="F179" i="5" s="1"/>
  <c r="H179" i="5" l="1"/>
  <c r="G179" i="5"/>
  <c r="F180" i="5" s="1"/>
  <c r="H180" i="5" l="1"/>
  <c r="G180" i="5"/>
  <c r="F181" i="5" s="1"/>
  <c r="H181" i="5" l="1"/>
  <c r="G181" i="5"/>
  <c r="F182" i="5" s="1"/>
  <c r="H182" i="5" l="1"/>
  <c r="G182" i="5"/>
  <c r="F183" i="5" s="1"/>
  <c r="H183" i="5" l="1"/>
  <c r="G183" i="5"/>
  <c r="F184" i="5" s="1"/>
  <c r="H184" i="5" l="1"/>
  <c r="G184" i="5"/>
  <c r="F185" i="5" s="1"/>
  <c r="H185" i="5" l="1"/>
  <c r="G185" i="5"/>
  <c r="F186" i="5" s="1"/>
  <c r="H186" i="5" l="1"/>
  <c r="G186" i="5"/>
  <c r="F187" i="5" s="1"/>
  <c r="H187" i="5" l="1"/>
  <c r="G187" i="5"/>
  <c r="F188" i="5" s="1"/>
  <c r="H188" i="5" l="1"/>
  <c r="G188" i="5"/>
  <c r="F189" i="5" s="1"/>
  <c r="H189" i="5" l="1"/>
  <c r="G189" i="5"/>
  <c r="F190" i="5" s="1"/>
  <c r="H190" i="5" l="1"/>
  <c r="G190" i="5"/>
  <c r="F191" i="5" s="1"/>
  <c r="H191" i="5" l="1"/>
  <c r="G191" i="5"/>
  <c r="F192" i="5" s="1"/>
  <c r="H192" i="5" l="1"/>
  <c r="G192" i="5"/>
  <c r="F193" i="5" s="1"/>
  <c r="H193" i="5" l="1"/>
  <c r="G193" i="5"/>
  <c r="F194" i="5" s="1"/>
  <c r="H194" i="5" l="1"/>
  <c r="G194" i="5"/>
  <c r="F195" i="5" s="1"/>
  <c r="H195" i="5" l="1"/>
  <c r="G195" i="5"/>
  <c r="F196" i="5" s="1"/>
  <c r="H196" i="5" l="1"/>
  <c r="G196" i="5"/>
  <c r="F197" i="5" s="1"/>
  <c r="H197" i="5" l="1"/>
  <c r="G197" i="5"/>
  <c r="F198" i="5" s="1"/>
  <c r="H198" i="5" l="1"/>
  <c r="G198" i="5"/>
  <c r="F199" i="5" s="1"/>
  <c r="H199" i="5" l="1"/>
  <c r="G199" i="5"/>
  <c r="F200" i="5" s="1"/>
  <c r="H200" i="5" l="1"/>
  <c r="G200" i="5"/>
  <c r="F201" i="5" s="1"/>
  <c r="H201" i="5" l="1"/>
  <c r="G201" i="5"/>
  <c r="F202" i="5" s="1"/>
  <c r="H202" i="5" l="1"/>
  <c r="G202" i="5"/>
  <c r="F203" i="5" s="1"/>
  <c r="H203" i="5" l="1"/>
  <c r="G203" i="5"/>
  <c r="F204" i="5" s="1"/>
  <c r="H204" i="5" l="1"/>
  <c r="G204" i="5"/>
  <c r="F205" i="5" s="1"/>
  <c r="H205" i="5" l="1"/>
  <c r="G205" i="5"/>
  <c r="F206" i="5" s="1"/>
  <c r="H206" i="5" l="1"/>
  <c r="G206" i="5"/>
  <c r="F207" i="5" s="1"/>
  <c r="H207" i="5" l="1"/>
  <c r="G207" i="5"/>
  <c r="F208" i="5" s="1"/>
  <c r="H208" i="5" l="1"/>
  <c r="G208" i="5"/>
  <c r="F209" i="5" s="1"/>
  <c r="H209" i="5" l="1"/>
  <c r="G209" i="5"/>
  <c r="F210" i="5" s="1"/>
  <c r="H210" i="5" l="1"/>
  <c r="G210" i="5"/>
  <c r="F211" i="5" s="1"/>
  <c r="H211" i="5" l="1"/>
  <c r="G211" i="5"/>
  <c r="F212" i="5" s="1"/>
  <c r="H212" i="5" l="1"/>
  <c r="G212" i="5"/>
  <c r="F213" i="5" s="1"/>
  <c r="H213" i="5" l="1"/>
  <c r="G213" i="5"/>
  <c r="F214" i="5" s="1"/>
  <c r="H214" i="5" l="1"/>
  <c r="G214" i="5"/>
  <c r="F215" i="5" s="1"/>
  <c r="H215" i="5" l="1"/>
  <c r="G215" i="5"/>
  <c r="F216" i="5" s="1"/>
  <c r="H216" i="5" l="1"/>
  <c r="G216" i="5"/>
  <c r="F217" i="5" s="1"/>
  <c r="H217" i="5" l="1"/>
  <c r="G217" i="5"/>
  <c r="F218" i="5" s="1"/>
  <c r="H218" i="5" l="1"/>
  <c r="G218" i="5"/>
  <c r="F219" i="5" s="1"/>
  <c r="H219" i="5" l="1"/>
  <c r="G219" i="5"/>
  <c r="F220" i="5" s="1"/>
  <c r="H220" i="5" l="1"/>
  <c r="G220" i="5"/>
  <c r="F221" i="5" s="1"/>
  <c r="H221" i="5" l="1"/>
  <c r="G221" i="5"/>
  <c r="F222" i="5" s="1"/>
  <c r="H222" i="5" l="1"/>
  <c r="G222" i="5"/>
  <c r="F223" i="5" s="1"/>
  <c r="H223" i="5" l="1"/>
  <c r="G223" i="5"/>
  <c r="F224" i="5" s="1"/>
  <c r="H224" i="5" l="1"/>
  <c r="G224" i="5"/>
  <c r="F225" i="5" s="1"/>
  <c r="H225" i="5" l="1"/>
  <c r="G225" i="5"/>
  <c r="F226" i="5" s="1"/>
  <c r="H226" i="5" l="1"/>
  <c r="G226" i="5"/>
  <c r="F227" i="5" s="1"/>
  <c r="H227" i="5" l="1"/>
  <c r="G227" i="5"/>
  <c r="F228" i="5" s="1"/>
  <c r="H228" i="5" l="1"/>
  <c r="G228" i="5"/>
  <c r="F229" i="5" s="1"/>
  <c r="H229" i="5" l="1"/>
  <c r="G229" i="5"/>
  <c r="F230" i="5" s="1"/>
  <c r="H230" i="5" l="1"/>
  <c r="G230" i="5"/>
  <c r="F231" i="5" s="1"/>
  <c r="H231" i="5" l="1"/>
  <c r="G231" i="5"/>
  <c r="F232" i="5" s="1"/>
  <c r="H232" i="5" l="1"/>
  <c r="G232" i="5"/>
  <c r="F233" i="5" s="1"/>
  <c r="H233" i="5" l="1"/>
  <c r="G233" i="5"/>
  <c r="F234" i="5" s="1"/>
  <c r="H234" i="5" l="1"/>
  <c r="G234" i="5"/>
  <c r="F235" i="5" s="1"/>
  <c r="H235" i="5" l="1"/>
  <c r="G235" i="5"/>
  <c r="F236" i="5" s="1"/>
  <c r="H236" i="5" l="1"/>
  <c r="G236" i="5"/>
  <c r="F237" i="5" s="1"/>
  <c r="H237" i="5" l="1"/>
  <c r="G237" i="5"/>
  <c r="F238" i="5" s="1"/>
  <c r="H238" i="5" l="1"/>
  <c r="G238" i="5"/>
  <c r="F239" i="5" s="1"/>
  <c r="H239" i="5" l="1"/>
  <c r="G239" i="5"/>
  <c r="F240" i="5" s="1"/>
  <c r="H240" i="5" l="1"/>
  <c r="G240" i="5"/>
  <c r="F241" i="5" s="1"/>
  <c r="H241" i="5" l="1"/>
  <c r="G241" i="5"/>
  <c r="F242" i="5" s="1"/>
  <c r="H242" i="5" l="1"/>
  <c r="G242" i="5"/>
  <c r="F243" i="5" s="1"/>
  <c r="H243" i="5" l="1"/>
  <c r="G243" i="5"/>
  <c r="F244" i="5" s="1"/>
  <c r="H244" i="5" l="1"/>
  <c r="G244" i="5"/>
  <c r="F245" i="5" s="1"/>
  <c r="H245" i="5" l="1"/>
  <c r="G245" i="5"/>
  <c r="F246" i="5" s="1"/>
  <c r="H246" i="5" l="1"/>
  <c r="G246" i="5"/>
  <c r="F247" i="5" s="1"/>
  <c r="H247" i="5" l="1"/>
  <c r="G247" i="5"/>
  <c r="F248" i="5" s="1"/>
  <c r="H248" i="5" l="1"/>
  <c r="G248" i="5"/>
  <c r="F249" i="5" s="1"/>
  <c r="H249" i="5" l="1"/>
  <c r="G249" i="5"/>
  <c r="F250" i="5" s="1"/>
  <c r="H250" i="5" l="1"/>
  <c r="G250" i="5"/>
  <c r="F251" i="5" s="1"/>
  <c r="H251" i="5" l="1"/>
  <c r="G251" i="5"/>
  <c r="F252" i="5" s="1"/>
  <c r="H252" i="5" l="1"/>
  <c r="G252" i="5"/>
  <c r="F253" i="5" s="1"/>
  <c r="H253" i="5" l="1"/>
  <c r="G253" i="5"/>
  <c r="F254" i="5" s="1"/>
  <c r="H254" i="5" l="1"/>
  <c r="G254" i="5"/>
  <c r="F255" i="5" s="1"/>
  <c r="H255" i="5" l="1"/>
  <c r="G255" i="5"/>
  <c r="F256" i="5" s="1"/>
  <c r="H256" i="5" l="1"/>
  <c r="G256" i="5"/>
  <c r="F257" i="5" s="1"/>
  <c r="H257" i="5" l="1"/>
  <c r="G257" i="5"/>
  <c r="F258" i="5" s="1"/>
  <c r="H258" i="5" l="1"/>
  <c r="G258" i="5"/>
  <c r="F259" i="5" s="1"/>
  <c r="H259" i="5" l="1"/>
  <c r="G259" i="5"/>
  <c r="F260" i="5" s="1"/>
  <c r="H260" i="5" l="1"/>
  <c r="G260" i="5"/>
  <c r="F261" i="5" s="1"/>
  <c r="H261" i="5" l="1"/>
  <c r="G261" i="5"/>
  <c r="F262" i="5" s="1"/>
  <c r="H262" i="5" l="1"/>
  <c r="G262" i="5"/>
  <c r="F263" i="5" s="1"/>
  <c r="H263" i="5" l="1"/>
  <c r="G263" i="5"/>
  <c r="F264" i="5" s="1"/>
  <c r="H264" i="5" l="1"/>
  <c r="G264" i="5"/>
  <c r="F265" i="5" s="1"/>
  <c r="H265" i="5" l="1"/>
  <c r="G265" i="5"/>
  <c r="F266" i="5" s="1"/>
  <c r="H266" i="5" l="1"/>
  <c r="G266" i="5"/>
  <c r="F267" i="5" s="1"/>
  <c r="H267" i="5" l="1"/>
  <c r="G267" i="5"/>
  <c r="F268" i="5" s="1"/>
  <c r="H268" i="5" l="1"/>
  <c r="G268" i="5"/>
  <c r="F269" i="5" s="1"/>
  <c r="H269" i="5" l="1"/>
  <c r="G269" i="5"/>
  <c r="F270" i="5" s="1"/>
  <c r="H270" i="5" l="1"/>
  <c r="G270" i="5"/>
  <c r="F271" i="5" s="1"/>
  <c r="H271" i="5" l="1"/>
  <c r="G271" i="5"/>
  <c r="F272" i="5" s="1"/>
  <c r="H272" i="5" l="1"/>
  <c r="G272" i="5"/>
  <c r="F273" i="5" s="1"/>
  <c r="H273" i="5" l="1"/>
  <c r="G273" i="5"/>
  <c r="F274" i="5" s="1"/>
  <c r="H274" i="5" l="1"/>
  <c r="G274" i="5"/>
  <c r="F275" i="5" s="1"/>
  <c r="H275" i="5" l="1"/>
  <c r="G275" i="5"/>
  <c r="F276" i="5" s="1"/>
  <c r="H276" i="5" l="1"/>
  <c r="G276" i="5"/>
  <c r="F277" i="5" s="1"/>
  <c r="H277" i="5" l="1"/>
  <c r="G277" i="5"/>
  <c r="F278" i="5" s="1"/>
  <c r="H278" i="5" l="1"/>
  <c r="G278" i="5"/>
  <c r="F279" i="5" s="1"/>
  <c r="H279" i="5" l="1"/>
  <c r="G279" i="5"/>
  <c r="F280" i="5" s="1"/>
  <c r="H280" i="5" l="1"/>
  <c r="G280" i="5"/>
  <c r="F281" i="5" s="1"/>
  <c r="H281" i="5" l="1"/>
  <c r="G281" i="5"/>
  <c r="F282" i="5" s="1"/>
  <c r="H282" i="5" l="1"/>
  <c r="G282" i="5"/>
  <c r="F283" i="5" s="1"/>
  <c r="H283" i="5" l="1"/>
  <c r="G283" i="5"/>
  <c r="F284" i="5" s="1"/>
  <c r="H284" i="5" l="1"/>
  <c r="G284" i="5"/>
  <c r="F285" i="5" s="1"/>
  <c r="H285" i="5" l="1"/>
  <c r="G285" i="5"/>
  <c r="F286" i="5" s="1"/>
  <c r="H286" i="5" l="1"/>
  <c r="G286" i="5"/>
  <c r="F287" i="5" s="1"/>
  <c r="H287" i="5" l="1"/>
  <c r="G287" i="5"/>
  <c r="F288" i="5" s="1"/>
  <c r="H288" i="5" l="1"/>
  <c r="G288" i="5"/>
  <c r="F289" i="5" s="1"/>
  <c r="H289" i="5" l="1"/>
  <c r="G289" i="5"/>
  <c r="F290" i="5" s="1"/>
  <c r="H290" i="5" l="1"/>
  <c r="G290" i="5"/>
  <c r="F291" i="5" s="1"/>
  <c r="H291" i="5" l="1"/>
  <c r="G291" i="5"/>
  <c r="F292" i="5" s="1"/>
  <c r="H292" i="5" l="1"/>
  <c r="G292" i="5"/>
  <c r="F293" i="5" s="1"/>
  <c r="H293" i="5" l="1"/>
  <c r="G293" i="5"/>
  <c r="F294" i="5" s="1"/>
  <c r="H294" i="5" l="1"/>
  <c r="G294" i="5"/>
  <c r="F295" i="5" s="1"/>
  <c r="H295" i="5" l="1"/>
  <c r="G295" i="5"/>
  <c r="F296" i="5" s="1"/>
  <c r="H296" i="5" l="1"/>
  <c r="G296" i="5"/>
  <c r="F297" i="5" s="1"/>
  <c r="H297" i="5" l="1"/>
  <c r="G297" i="5"/>
  <c r="F298" i="5" s="1"/>
  <c r="H298" i="5" l="1"/>
  <c r="G298" i="5"/>
  <c r="F299" i="5" s="1"/>
  <c r="H299" i="5" l="1"/>
  <c r="G299" i="5"/>
  <c r="F300" i="5" s="1"/>
  <c r="H300" i="5" l="1"/>
  <c r="G300" i="5"/>
  <c r="F301" i="5" s="1"/>
  <c r="H301" i="5" l="1"/>
  <c r="G301" i="5"/>
  <c r="F302" i="5" s="1"/>
  <c r="H302" i="5" l="1"/>
  <c r="G302" i="5"/>
  <c r="F303" i="5" s="1"/>
  <c r="H303" i="5" l="1"/>
  <c r="G303" i="5"/>
  <c r="F304" i="5" s="1"/>
  <c r="H304" i="5" l="1"/>
  <c r="G304" i="5"/>
  <c r="F305" i="5" s="1"/>
  <c r="H305" i="5" l="1"/>
  <c r="G305" i="5"/>
  <c r="F306" i="5" s="1"/>
  <c r="H306" i="5" l="1"/>
  <c r="G306" i="5"/>
  <c r="F307" i="5" s="1"/>
  <c r="H307" i="5" l="1"/>
  <c r="G307" i="5"/>
  <c r="F308" i="5" s="1"/>
  <c r="H308" i="5" l="1"/>
  <c r="G308" i="5"/>
  <c r="F309" i="5" s="1"/>
  <c r="H309" i="5" l="1"/>
  <c r="G309" i="5"/>
  <c r="F310" i="5" s="1"/>
  <c r="H310" i="5" l="1"/>
  <c r="G310" i="5"/>
  <c r="F311" i="5" s="1"/>
  <c r="H311" i="5" l="1"/>
  <c r="G311" i="5"/>
  <c r="F312" i="5" s="1"/>
  <c r="H312" i="5" l="1"/>
  <c r="G312" i="5"/>
  <c r="F313" i="5" s="1"/>
  <c r="H313" i="5" l="1"/>
  <c r="G313" i="5"/>
  <c r="F314" i="5" s="1"/>
  <c r="H314" i="5" l="1"/>
  <c r="G314" i="5"/>
  <c r="F315" i="5" s="1"/>
  <c r="H315" i="5" l="1"/>
  <c r="G315" i="5"/>
  <c r="F316" i="5" s="1"/>
  <c r="H316" i="5" l="1"/>
  <c r="G316" i="5"/>
  <c r="F317" i="5" s="1"/>
  <c r="H317" i="5" l="1"/>
  <c r="G317" i="5"/>
  <c r="F318" i="5" s="1"/>
  <c r="H318" i="5" l="1"/>
  <c r="G318" i="5"/>
  <c r="F319" i="5" s="1"/>
  <c r="H319" i="5" l="1"/>
  <c r="G319" i="5"/>
  <c r="F320" i="5" s="1"/>
  <c r="H320" i="5" l="1"/>
  <c r="G320" i="5"/>
  <c r="F321" i="5" s="1"/>
  <c r="H321" i="5" l="1"/>
  <c r="G321" i="5"/>
  <c r="F322" i="5" s="1"/>
  <c r="H322" i="5" l="1"/>
  <c r="G322" i="5"/>
  <c r="F323" i="5" s="1"/>
  <c r="H323" i="5" l="1"/>
  <c r="G323" i="5"/>
  <c r="F324" i="5" s="1"/>
  <c r="H324" i="5" l="1"/>
  <c r="G324" i="5"/>
  <c r="F325" i="5" s="1"/>
  <c r="H325" i="5" l="1"/>
  <c r="G325" i="5"/>
  <c r="F326" i="5" s="1"/>
  <c r="H326" i="5" l="1"/>
  <c r="G326" i="5"/>
  <c r="F327" i="5" s="1"/>
  <c r="H327" i="5" l="1"/>
  <c r="G327" i="5"/>
  <c r="F328" i="5" s="1"/>
  <c r="H328" i="5" l="1"/>
  <c r="G328" i="5"/>
  <c r="F329" i="5" s="1"/>
  <c r="H329" i="5" l="1"/>
  <c r="G329" i="5"/>
  <c r="F330" i="5" s="1"/>
  <c r="H330" i="5" l="1"/>
  <c r="G330" i="5"/>
  <c r="F331" i="5" s="1"/>
  <c r="H331" i="5" l="1"/>
  <c r="G331" i="5"/>
  <c r="F332" i="5" s="1"/>
  <c r="H332" i="5" l="1"/>
  <c r="G332" i="5"/>
  <c r="F333" i="5" s="1"/>
  <c r="H333" i="5" l="1"/>
  <c r="G333" i="5"/>
  <c r="F334" i="5" s="1"/>
  <c r="H334" i="5" l="1"/>
  <c r="G334" i="5"/>
  <c r="F335" i="5" s="1"/>
  <c r="H335" i="5" l="1"/>
  <c r="G335" i="5"/>
  <c r="F336" i="5" s="1"/>
  <c r="H336" i="5" l="1"/>
  <c r="G336" i="5"/>
  <c r="F337" i="5" s="1"/>
  <c r="H337" i="5" l="1"/>
  <c r="G337" i="5"/>
  <c r="F338" i="5" s="1"/>
  <c r="H338" i="5" l="1"/>
  <c r="G338" i="5"/>
  <c r="F339" i="5" s="1"/>
  <c r="H339" i="5" l="1"/>
  <c r="G339" i="5"/>
  <c r="F340" i="5" s="1"/>
  <c r="H340" i="5" l="1"/>
  <c r="G340" i="5"/>
  <c r="F341" i="5" s="1"/>
  <c r="H341" i="5" l="1"/>
  <c r="G341" i="5"/>
  <c r="F342" i="5" s="1"/>
  <c r="H342" i="5" l="1"/>
  <c r="G342" i="5"/>
  <c r="F343" i="5" s="1"/>
  <c r="H343" i="5" l="1"/>
  <c r="G343" i="5"/>
  <c r="F344" i="5" s="1"/>
  <c r="H344" i="5" l="1"/>
  <c r="G344" i="5"/>
  <c r="F345" i="5" s="1"/>
  <c r="H345" i="5" l="1"/>
  <c r="G345" i="5"/>
  <c r="F346" i="5" s="1"/>
  <c r="H346" i="5" l="1"/>
  <c r="G346" i="5"/>
  <c r="F347" i="5" s="1"/>
  <c r="H347" i="5" l="1"/>
  <c r="G347" i="5"/>
  <c r="F348" i="5" s="1"/>
  <c r="H348" i="5" l="1"/>
  <c r="G348" i="5"/>
  <c r="F349" i="5" s="1"/>
  <c r="H349" i="5" l="1"/>
  <c r="G349" i="5"/>
  <c r="F350" i="5" s="1"/>
  <c r="H350" i="5" l="1"/>
  <c r="G350" i="5"/>
  <c r="F351" i="5" s="1"/>
  <c r="H351" i="5" l="1"/>
  <c r="G351" i="5"/>
  <c r="F352" i="5" s="1"/>
  <c r="H352" i="5" l="1"/>
  <c r="G352" i="5"/>
  <c r="F353" i="5" s="1"/>
  <c r="H353" i="5" l="1"/>
  <c r="G353" i="5"/>
  <c r="F354" i="5" s="1"/>
  <c r="H354" i="5" l="1"/>
  <c r="G354" i="5"/>
  <c r="F355" i="5" s="1"/>
  <c r="H355" i="5" l="1"/>
  <c r="G355" i="5"/>
  <c r="F356" i="5" s="1"/>
  <c r="H356" i="5" l="1"/>
  <c r="G356" i="5"/>
  <c r="F357" i="5" s="1"/>
  <c r="H357" i="5" l="1"/>
  <c r="G357" i="5"/>
  <c r="F358" i="5" s="1"/>
  <c r="H358" i="5" l="1"/>
  <c r="G358" i="5"/>
  <c r="F359" i="5" s="1"/>
  <c r="H359" i="5" l="1"/>
  <c r="G359" i="5"/>
  <c r="F360" i="5" s="1"/>
  <c r="H360" i="5" l="1"/>
  <c r="G360" i="5"/>
  <c r="F361" i="5" s="1"/>
  <c r="H361" i="5" l="1"/>
  <c r="G361" i="5"/>
  <c r="F362" i="5" s="1"/>
  <c r="H362" i="5" l="1"/>
  <c r="G362" i="5"/>
  <c r="F363" i="5" s="1"/>
  <c r="H363" i="5" l="1"/>
  <c r="G363" i="5"/>
  <c r="F364" i="5" s="1"/>
  <c r="H364" i="5" l="1"/>
  <c r="G364" i="5"/>
  <c r="F365" i="5" s="1"/>
  <c r="H365" i="5" l="1"/>
  <c r="G365" i="5"/>
  <c r="F366" i="5" s="1"/>
  <c r="H366" i="5" l="1"/>
  <c r="G366" i="5"/>
  <c r="F367" i="5" s="1"/>
  <c r="H367" i="5" l="1"/>
  <c r="G367" i="5"/>
  <c r="F368" i="5" s="1"/>
  <c r="H368" i="5" l="1"/>
  <c r="G368" i="5"/>
  <c r="F369" i="5" s="1"/>
  <c r="H369" i="5" l="1"/>
  <c r="G369" i="5"/>
  <c r="F370" i="5" s="1"/>
  <c r="H370" i="5" l="1"/>
  <c r="G370" i="5"/>
  <c r="F371" i="5" s="1"/>
  <c r="H371" i="5" l="1"/>
  <c r="G371" i="5"/>
  <c r="F372" i="5" s="1"/>
  <c r="H372" i="5" l="1"/>
  <c r="G372" i="5"/>
  <c r="F373" i="5" s="1"/>
  <c r="H373" i="5" l="1"/>
  <c r="G373" i="5"/>
  <c r="F374" i="5" s="1"/>
  <c r="H374" i="5" l="1"/>
  <c r="G374" i="5"/>
  <c r="F375" i="5" s="1"/>
  <c r="H375" i="5" l="1"/>
  <c r="G375" i="5"/>
  <c r="F376" i="5" s="1"/>
  <c r="H376" i="5" l="1"/>
  <c r="G376" i="5"/>
  <c r="F377" i="5" s="1"/>
  <c r="H377" i="5" l="1"/>
  <c r="G377" i="5"/>
  <c r="F378" i="5" s="1"/>
  <c r="H378" i="5" l="1"/>
  <c r="G378" i="5"/>
  <c r="F379" i="5" s="1"/>
  <c r="H379" i="5" l="1"/>
  <c r="G379" i="5"/>
  <c r="F380" i="5" s="1"/>
  <c r="H380" i="5" l="1"/>
  <c r="G380" i="5"/>
  <c r="F381" i="5" s="1"/>
  <c r="H381" i="5" l="1"/>
  <c r="G381" i="5"/>
  <c r="F382" i="5" s="1"/>
  <c r="H382" i="5" l="1"/>
  <c r="G382" i="5"/>
  <c r="F383" i="5" s="1"/>
  <c r="H383" i="5" l="1"/>
  <c r="G383" i="5"/>
  <c r="F384" i="5" s="1"/>
  <c r="H384" i="5" l="1"/>
  <c r="G384" i="5"/>
  <c r="F385" i="5" s="1"/>
  <c r="H385" i="5" l="1"/>
  <c r="G385" i="5"/>
  <c r="F386" i="5" s="1"/>
  <c r="H386" i="5" l="1"/>
  <c r="G386" i="5"/>
  <c r="F387" i="5" s="1"/>
  <c r="H387" i="5" l="1"/>
  <c r="G387" i="5"/>
  <c r="F388" i="5" s="1"/>
  <c r="H388" i="5" l="1"/>
  <c r="G388" i="5"/>
  <c r="F389" i="5" s="1"/>
  <c r="H389" i="5" l="1"/>
  <c r="G389" i="5"/>
  <c r="F390" i="5" s="1"/>
  <c r="H390" i="5" l="1"/>
  <c r="G390" i="5"/>
  <c r="F391" i="5" s="1"/>
  <c r="H391" i="5" l="1"/>
  <c r="G391" i="5"/>
  <c r="F392" i="5" s="1"/>
  <c r="H392" i="5" l="1"/>
  <c r="G392" i="5"/>
  <c r="F393" i="5" s="1"/>
  <c r="H393" i="5" l="1"/>
  <c r="G393" i="5"/>
  <c r="F394" i="5" s="1"/>
  <c r="H394" i="5" l="1"/>
  <c r="G394" i="5"/>
  <c r="F395" i="5" s="1"/>
  <c r="H395" i="5" l="1"/>
  <c r="G395" i="5"/>
  <c r="F396" i="5" s="1"/>
  <c r="H396" i="5" l="1"/>
  <c r="G396" i="5"/>
  <c r="F397" i="5" s="1"/>
  <c r="H397" i="5" l="1"/>
  <c r="G397" i="5"/>
  <c r="F398" i="5" s="1"/>
  <c r="H398" i="5" l="1"/>
  <c r="G398" i="5"/>
  <c r="F399" i="5" s="1"/>
  <c r="H399" i="5" l="1"/>
  <c r="G399" i="5"/>
  <c r="F400" i="5" s="1"/>
  <c r="H400" i="5" l="1"/>
  <c r="G400" i="5"/>
  <c r="F401" i="5" s="1"/>
  <c r="H401" i="5" l="1"/>
  <c r="G401" i="5"/>
  <c r="F402" i="5" s="1"/>
  <c r="H402" i="5" l="1"/>
  <c r="G402" i="5"/>
  <c r="F403" i="5" s="1"/>
  <c r="H403" i="5" l="1"/>
  <c r="G403" i="5"/>
  <c r="F404" i="5" s="1"/>
  <c r="H404" i="5" l="1"/>
  <c r="G404" i="5"/>
  <c r="F405" i="5" s="1"/>
  <c r="H405" i="5" l="1"/>
  <c r="G405" i="5"/>
  <c r="F406" i="5" s="1"/>
  <c r="H406" i="5" l="1"/>
  <c r="G406" i="5"/>
  <c r="F407" i="5" s="1"/>
  <c r="H407" i="5" l="1"/>
  <c r="G407" i="5"/>
  <c r="F408" i="5" s="1"/>
  <c r="H408" i="5" l="1"/>
  <c r="G408" i="5"/>
  <c r="F409" i="5" s="1"/>
  <c r="H409" i="5" l="1"/>
  <c r="G409" i="5"/>
  <c r="F410" i="5" s="1"/>
  <c r="H410" i="5" l="1"/>
  <c r="G410" i="5"/>
  <c r="F411" i="5" s="1"/>
  <c r="H411" i="5" l="1"/>
  <c r="G411" i="5"/>
  <c r="F412" i="5" s="1"/>
  <c r="H412" i="5" l="1"/>
  <c r="G412" i="5"/>
  <c r="F413" i="5" s="1"/>
  <c r="H413" i="5" l="1"/>
  <c r="G413" i="5"/>
  <c r="F414" i="5" s="1"/>
  <c r="H414" i="5" l="1"/>
  <c r="G414" i="5"/>
  <c r="F415" i="5" s="1"/>
  <c r="H415" i="5" l="1"/>
  <c r="G415" i="5"/>
  <c r="F416" i="5" s="1"/>
  <c r="H416" i="5" l="1"/>
  <c r="G416" i="5"/>
  <c r="F417" i="5" s="1"/>
  <c r="H417" i="5" l="1"/>
  <c r="G417" i="5"/>
  <c r="F418" i="5" s="1"/>
  <c r="H418" i="5" l="1"/>
  <c r="G418" i="5"/>
  <c r="F419" i="5" s="1"/>
  <c r="H419" i="5" l="1"/>
  <c r="G419" i="5"/>
  <c r="F420" i="5" s="1"/>
  <c r="H420" i="5" l="1"/>
  <c r="G420" i="5"/>
  <c r="F421" i="5" s="1"/>
  <c r="H421" i="5" l="1"/>
  <c r="G421" i="5"/>
  <c r="F422" i="5" s="1"/>
  <c r="H422" i="5" l="1"/>
  <c r="G422" i="5"/>
  <c r="F423" i="5" s="1"/>
  <c r="H423" i="5" l="1"/>
  <c r="G423" i="5"/>
  <c r="F424" i="5" s="1"/>
  <c r="H424" i="5" l="1"/>
  <c r="G424" i="5"/>
  <c r="F425" i="5" s="1"/>
  <c r="H425" i="5" l="1"/>
  <c r="G425" i="5"/>
  <c r="F426" i="5" s="1"/>
  <c r="H426" i="5" l="1"/>
  <c r="G426" i="5"/>
  <c r="F427" i="5" s="1"/>
  <c r="H427" i="5" l="1"/>
  <c r="G427" i="5"/>
  <c r="F428" i="5" s="1"/>
  <c r="H428" i="5" l="1"/>
  <c r="G428" i="5"/>
  <c r="F429" i="5" s="1"/>
  <c r="H429" i="5" l="1"/>
  <c r="G429" i="5"/>
  <c r="F430" i="5" s="1"/>
  <c r="H430" i="5" l="1"/>
  <c r="G430" i="5"/>
  <c r="F431" i="5" s="1"/>
  <c r="H431" i="5" l="1"/>
  <c r="G431" i="5"/>
  <c r="F432" i="5" s="1"/>
  <c r="H432" i="5" l="1"/>
  <c r="G432" i="5"/>
  <c r="F433" i="5" s="1"/>
  <c r="H433" i="5" l="1"/>
  <c r="G433" i="5"/>
  <c r="F434" i="5" s="1"/>
  <c r="H434" i="5" l="1"/>
  <c r="G434" i="5"/>
  <c r="F435" i="5" s="1"/>
  <c r="H435" i="5" l="1"/>
  <c r="G435" i="5"/>
  <c r="F436" i="5" s="1"/>
  <c r="H436" i="5" l="1"/>
  <c r="G436" i="5"/>
  <c r="F437" i="5" s="1"/>
  <c r="H437" i="5" l="1"/>
  <c r="G437" i="5"/>
  <c r="F438" i="5" s="1"/>
  <c r="H438" i="5" l="1"/>
  <c r="G438" i="5"/>
  <c r="F439" i="5" s="1"/>
  <c r="H439" i="5" l="1"/>
  <c r="G439" i="5"/>
  <c r="F440" i="5" s="1"/>
  <c r="H440" i="5" l="1"/>
  <c r="G440" i="5"/>
  <c r="F441" i="5" s="1"/>
  <c r="H441" i="5" l="1"/>
  <c r="G441" i="5"/>
  <c r="F442" i="5" s="1"/>
  <c r="H442" i="5" l="1"/>
  <c r="G442" i="5"/>
  <c r="F443" i="5" s="1"/>
  <c r="H443" i="5" l="1"/>
  <c r="G443" i="5"/>
  <c r="F444" i="5" s="1"/>
  <c r="H444" i="5" l="1"/>
  <c r="G444" i="5"/>
  <c r="F445" i="5" s="1"/>
  <c r="H445" i="5" l="1"/>
  <c r="G445" i="5"/>
  <c r="F446" i="5" s="1"/>
  <c r="H446" i="5" l="1"/>
  <c r="G446" i="5"/>
  <c r="F447" i="5" s="1"/>
  <c r="H447" i="5" l="1"/>
  <c r="G447" i="5"/>
  <c r="F448" i="5" s="1"/>
  <c r="H448" i="5" l="1"/>
  <c r="G448" i="5"/>
  <c r="F449" i="5" s="1"/>
  <c r="H449" i="5" l="1"/>
  <c r="G449" i="5"/>
  <c r="F450" i="5" s="1"/>
  <c r="H450" i="5" l="1"/>
  <c r="G450" i="5"/>
  <c r="F451" i="5" s="1"/>
  <c r="H451" i="5" l="1"/>
  <c r="G451" i="5"/>
  <c r="F452" i="5" s="1"/>
  <c r="H452" i="5" l="1"/>
  <c r="G452" i="5"/>
  <c r="F453" i="5" s="1"/>
  <c r="H453" i="5" l="1"/>
  <c r="G453" i="5"/>
  <c r="F454" i="5" s="1"/>
  <c r="H454" i="5" l="1"/>
  <c r="G454" i="5"/>
  <c r="F455" i="5" s="1"/>
  <c r="H455" i="5" l="1"/>
  <c r="G455" i="5"/>
  <c r="F456" i="5" s="1"/>
  <c r="H456" i="5" l="1"/>
  <c r="G456" i="5"/>
  <c r="F457" i="5" s="1"/>
  <c r="H457" i="5" l="1"/>
  <c r="G457" i="5"/>
  <c r="F458" i="5" s="1"/>
  <c r="H458" i="5" l="1"/>
  <c r="G458" i="5"/>
  <c r="F459" i="5" s="1"/>
  <c r="H459" i="5" l="1"/>
  <c r="G459" i="5"/>
  <c r="F460" i="5" s="1"/>
  <c r="H460" i="5" l="1"/>
  <c r="G460" i="5"/>
  <c r="F461" i="5" s="1"/>
  <c r="H461" i="5" l="1"/>
  <c r="G461" i="5"/>
  <c r="F462" i="5" s="1"/>
  <c r="H462" i="5" l="1"/>
  <c r="G462" i="5"/>
  <c r="F463" i="5" s="1"/>
  <c r="H463" i="5" l="1"/>
  <c r="G463" i="5"/>
  <c r="F464" i="5" s="1"/>
  <c r="H464" i="5" l="1"/>
  <c r="G464" i="5"/>
  <c r="F465" i="5" s="1"/>
  <c r="H465" i="5" l="1"/>
  <c r="G465" i="5"/>
  <c r="F466" i="5" s="1"/>
  <c r="H466" i="5" l="1"/>
  <c r="G466" i="5"/>
  <c r="F467" i="5" s="1"/>
  <c r="H467" i="5" l="1"/>
  <c r="G467" i="5"/>
  <c r="F468" i="5" s="1"/>
  <c r="H468" i="5" l="1"/>
  <c r="G468" i="5"/>
  <c r="F469" i="5" s="1"/>
  <c r="H469" i="5" l="1"/>
  <c r="G469" i="5"/>
  <c r="F470" i="5" s="1"/>
  <c r="H470" i="5" l="1"/>
  <c r="G470" i="5"/>
  <c r="F471" i="5" s="1"/>
  <c r="H471" i="5" l="1"/>
  <c r="G471" i="5"/>
  <c r="F472" i="5" s="1"/>
  <c r="H472" i="5" l="1"/>
  <c r="G472" i="5"/>
  <c r="F473" i="5" s="1"/>
  <c r="H473" i="5" l="1"/>
  <c r="G473" i="5"/>
  <c r="F474" i="5" s="1"/>
  <c r="H474" i="5" l="1"/>
  <c r="G474" i="5"/>
  <c r="F475" i="5" s="1"/>
  <c r="H475" i="5" l="1"/>
  <c r="G475" i="5"/>
  <c r="F476" i="5" s="1"/>
  <c r="H476" i="5" l="1"/>
  <c r="G476" i="5"/>
  <c r="F477" i="5" s="1"/>
  <c r="H477" i="5" l="1"/>
  <c r="G477" i="5"/>
  <c r="F478" i="5" s="1"/>
  <c r="H478" i="5" l="1"/>
  <c r="G478" i="5"/>
  <c r="F479" i="5" s="1"/>
  <c r="H479" i="5" l="1"/>
  <c r="G479" i="5"/>
  <c r="F480" i="5" s="1"/>
  <c r="H480" i="5" l="1"/>
  <c r="G480" i="5"/>
  <c r="F481" i="5" s="1"/>
  <c r="H481" i="5" l="1"/>
  <c r="G481" i="5"/>
  <c r="F482" i="5" s="1"/>
  <c r="H482" i="5" l="1"/>
  <c r="G482" i="5"/>
  <c r="F483" i="5" s="1"/>
  <c r="H483" i="5" l="1"/>
  <c r="G483" i="5"/>
  <c r="F484" i="5" s="1"/>
  <c r="H484" i="5" l="1"/>
  <c r="G484" i="5"/>
  <c r="F485" i="5" s="1"/>
  <c r="H485" i="5" l="1"/>
  <c r="G485" i="5"/>
  <c r="F486" i="5" s="1"/>
  <c r="H486" i="5" l="1"/>
  <c r="G486" i="5"/>
  <c r="F487" i="5" s="1"/>
  <c r="H487" i="5" l="1"/>
  <c r="G487" i="5"/>
  <c r="F488" i="5" s="1"/>
  <c r="H488" i="5" l="1"/>
  <c r="G488" i="5"/>
  <c r="F489" i="5" s="1"/>
  <c r="H489" i="5" l="1"/>
  <c r="G489" i="5"/>
  <c r="F490" i="5" s="1"/>
  <c r="H490" i="5" l="1"/>
  <c r="G490" i="5"/>
  <c r="F491" i="5" s="1"/>
  <c r="H491" i="5" l="1"/>
  <c r="G491" i="5"/>
  <c r="F492" i="5" s="1"/>
  <c r="H492" i="5" l="1"/>
  <c r="G492" i="5"/>
  <c r="F493" i="5" s="1"/>
  <c r="H493" i="5" l="1"/>
  <c r="G493" i="5"/>
  <c r="F494" i="5" s="1"/>
  <c r="H494" i="5" l="1"/>
  <c r="G494" i="5"/>
  <c r="F495" i="5" s="1"/>
  <c r="H495" i="5" l="1"/>
  <c r="G495" i="5"/>
  <c r="F496" i="5" s="1"/>
  <c r="H496" i="5" l="1"/>
  <c r="G496" i="5"/>
  <c r="F497" i="5" s="1"/>
  <c r="H497" i="5" l="1"/>
  <c r="G497" i="5"/>
  <c r="F498" i="5" s="1"/>
  <c r="H498" i="5" l="1"/>
  <c r="G498" i="5"/>
  <c r="F499" i="5" s="1"/>
  <c r="H499" i="5" l="1"/>
  <c r="G499" i="5"/>
  <c r="F500" i="5" s="1"/>
  <c r="H500" i="5" l="1"/>
  <c r="G500" i="5"/>
  <c r="F501" i="5" s="1"/>
  <c r="H501" i="5" l="1"/>
  <c r="G501" i="5"/>
  <c r="F502" i="5" s="1"/>
  <c r="H502" i="5" l="1"/>
  <c r="G502" i="5"/>
  <c r="F503" i="5" s="1"/>
  <c r="H503" i="5" l="1"/>
  <c r="G503" i="5"/>
  <c r="F504" i="5" s="1"/>
  <c r="H504" i="5" l="1"/>
  <c r="G504" i="5"/>
  <c r="F505" i="5" s="1"/>
  <c r="H505" i="5" l="1"/>
  <c r="G505" i="5"/>
  <c r="F506" i="5" s="1"/>
  <c r="H506" i="5" l="1"/>
  <c r="G506" i="5"/>
  <c r="F507" i="5" s="1"/>
  <c r="H507" i="5" l="1"/>
  <c r="G507" i="5"/>
  <c r="F508" i="5" s="1"/>
  <c r="H508" i="5" l="1"/>
  <c r="G508" i="5"/>
  <c r="F509" i="5" s="1"/>
  <c r="H509" i="5" l="1"/>
  <c r="G509" i="5"/>
  <c r="F510" i="5" s="1"/>
  <c r="H510" i="5" l="1"/>
  <c r="G510" i="5"/>
  <c r="F511" i="5" s="1"/>
  <c r="H511" i="5" l="1"/>
  <c r="G511" i="5"/>
  <c r="F512" i="5" s="1"/>
  <c r="H512" i="5" l="1"/>
  <c r="G512" i="5"/>
  <c r="F513" i="5" s="1"/>
  <c r="H513" i="5" l="1"/>
  <c r="G513" i="5"/>
  <c r="F514" i="5" s="1"/>
  <c r="H514" i="5" l="1"/>
  <c r="G514" i="5"/>
  <c r="F515" i="5" s="1"/>
  <c r="H515" i="5" l="1"/>
  <c r="G515" i="5"/>
  <c r="F516" i="5" s="1"/>
  <c r="H516" i="5" l="1"/>
  <c r="G516" i="5"/>
  <c r="F517" i="5" s="1"/>
  <c r="H517" i="5" l="1"/>
  <c r="G517" i="5"/>
  <c r="F518" i="5" s="1"/>
  <c r="H518" i="5" l="1"/>
  <c r="G518" i="5"/>
  <c r="F519" i="5" s="1"/>
  <c r="H519" i="5" l="1"/>
  <c r="G519" i="5"/>
  <c r="F520" i="5" s="1"/>
  <c r="H520" i="5" l="1"/>
  <c r="G520" i="5"/>
  <c r="F521" i="5" s="1"/>
  <c r="H521" i="5" l="1"/>
  <c r="G521" i="5"/>
  <c r="F522" i="5" s="1"/>
  <c r="H522" i="5" l="1"/>
  <c r="G522" i="5"/>
  <c r="F523" i="5" s="1"/>
  <c r="H523" i="5" l="1"/>
  <c r="G523" i="5"/>
  <c r="F524" i="5" s="1"/>
  <c r="H524" i="5" l="1"/>
  <c r="G524" i="5"/>
  <c r="F525" i="5" s="1"/>
  <c r="H525" i="5" l="1"/>
  <c r="G525" i="5"/>
  <c r="F526" i="5" s="1"/>
  <c r="H526" i="5" l="1"/>
  <c r="G526" i="5"/>
  <c r="F527" i="5" s="1"/>
  <c r="H527" i="5" l="1"/>
  <c r="G527" i="5"/>
  <c r="F528" i="5" s="1"/>
  <c r="H528" i="5" l="1"/>
  <c r="G528" i="5"/>
  <c r="F529" i="5" s="1"/>
  <c r="H529" i="5" l="1"/>
  <c r="G529" i="5"/>
  <c r="F530" i="5" s="1"/>
  <c r="H530" i="5" l="1"/>
  <c r="G530" i="5"/>
  <c r="F531" i="5" s="1"/>
  <c r="H531" i="5" l="1"/>
  <c r="G531" i="5"/>
  <c r="F532" i="5" s="1"/>
  <c r="H532" i="5" l="1"/>
  <c r="G532" i="5"/>
  <c r="F533" i="5" s="1"/>
  <c r="H533" i="5" l="1"/>
  <c r="G533" i="5"/>
  <c r="F534" i="5" s="1"/>
  <c r="H534" i="5" l="1"/>
  <c r="G534" i="5"/>
  <c r="F535" i="5" s="1"/>
  <c r="H535" i="5" l="1"/>
  <c r="G535" i="5"/>
  <c r="F536" i="5" s="1"/>
  <c r="H536" i="5" l="1"/>
  <c r="G536" i="5"/>
  <c r="F537" i="5" s="1"/>
  <c r="H537" i="5" l="1"/>
  <c r="G537" i="5"/>
  <c r="F538" i="5" s="1"/>
  <c r="H538" i="5" l="1"/>
  <c r="G538" i="5"/>
  <c r="F539" i="5" s="1"/>
  <c r="H539" i="5" l="1"/>
  <c r="G539" i="5"/>
  <c r="F540" i="5" s="1"/>
  <c r="H540" i="5" l="1"/>
  <c r="G540" i="5"/>
  <c r="F541" i="5" s="1"/>
  <c r="H541" i="5" l="1"/>
  <c r="G541" i="5"/>
  <c r="F542" i="5" s="1"/>
  <c r="H542" i="5" l="1"/>
  <c r="G542" i="5"/>
  <c r="F543" i="5" s="1"/>
  <c r="H543" i="5" l="1"/>
  <c r="G543" i="5"/>
  <c r="F544" i="5" s="1"/>
  <c r="H544" i="5" l="1"/>
  <c r="G544" i="5"/>
  <c r="F545" i="5" s="1"/>
  <c r="H545" i="5" l="1"/>
  <c r="G545" i="5"/>
  <c r="F546" i="5" s="1"/>
  <c r="H546" i="5" l="1"/>
  <c r="G546" i="5"/>
  <c r="F547" i="5" s="1"/>
  <c r="H547" i="5" l="1"/>
  <c r="G547" i="5"/>
  <c r="F548" i="5" s="1"/>
  <c r="H548" i="5" l="1"/>
  <c r="G548" i="5"/>
  <c r="F549" i="5" s="1"/>
  <c r="H549" i="5" l="1"/>
  <c r="G549" i="5"/>
  <c r="F550" i="5" s="1"/>
  <c r="H550" i="5" l="1"/>
  <c r="G550" i="5"/>
  <c r="F551" i="5" s="1"/>
  <c r="H551" i="5" l="1"/>
  <c r="G551" i="5"/>
  <c r="F552" i="5" s="1"/>
  <c r="H552" i="5" l="1"/>
  <c r="G552" i="5"/>
  <c r="F553" i="5" s="1"/>
  <c r="H553" i="5" l="1"/>
  <c r="G553" i="5"/>
  <c r="F554" i="5" s="1"/>
  <c r="H554" i="5" l="1"/>
  <c r="G554" i="5"/>
  <c r="F555" i="5" s="1"/>
  <c r="H555" i="5" l="1"/>
  <c r="G555" i="5"/>
  <c r="F556" i="5" s="1"/>
  <c r="H556" i="5" l="1"/>
  <c r="G556" i="5"/>
  <c r="F557" i="5" s="1"/>
  <c r="H557" i="5" l="1"/>
  <c r="G557" i="5"/>
  <c r="F558" i="5" s="1"/>
  <c r="H558" i="5" l="1"/>
  <c r="G558" i="5"/>
  <c r="F559" i="5" s="1"/>
  <c r="H559" i="5" l="1"/>
  <c r="G559" i="5"/>
  <c r="F560" i="5" s="1"/>
  <c r="H560" i="5" l="1"/>
  <c r="G560" i="5"/>
  <c r="F561" i="5" s="1"/>
  <c r="H561" i="5" l="1"/>
  <c r="G561" i="5"/>
  <c r="F562" i="5" s="1"/>
  <c r="H562" i="5" l="1"/>
  <c r="G562" i="5"/>
  <c r="F563" i="5" s="1"/>
  <c r="H563" i="5" l="1"/>
  <c r="G563" i="5"/>
  <c r="F564" i="5" s="1"/>
  <c r="H564" i="5" l="1"/>
  <c r="G564" i="5"/>
  <c r="F565" i="5" s="1"/>
  <c r="H565" i="5" l="1"/>
  <c r="G565" i="5"/>
  <c r="F566" i="5" s="1"/>
  <c r="H566" i="5" l="1"/>
  <c r="G566" i="5"/>
  <c r="F567" i="5" s="1"/>
  <c r="H567" i="5" l="1"/>
  <c r="G567" i="5"/>
  <c r="F568" i="5" s="1"/>
  <c r="H568" i="5" l="1"/>
  <c r="G568" i="5"/>
  <c r="F569" i="5" s="1"/>
  <c r="H569" i="5" l="1"/>
  <c r="G569" i="5"/>
  <c r="F570" i="5" s="1"/>
  <c r="H570" i="5" l="1"/>
  <c r="G570" i="5"/>
  <c r="F571" i="5" s="1"/>
  <c r="H571" i="5" l="1"/>
  <c r="G571" i="5"/>
  <c r="F572" i="5" s="1"/>
  <c r="H572" i="5" l="1"/>
  <c r="G572" i="5"/>
  <c r="F573" i="5" s="1"/>
  <c r="H573" i="5" l="1"/>
  <c r="G573" i="5"/>
  <c r="F574" i="5" s="1"/>
  <c r="H574" i="5" l="1"/>
  <c r="G574" i="5"/>
  <c r="F575" i="5" s="1"/>
  <c r="H575" i="5" l="1"/>
  <c r="G575" i="5"/>
  <c r="F576" i="5" s="1"/>
  <c r="H576" i="5" l="1"/>
  <c r="G576" i="5"/>
  <c r="F577" i="5" s="1"/>
  <c r="H577" i="5" l="1"/>
  <c r="G577" i="5"/>
  <c r="F578" i="5" s="1"/>
  <c r="H578" i="5" l="1"/>
  <c r="G578" i="5"/>
  <c r="F579" i="5" s="1"/>
  <c r="H579" i="5" l="1"/>
  <c r="G579" i="5"/>
  <c r="F580" i="5" s="1"/>
  <c r="H580" i="5" l="1"/>
  <c r="G580" i="5"/>
  <c r="F581" i="5" s="1"/>
  <c r="H581" i="5" l="1"/>
  <c r="G581" i="5"/>
  <c r="F582" i="5" s="1"/>
  <c r="H582" i="5" l="1"/>
  <c r="G582" i="5"/>
  <c r="F583" i="5" s="1"/>
  <c r="H583" i="5" l="1"/>
  <c r="G583" i="5"/>
  <c r="F584" i="5" s="1"/>
  <c r="H584" i="5" l="1"/>
  <c r="G584" i="5"/>
  <c r="F585" i="5" s="1"/>
  <c r="H585" i="5" l="1"/>
  <c r="G585" i="5"/>
  <c r="F586" i="5" s="1"/>
  <c r="H586" i="5" l="1"/>
  <c r="G586" i="5"/>
  <c r="F587" i="5" s="1"/>
  <c r="H587" i="5" l="1"/>
  <c r="G587" i="5"/>
  <c r="F588" i="5" s="1"/>
  <c r="H588" i="5" l="1"/>
  <c r="G588" i="5"/>
  <c r="F589" i="5" s="1"/>
  <c r="H589" i="5" l="1"/>
  <c r="G589" i="5"/>
  <c r="F590" i="5" s="1"/>
  <c r="H590" i="5" l="1"/>
  <c r="G590" i="5"/>
  <c r="F591" i="5" s="1"/>
  <c r="H591" i="5" l="1"/>
  <c r="G591" i="5"/>
  <c r="F592" i="5" s="1"/>
  <c r="H592" i="5" l="1"/>
  <c r="G592" i="5"/>
  <c r="F593" i="5" s="1"/>
  <c r="H593" i="5" l="1"/>
  <c r="G593" i="5"/>
  <c r="F594" i="5" s="1"/>
  <c r="H594" i="5" l="1"/>
  <c r="G594" i="5"/>
  <c r="F595" i="5" s="1"/>
  <c r="H595" i="5" l="1"/>
  <c r="G595" i="5"/>
  <c r="F596" i="5" s="1"/>
  <c r="H596" i="5" l="1"/>
  <c r="G596" i="5"/>
  <c r="F597" i="5" s="1"/>
  <c r="H597" i="5" l="1"/>
  <c r="G597" i="5"/>
  <c r="F598" i="5" s="1"/>
  <c r="H598" i="5" l="1"/>
  <c r="G598" i="5"/>
  <c r="F599" i="5" s="1"/>
  <c r="H599" i="5" l="1"/>
  <c r="G599" i="5"/>
  <c r="F600" i="5" s="1"/>
  <c r="H600" i="5" l="1"/>
  <c r="G600" i="5"/>
  <c r="F601" i="5" s="1"/>
  <c r="H601" i="5" l="1"/>
  <c r="G601" i="5"/>
  <c r="F602" i="5" s="1"/>
  <c r="H602" i="5" l="1"/>
  <c r="G602" i="5"/>
  <c r="F603" i="5" s="1"/>
  <c r="H603" i="5" l="1"/>
  <c r="G603" i="5"/>
  <c r="F604" i="5" s="1"/>
  <c r="H604" i="5" l="1"/>
  <c r="G604" i="5"/>
  <c r="F605" i="5" s="1"/>
  <c r="H605" i="5" l="1"/>
  <c r="G605" i="5"/>
  <c r="F606" i="5" s="1"/>
  <c r="H606" i="5" l="1"/>
  <c r="G606" i="5"/>
  <c r="F607" i="5" s="1"/>
  <c r="H607" i="5" l="1"/>
  <c r="G607" i="5"/>
  <c r="F608" i="5" s="1"/>
  <c r="H608" i="5" l="1"/>
  <c r="G608" i="5"/>
  <c r="F609" i="5" s="1"/>
  <c r="H609" i="5" l="1"/>
  <c r="G609" i="5"/>
  <c r="F610" i="5" s="1"/>
  <c r="H610" i="5" l="1"/>
  <c r="G610" i="5"/>
  <c r="F611" i="5" s="1"/>
  <c r="H611" i="5" l="1"/>
  <c r="G611" i="5"/>
  <c r="F612" i="5" s="1"/>
  <c r="H612" i="5" l="1"/>
  <c r="G612" i="5"/>
  <c r="F613" i="5" s="1"/>
  <c r="H613" i="5" l="1"/>
  <c r="G613" i="5"/>
  <c r="F614" i="5" s="1"/>
  <c r="H614" i="5" l="1"/>
  <c r="G614" i="5"/>
  <c r="F615" i="5" s="1"/>
  <c r="H615" i="5" l="1"/>
  <c r="G615" i="5"/>
  <c r="F616" i="5" s="1"/>
  <c r="H616" i="5" l="1"/>
  <c r="G616" i="5"/>
  <c r="F617" i="5" s="1"/>
  <c r="H617" i="5" l="1"/>
  <c r="G617" i="5"/>
  <c r="F618" i="5" s="1"/>
  <c r="H618" i="5" l="1"/>
  <c r="G618" i="5"/>
  <c r="F619" i="5" s="1"/>
  <c r="H619" i="5" l="1"/>
  <c r="G619" i="5"/>
  <c r="F620" i="5" s="1"/>
  <c r="H620" i="5" l="1"/>
  <c r="G620" i="5"/>
  <c r="F621" i="5" s="1"/>
  <c r="H621" i="5" l="1"/>
  <c r="G621" i="5"/>
  <c r="F622" i="5" s="1"/>
  <c r="H622" i="5" l="1"/>
  <c r="G622" i="5"/>
  <c r="F623" i="5" s="1"/>
  <c r="H623" i="5" l="1"/>
  <c r="G623" i="5"/>
  <c r="F624" i="5" s="1"/>
  <c r="H624" i="5" l="1"/>
  <c r="G624" i="5"/>
  <c r="F625" i="5" s="1"/>
  <c r="H625" i="5" l="1"/>
  <c r="G625" i="5"/>
  <c r="F626" i="5" s="1"/>
  <c r="H626" i="5" l="1"/>
  <c r="G626" i="5"/>
  <c r="F627" i="5" s="1"/>
  <c r="H627" i="5" l="1"/>
  <c r="G627" i="5"/>
  <c r="F628" i="5" s="1"/>
  <c r="H628" i="5" l="1"/>
  <c r="G628" i="5"/>
  <c r="F629" i="5" s="1"/>
  <c r="H629" i="5" l="1"/>
  <c r="G629" i="5"/>
  <c r="F630" i="5" s="1"/>
  <c r="H630" i="5" l="1"/>
  <c r="G630" i="5"/>
  <c r="F631" i="5" s="1"/>
  <c r="H631" i="5" l="1"/>
  <c r="G631" i="5"/>
  <c r="F632" i="5" s="1"/>
  <c r="H632" i="5" l="1"/>
  <c r="G632" i="5"/>
  <c r="F633" i="5" s="1"/>
  <c r="H633" i="5" l="1"/>
  <c r="G633" i="5"/>
  <c r="F634" i="5" s="1"/>
  <c r="H634" i="5" l="1"/>
  <c r="G634" i="5"/>
  <c r="F635" i="5" s="1"/>
  <c r="H635" i="5" l="1"/>
  <c r="G635" i="5"/>
  <c r="F636" i="5" s="1"/>
  <c r="H636" i="5" l="1"/>
  <c r="G636" i="5"/>
  <c r="F637" i="5" s="1"/>
  <c r="H637" i="5" l="1"/>
  <c r="G637" i="5"/>
  <c r="F638" i="5" s="1"/>
  <c r="H638" i="5" l="1"/>
  <c r="G638" i="5"/>
  <c r="F639" i="5" s="1"/>
  <c r="H639" i="5" l="1"/>
  <c r="G639" i="5"/>
  <c r="F640" i="5" s="1"/>
  <c r="H640" i="5" l="1"/>
  <c r="G640" i="5"/>
  <c r="F641" i="5" s="1"/>
  <c r="H641" i="5" l="1"/>
  <c r="G641" i="5"/>
  <c r="F642" i="5" s="1"/>
  <c r="H642" i="5" l="1"/>
  <c r="G642" i="5"/>
  <c r="F643" i="5" s="1"/>
  <c r="H643" i="5" l="1"/>
  <c r="G643" i="5"/>
  <c r="F644" i="5" s="1"/>
  <c r="H644" i="5" l="1"/>
  <c r="G644" i="5"/>
  <c r="F645" i="5" s="1"/>
  <c r="H645" i="5" l="1"/>
  <c r="G645" i="5"/>
  <c r="F646" i="5" s="1"/>
  <c r="H646" i="5" l="1"/>
  <c r="G646" i="5"/>
  <c r="F647" i="5" s="1"/>
  <c r="H647" i="5" l="1"/>
  <c r="G647" i="5"/>
  <c r="F648" i="5" s="1"/>
  <c r="H648" i="5" l="1"/>
  <c r="G648" i="5"/>
  <c r="F649" i="5" s="1"/>
  <c r="H649" i="5" l="1"/>
  <c r="G649" i="5"/>
  <c r="F650" i="5" s="1"/>
  <c r="H650" i="5" l="1"/>
  <c r="G650" i="5"/>
  <c r="F651" i="5" s="1"/>
  <c r="H651" i="5" l="1"/>
  <c r="G651" i="5"/>
  <c r="F652" i="5" s="1"/>
  <c r="H652" i="5" l="1"/>
  <c r="G652" i="5"/>
  <c r="F653" i="5" s="1"/>
  <c r="H653" i="5" l="1"/>
  <c r="G653" i="5"/>
  <c r="F654" i="5" s="1"/>
  <c r="H654" i="5" l="1"/>
  <c r="G654" i="5"/>
  <c r="F655" i="5" s="1"/>
  <c r="H655" i="5" l="1"/>
  <c r="G655" i="5"/>
  <c r="F656" i="5" s="1"/>
  <c r="H656" i="5" l="1"/>
  <c r="G656" i="5"/>
  <c r="F657" i="5" s="1"/>
  <c r="H657" i="5" l="1"/>
  <c r="G657" i="5"/>
  <c r="F658" i="5" s="1"/>
  <c r="H658" i="5" l="1"/>
  <c r="G658" i="5"/>
  <c r="F659" i="5" s="1"/>
  <c r="H659" i="5" l="1"/>
  <c r="G659" i="5"/>
  <c r="F660" i="5" s="1"/>
  <c r="H660" i="5" l="1"/>
  <c r="G660" i="5"/>
  <c r="F661" i="5" s="1"/>
  <c r="H661" i="5" l="1"/>
  <c r="G661" i="5"/>
  <c r="F662" i="5" s="1"/>
  <c r="H662" i="5" l="1"/>
  <c r="G662" i="5"/>
  <c r="F663" i="5" s="1"/>
  <c r="H663" i="5" l="1"/>
  <c r="G663" i="5"/>
  <c r="F664" i="5" s="1"/>
  <c r="H664" i="5" l="1"/>
  <c r="G664" i="5"/>
  <c r="F665" i="5" s="1"/>
  <c r="H665" i="5" l="1"/>
  <c r="G665" i="5"/>
  <c r="F666" i="5" s="1"/>
  <c r="H666" i="5" l="1"/>
  <c r="G666" i="5"/>
  <c r="F667" i="5" s="1"/>
  <c r="H667" i="5" l="1"/>
  <c r="G667" i="5"/>
  <c r="F668" i="5" s="1"/>
  <c r="H668" i="5" l="1"/>
  <c r="G668" i="5"/>
  <c r="F669" i="5" s="1"/>
  <c r="H669" i="5" l="1"/>
  <c r="G669" i="5"/>
  <c r="F670" i="5" s="1"/>
  <c r="H670" i="5" l="1"/>
  <c r="G670" i="5"/>
  <c r="F671" i="5" s="1"/>
  <c r="H671" i="5" l="1"/>
  <c r="G671" i="5"/>
  <c r="F672" i="5" s="1"/>
  <c r="H672" i="5" l="1"/>
  <c r="G672" i="5"/>
  <c r="F673" i="5" s="1"/>
  <c r="H673" i="5" l="1"/>
  <c r="G673" i="5"/>
  <c r="F674" i="5" s="1"/>
  <c r="H674" i="5" l="1"/>
  <c r="G674" i="5"/>
  <c r="F675" i="5" s="1"/>
  <c r="H675" i="5" l="1"/>
  <c r="G675" i="5"/>
  <c r="F676" i="5" s="1"/>
  <c r="H676" i="5" l="1"/>
  <c r="G676" i="5"/>
  <c r="F677" i="5" s="1"/>
  <c r="H677" i="5" l="1"/>
  <c r="G677" i="5"/>
  <c r="F678" i="5" s="1"/>
  <c r="H678" i="5" l="1"/>
  <c r="G678" i="5"/>
  <c r="F679" i="5" s="1"/>
  <c r="H679" i="5" l="1"/>
  <c r="G679" i="5"/>
  <c r="F680" i="5" s="1"/>
  <c r="H680" i="5" l="1"/>
  <c r="G680" i="5"/>
  <c r="F681" i="5" s="1"/>
  <c r="H681" i="5" l="1"/>
  <c r="G681" i="5"/>
  <c r="F682" i="5" s="1"/>
  <c r="H682" i="5" l="1"/>
  <c r="G682" i="5"/>
  <c r="F683" i="5" s="1"/>
  <c r="H683" i="5" l="1"/>
  <c r="G683" i="5"/>
  <c r="F684" i="5" s="1"/>
  <c r="H684" i="5" l="1"/>
  <c r="G684" i="5"/>
  <c r="F685" i="5" s="1"/>
  <c r="H685" i="5" l="1"/>
  <c r="G685" i="5"/>
  <c r="F686" i="5" s="1"/>
  <c r="H686" i="5" l="1"/>
  <c r="G686" i="5"/>
  <c r="F687" i="5" s="1"/>
  <c r="H687" i="5" l="1"/>
  <c r="G687" i="5"/>
  <c r="F688" i="5" s="1"/>
  <c r="H688" i="5" l="1"/>
  <c r="G688" i="5"/>
  <c r="F689" i="5" s="1"/>
  <c r="H689" i="5" l="1"/>
  <c r="G689" i="5"/>
  <c r="F690" i="5" s="1"/>
  <c r="H690" i="5" l="1"/>
  <c r="G690" i="5"/>
  <c r="F691" i="5" s="1"/>
  <c r="H691" i="5" l="1"/>
  <c r="G691" i="5"/>
  <c r="F692" i="5" s="1"/>
  <c r="H692" i="5" l="1"/>
  <c r="G692" i="5"/>
  <c r="F693" i="5" s="1"/>
  <c r="H693" i="5" l="1"/>
  <c r="G693" i="5"/>
  <c r="F694" i="5" s="1"/>
  <c r="H694" i="5" l="1"/>
  <c r="G694" i="5"/>
  <c r="F695" i="5" s="1"/>
  <c r="H695" i="5" l="1"/>
  <c r="G695" i="5"/>
  <c r="F696" i="5" s="1"/>
  <c r="H696" i="5" l="1"/>
  <c r="G696" i="5"/>
  <c r="F697" i="5" s="1"/>
  <c r="H697" i="5" l="1"/>
  <c r="G697" i="5"/>
  <c r="F698" i="5" s="1"/>
  <c r="H698" i="5" l="1"/>
  <c r="G698" i="5"/>
  <c r="F699" i="5" s="1"/>
  <c r="H699" i="5" l="1"/>
  <c r="G699" i="5"/>
  <c r="F700" i="5" s="1"/>
  <c r="H700" i="5" l="1"/>
  <c r="G700" i="5"/>
  <c r="F701" i="5" s="1"/>
  <c r="H701" i="5" l="1"/>
  <c r="G701" i="5"/>
  <c r="F702" i="5" s="1"/>
  <c r="H702" i="5" l="1"/>
  <c r="G702" i="5"/>
  <c r="F703" i="5" s="1"/>
  <c r="H703" i="5" l="1"/>
  <c r="G703" i="5"/>
  <c r="F704" i="5" s="1"/>
  <c r="H704" i="5" l="1"/>
  <c r="G704" i="5"/>
  <c r="F705" i="5" s="1"/>
  <c r="H705" i="5" l="1"/>
  <c r="G705" i="5"/>
  <c r="F706" i="5" s="1"/>
  <c r="H706" i="5" l="1"/>
  <c r="G706" i="5"/>
  <c r="F707" i="5" s="1"/>
  <c r="H707" i="5" l="1"/>
  <c r="G707" i="5"/>
  <c r="F708" i="5" s="1"/>
  <c r="H708" i="5" l="1"/>
  <c r="G708" i="5"/>
  <c r="F709" i="5" s="1"/>
  <c r="H709" i="5" l="1"/>
  <c r="G709" i="5"/>
  <c r="F710" i="5" s="1"/>
  <c r="H710" i="5" l="1"/>
  <c r="G710" i="5"/>
  <c r="F711" i="5" s="1"/>
  <c r="H711" i="5" l="1"/>
  <c r="G711" i="5"/>
  <c r="F712" i="5" s="1"/>
  <c r="H712" i="5" l="1"/>
  <c r="G712" i="5"/>
  <c r="F713" i="5" s="1"/>
  <c r="H713" i="5" l="1"/>
  <c r="G713" i="5"/>
  <c r="F714" i="5" s="1"/>
  <c r="H714" i="5" l="1"/>
  <c r="G714" i="5"/>
  <c r="F715" i="5" s="1"/>
  <c r="H715" i="5" l="1"/>
  <c r="G715" i="5"/>
  <c r="F716" i="5" s="1"/>
  <c r="H716" i="5" l="1"/>
  <c r="G716" i="5"/>
  <c r="F717" i="5" s="1"/>
  <c r="H717" i="5" l="1"/>
  <c r="G717" i="5"/>
  <c r="F718" i="5" s="1"/>
  <c r="H718" i="5" l="1"/>
  <c r="G718" i="5"/>
  <c r="F719" i="5" s="1"/>
  <c r="H719" i="5" l="1"/>
  <c r="G719" i="5"/>
  <c r="F720" i="5" s="1"/>
  <c r="H720" i="5" l="1"/>
  <c r="G720" i="5"/>
  <c r="F721" i="5" s="1"/>
  <c r="H721" i="5" l="1"/>
  <c r="G721" i="5"/>
  <c r="F722" i="5" s="1"/>
  <c r="H722" i="5" l="1"/>
  <c r="G722" i="5"/>
  <c r="F723" i="5" s="1"/>
  <c r="H723" i="5" l="1"/>
  <c r="G723" i="5"/>
  <c r="F724" i="5" s="1"/>
  <c r="H724" i="5" l="1"/>
  <c r="G724" i="5"/>
  <c r="F725" i="5" s="1"/>
  <c r="H725" i="5" l="1"/>
  <c r="G725" i="5"/>
  <c r="F726" i="5" s="1"/>
  <c r="H726" i="5" l="1"/>
  <c r="G726" i="5"/>
  <c r="F727" i="5" s="1"/>
  <c r="H727" i="5" l="1"/>
  <c r="G727" i="5"/>
  <c r="F728" i="5" s="1"/>
  <c r="H728" i="5" l="1"/>
  <c r="G728" i="5"/>
  <c r="F729" i="5" s="1"/>
  <c r="H729" i="5" l="1"/>
  <c r="G729" i="5"/>
  <c r="F730" i="5" s="1"/>
  <c r="H730" i="5" l="1"/>
  <c r="G730" i="5"/>
  <c r="F731" i="5" s="1"/>
  <c r="H731" i="5" l="1"/>
  <c r="G731" i="5"/>
  <c r="F732" i="5" s="1"/>
  <c r="H732" i="5" l="1"/>
  <c r="G732" i="5"/>
  <c r="F733" i="5" s="1"/>
  <c r="H733" i="5" l="1"/>
  <c r="G733" i="5"/>
  <c r="F734" i="5" s="1"/>
  <c r="H734" i="5" l="1"/>
  <c r="G734" i="5"/>
  <c r="F735" i="5" s="1"/>
  <c r="H735" i="5" l="1"/>
  <c r="G735" i="5"/>
  <c r="F736" i="5" s="1"/>
  <c r="H736" i="5" l="1"/>
  <c r="G736" i="5"/>
  <c r="F737" i="5" s="1"/>
  <c r="H737" i="5" l="1"/>
  <c r="G737" i="5"/>
  <c r="F738" i="5" s="1"/>
  <c r="H738" i="5" l="1"/>
  <c r="G738" i="5"/>
  <c r="F739" i="5" s="1"/>
  <c r="H739" i="5" l="1"/>
  <c r="G739" i="5"/>
  <c r="F740" i="5" s="1"/>
  <c r="H740" i="5" l="1"/>
  <c r="G740" i="5"/>
  <c r="F741" i="5" s="1"/>
  <c r="H741" i="5" l="1"/>
  <c r="G741" i="5"/>
  <c r="F742" i="5" s="1"/>
  <c r="H742" i="5" l="1"/>
  <c r="G742" i="5"/>
  <c r="F743" i="5" s="1"/>
  <c r="H743" i="5" l="1"/>
  <c r="G743" i="5"/>
  <c r="F744" i="5" s="1"/>
  <c r="H744" i="5" l="1"/>
  <c r="G744" i="5"/>
  <c r="F745" i="5" s="1"/>
  <c r="H745" i="5" l="1"/>
  <c r="G745" i="5"/>
  <c r="F746" i="5" s="1"/>
  <c r="H746" i="5" l="1"/>
  <c r="G746" i="5"/>
  <c r="F747" i="5" s="1"/>
  <c r="H747" i="5" l="1"/>
  <c r="G747" i="5"/>
  <c r="F748" i="5" s="1"/>
  <c r="H748" i="5" l="1"/>
  <c r="G748" i="5"/>
  <c r="F749" i="5" s="1"/>
  <c r="H749" i="5" l="1"/>
  <c r="G749" i="5"/>
  <c r="F750" i="5" s="1"/>
  <c r="H750" i="5" l="1"/>
  <c r="G750" i="5"/>
  <c r="F751" i="5" s="1"/>
  <c r="H751" i="5" l="1"/>
  <c r="G751" i="5"/>
  <c r="F752" i="5" s="1"/>
  <c r="H752" i="5" l="1"/>
  <c r="G752" i="5"/>
  <c r="F753" i="5" s="1"/>
  <c r="H753" i="5" l="1"/>
  <c r="G753" i="5"/>
  <c r="F754" i="5" s="1"/>
  <c r="H754" i="5" l="1"/>
  <c r="G754" i="5"/>
  <c r="F755" i="5" s="1"/>
  <c r="H755" i="5" l="1"/>
  <c r="G755" i="5"/>
  <c r="F756" i="5" s="1"/>
  <c r="H756" i="5" l="1"/>
  <c r="G756" i="5"/>
  <c r="F757" i="5" s="1"/>
  <c r="H757" i="5" l="1"/>
  <c r="G757" i="5"/>
  <c r="F758" i="5" s="1"/>
  <c r="H758" i="5" l="1"/>
  <c r="G758" i="5"/>
  <c r="F759" i="5" s="1"/>
  <c r="H759" i="5" l="1"/>
  <c r="G759" i="5"/>
  <c r="F760" i="5" s="1"/>
  <c r="H760" i="5" l="1"/>
  <c r="G760" i="5"/>
  <c r="F761" i="5" s="1"/>
  <c r="H761" i="5" l="1"/>
  <c r="G761" i="5"/>
  <c r="F762" i="5" s="1"/>
  <c r="H762" i="5" l="1"/>
  <c r="G762" i="5"/>
  <c r="F763" i="5" s="1"/>
  <c r="H763" i="5" l="1"/>
  <c r="G763" i="5"/>
  <c r="F764" i="5" s="1"/>
  <c r="H764" i="5" l="1"/>
  <c r="G764" i="5"/>
  <c r="F765" i="5" s="1"/>
  <c r="H765" i="5" l="1"/>
  <c r="G765" i="5"/>
  <c r="F766" i="5" s="1"/>
  <c r="H766" i="5" l="1"/>
  <c r="G766" i="5"/>
  <c r="F767" i="5" s="1"/>
  <c r="H767" i="5" l="1"/>
  <c r="G767" i="5"/>
  <c r="F768" i="5" s="1"/>
  <c r="H768" i="5" l="1"/>
  <c r="G768" i="5"/>
  <c r="F769" i="5" s="1"/>
  <c r="H769" i="5" l="1"/>
  <c r="G769" i="5"/>
  <c r="F770" i="5" s="1"/>
  <c r="H770" i="5" l="1"/>
  <c r="G770" i="5"/>
  <c r="F771" i="5" s="1"/>
  <c r="H771" i="5" l="1"/>
  <c r="G771" i="5"/>
  <c r="F772" i="5" s="1"/>
  <c r="H772" i="5" l="1"/>
  <c r="G772" i="5"/>
  <c r="F773" i="5" s="1"/>
  <c r="H773" i="5" l="1"/>
  <c r="G773" i="5"/>
  <c r="F774" i="5" s="1"/>
  <c r="H774" i="5" l="1"/>
  <c r="G774" i="5"/>
  <c r="F775" i="5" s="1"/>
  <c r="H775" i="5" l="1"/>
  <c r="G775" i="5"/>
  <c r="F776" i="5" s="1"/>
  <c r="H776" i="5" l="1"/>
  <c r="G776" i="5"/>
  <c r="F777" i="5" s="1"/>
  <c r="H777" i="5" l="1"/>
  <c r="G777" i="5"/>
  <c r="F778" i="5" s="1"/>
  <c r="H778" i="5" l="1"/>
  <c r="G778" i="5"/>
  <c r="F779" i="5" s="1"/>
  <c r="H779" i="5" l="1"/>
  <c r="G779" i="5"/>
  <c r="F780" i="5" s="1"/>
  <c r="H780" i="5" l="1"/>
  <c r="G780" i="5"/>
  <c r="F781" i="5" s="1"/>
  <c r="H781" i="5" l="1"/>
  <c r="G781" i="5"/>
  <c r="F782" i="5" s="1"/>
  <c r="H782" i="5" l="1"/>
  <c r="G782" i="5"/>
  <c r="F783" i="5" s="1"/>
  <c r="H783" i="5" l="1"/>
  <c r="G783" i="5"/>
  <c r="F784" i="5" s="1"/>
  <c r="H784" i="5" l="1"/>
  <c r="G784" i="5"/>
  <c r="F785" i="5" s="1"/>
  <c r="H785" i="5" l="1"/>
  <c r="G785" i="5"/>
  <c r="F786" i="5" s="1"/>
  <c r="H786" i="5" l="1"/>
  <c r="G786" i="5"/>
  <c r="F787" i="5" s="1"/>
  <c r="H787" i="5" l="1"/>
  <c r="G787" i="5"/>
  <c r="F788" i="5" s="1"/>
  <c r="H788" i="5" l="1"/>
  <c r="G788" i="5"/>
  <c r="F789" i="5" s="1"/>
  <c r="H789" i="5" l="1"/>
  <c r="G789" i="5"/>
  <c r="F790" i="5" s="1"/>
  <c r="H790" i="5" l="1"/>
  <c r="G790" i="5"/>
  <c r="F791" i="5" s="1"/>
  <c r="H791" i="5" l="1"/>
  <c r="G791" i="5"/>
  <c r="F792" i="5" s="1"/>
  <c r="H792" i="5" l="1"/>
  <c r="G792" i="5"/>
  <c r="F793" i="5" s="1"/>
  <c r="H793" i="5" l="1"/>
  <c r="G793" i="5"/>
  <c r="F794" i="5" s="1"/>
  <c r="H794" i="5" l="1"/>
  <c r="G794" i="5"/>
  <c r="F795" i="5" s="1"/>
  <c r="H795" i="5" l="1"/>
  <c r="G795" i="5"/>
  <c r="F796" i="5" s="1"/>
  <c r="H796" i="5" l="1"/>
  <c r="G796" i="5"/>
  <c r="F797" i="5" s="1"/>
  <c r="H797" i="5" l="1"/>
  <c r="G797" i="5"/>
  <c r="F798" i="5" s="1"/>
  <c r="H798" i="5" l="1"/>
  <c r="G798" i="5"/>
  <c r="F799" i="5" s="1"/>
  <c r="H799" i="5" l="1"/>
  <c r="G799" i="5"/>
  <c r="F800" i="5" s="1"/>
  <c r="H800" i="5" l="1"/>
  <c r="G800" i="5"/>
  <c r="F801" i="5" s="1"/>
  <c r="H801" i="5" l="1"/>
  <c r="G801" i="5"/>
  <c r="F802" i="5" s="1"/>
  <c r="H802" i="5" l="1"/>
  <c r="G802" i="5"/>
  <c r="F803" i="5" s="1"/>
  <c r="H803" i="5" l="1"/>
  <c r="G803" i="5"/>
  <c r="F804" i="5" s="1"/>
  <c r="H804" i="5" l="1"/>
  <c r="G804" i="5"/>
  <c r="F805" i="5" s="1"/>
  <c r="H805" i="5" l="1"/>
  <c r="G805" i="5"/>
  <c r="F806" i="5" s="1"/>
  <c r="H806" i="5" l="1"/>
  <c r="G806" i="5"/>
  <c r="F807" i="5" s="1"/>
  <c r="H807" i="5" l="1"/>
  <c r="G807" i="5"/>
  <c r="F808" i="5" s="1"/>
  <c r="H808" i="5" l="1"/>
  <c r="G808" i="5"/>
  <c r="F809" i="5" s="1"/>
  <c r="H809" i="5" l="1"/>
  <c r="G809" i="5"/>
  <c r="F810" i="5" s="1"/>
  <c r="H810" i="5" l="1"/>
  <c r="G810" i="5"/>
  <c r="F811" i="5" s="1"/>
  <c r="H811" i="5" l="1"/>
  <c r="G811" i="5"/>
  <c r="F812" i="5" s="1"/>
  <c r="H812" i="5" l="1"/>
  <c r="G812" i="5"/>
  <c r="F813" i="5" s="1"/>
  <c r="H813" i="5" l="1"/>
  <c r="G813" i="5"/>
  <c r="F814" i="5" s="1"/>
  <c r="H814" i="5" l="1"/>
  <c r="G814" i="5"/>
  <c r="F815" i="5" s="1"/>
  <c r="H815" i="5" l="1"/>
  <c r="G815" i="5"/>
  <c r="F816" i="5" s="1"/>
  <c r="H816" i="5" l="1"/>
  <c r="G816" i="5"/>
  <c r="F817" i="5" s="1"/>
  <c r="H817" i="5" l="1"/>
  <c r="G817" i="5"/>
  <c r="F818" i="5" s="1"/>
  <c r="H818" i="5" l="1"/>
  <c r="G818" i="5"/>
  <c r="F819" i="5" s="1"/>
  <c r="H819" i="5" l="1"/>
  <c r="G819" i="5"/>
  <c r="F820" i="5" s="1"/>
  <c r="H820" i="5" l="1"/>
  <c r="G820" i="5"/>
  <c r="F821" i="5" s="1"/>
  <c r="H821" i="5" l="1"/>
  <c r="G821" i="5"/>
  <c r="F822" i="5" s="1"/>
  <c r="H822" i="5" l="1"/>
  <c r="G822" i="5"/>
  <c r="F823" i="5" s="1"/>
  <c r="H823" i="5" l="1"/>
  <c r="G823" i="5"/>
  <c r="F824" i="5" s="1"/>
  <c r="H824" i="5" l="1"/>
  <c r="G824" i="5"/>
  <c r="F825" i="5" s="1"/>
  <c r="H825" i="5" l="1"/>
  <c r="G825" i="5"/>
  <c r="F826" i="5" s="1"/>
  <c r="H826" i="5" l="1"/>
  <c r="G826" i="5"/>
  <c r="F827" i="5" s="1"/>
  <c r="H827" i="5" l="1"/>
  <c r="G827" i="5"/>
  <c r="F828" i="5" s="1"/>
  <c r="H828" i="5" l="1"/>
  <c r="G828" i="5"/>
  <c r="F829" i="5" s="1"/>
  <c r="H829" i="5" l="1"/>
  <c r="G829" i="5"/>
  <c r="F830" i="5" s="1"/>
  <c r="H830" i="5" l="1"/>
  <c r="G830" i="5"/>
  <c r="F831" i="5" s="1"/>
  <c r="H831" i="5" l="1"/>
  <c r="G831" i="5"/>
  <c r="F832" i="5" s="1"/>
  <c r="H832" i="5" l="1"/>
  <c r="G832" i="5"/>
  <c r="F833" i="5" s="1"/>
  <c r="H833" i="5" l="1"/>
  <c r="G833" i="5"/>
  <c r="F834" i="5" s="1"/>
  <c r="H834" i="5" l="1"/>
  <c r="G834" i="5"/>
  <c r="F835" i="5" s="1"/>
  <c r="H835" i="5" l="1"/>
  <c r="G835" i="5"/>
  <c r="F836" i="5" s="1"/>
  <c r="H836" i="5" l="1"/>
  <c r="G836" i="5"/>
  <c r="F837" i="5" s="1"/>
  <c r="H837" i="5" l="1"/>
  <c r="G837" i="5"/>
  <c r="F838" i="5" s="1"/>
  <c r="H838" i="5" l="1"/>
  <c r="G838" i="5"/>
  <c r="F839" i="5" s="1"/>
  <c r="H839" i="5" l="1"/>
  <c r="G839" i="5"/>
  <c r="F840" i="5" s="1"/>
  <c r="H840" i="5" l="1"/>
  <c r="G840" i="5"/>
  <c r="F841" i="5" s="1"/>
  <c r="H841" i="5" l="1"/>
  <c r="G841" i="5"/>
  <c r="F842" i="5" s="1"/>
  <c r="H842" i="5" l="1"/>
  <c r="G842" i="5"/>
  <c r="F843" i="5" s="1"/>
  <c r="H843" i="5" l="1"/>
  <c r="G843" i="5"/>
  <c r="F844" i="5" s="1"/>
  <c r="H844" i="5" l="1"/>
  <c r="G844" i="5"/>
  <c r="F845" i="5" s="1"/>
  <c r="H845" i="5" l="1"/>
  <c r="G845" i="5"/>
  <c r="F846" i="5" s="1"/>
  <c r="H846" i="5" l="1"/>
  <c r="G846" i="5"/>
  <c r="F847" i="5" s="1"/>
  <c r="H847" i="5" l="1"/>
  <c r="G847" i="5"/>
  <c r="F848" i="5" s="1"/>
  <c r="H848" i="5" l="1"/>
  <c r="G848" i="5"/>
  <c r="F849" i="5" s="1"/>
  <c r="H849" i="5" l="1"/>
  <c r="G849" i="5"/>
  <c r="F850" i="5" s="1"/>
  <c r="H850" i="5" l="1"/>
  <c r="G850" i="5"/>
  <c r="F851" i="5" s="1"/>
  <c r="H851" i="5" l="1"/>
  <c r="G851" i="5"/>
  <c r="F852" i="5" s="1"/>
  <c r="H852" i="5" l="1"/>
  <c r="G852" i="5"/>
  <c r="F853" i="5" s="1"/>
  <c r="H853" i="5" l="1"/>
  <c r="G853" i="5"/>
  <c r="F854" i="5" s="1"/>
  <c r="H854" i="5" l="1"/>
  <c r="G854" i="5"/>
  <c r="F855" i="5" s="1"/>
  <c r="H855" i="5" l="1"/>
  <c r="G855" i="5"/>
  <c r="F856" i="5" s="1"/>
  <c r="H856" i="5" l="1"/>
  <c r="G856" i="5"/>
  <c r="F857" i="5" s="1"/>
  <c r="H857" i="5" l="1"/>
  <c r="G857" i="5"/>
  <c r="F858" i="5" s="1"/>
  <c r="H858" i="5" l="1"/>
  <c r="G858" i="5"/>
  <c r="F859" i="5" s="1"/>
  <c r="H859" i="5" l="1"/>
  <c r="G859" i="5"/>
  <c r="F860" i="5" s="1"/>
  <c r="H860" i="5" l="1"/>
  <c r="G860" i="5"/>
  <c r="F861" i="5" s="1"/>
  <c r="H861" i="5" l="1"/>
  <c r="G861" i="5"/>
  <c r="F862" i="5" s="1"/>
  <c r="H862" i="5" l="1"/>
  <c r="G862" i="5"/>
  <c r="F863" i="5" s="1"/>
  <c r="H863" i="5" l="1"/>
  <c r="G863" i="5"/>
  <c r="F864" i="5" s="1"/>
  <c r="H864" i="5" l="1"/>
  <c r="G864" i="5"/>
  <c r="F865" i="5" s="1"/>
  <c r="H865" i="5" l="1"/>
  <c r="G865" i="5"/>
  <c r="F866" i="5" s="1"/>
  <c r="H866" i="5" l="1"/>
  <c r="G866" i="5"/>
  <c r="F867" i="5" s="1"/>
  <c r="H867" i="5" l="1"/>
  <c r="G867" i="5"/>
  <c r="F868" i="5" s="1"/>
  <c r="H868" i="5" l="1"/>
  <c r="G868" i="5"/>
  <c r="F869" i="5" s="1"/>
  <c r="H869" i="5" l="1"/>
  <c r="G869" i="5"/>
  <c r="F870" i="5" s="1"/>
  <c r="H870" i="5" l="1"/>
  <c r="G870" i="5"/>
  <c r="F871" i="5" s="1"/>
  <c r="H871" i="5" l="1"/>
  <c r="G871" i="5"/>
  <c r="F872" i="5" s="1"/>
  <c r="H872" i="5" l="1"/>
  <c r="G872" i="5"/>
  <c r="F873" i="5" s="1"/>
  <c r="H873" i="5" l="1"/>
  <c r="G873" i="5"/>
  <c r="F874" i="5" s="1"/>
  <c r="H874" i="5" l="1"/>
  <c r="G874" i="5"/>
  <c r="F875" i="5" s="1"/>
  <c r="H875" i="5" l="1"/>
  <c r="G875" i="5"/>
  <c r="F876" i="5" s="1"/>
  <c r="H876" i="5" l="1"/>
  <c r="G876" i="5"/>
  <c r="F877" i="5" s="1"/>
  <c r="H877" i="5" l="1"/>
  <c r="G877" i="5"/>
  <c r="F878" i="5" s="1"/>
  <c r="H878" i="5" l="1"/>
  <c r="G878" i="5"/>
  <c r="F879" i="5" s="1"/>
  <c r="H879" i="5" l="1"/>
  <c r="G879" i="5"/>
  <c r="F880" i="5" s="1"/>
  <c r="H880" i="5" l="1"/>
  <c r="G880" i="5"/>
  <c r="F881" i="5" s="1"/>
  <c r="H881" i="5" l="1"/>
  <c r="G881" i="5"/>
  <c r="F882" i="5" s="1"/>
  <c r="H882" i="5" l="1"/>
  <c r="G882" i="5"/>
  <c r="F883" i="5" s="1"/>
  <c r="H883" i="5" l="1"/>
  <c r="G883" i="5"/>
  <c r="F884" i="5" s="1"/>
  <c r="H884" i="5" l="1"/>
  <c r="G884" i="5"/>
  <c r="F885" i="5" s="1"/>
  <c r="H885" i="5" l="1"/>
  <c r="G885" i="5"/>
  <c r="F886" i="5" s="1"/>
  <c r="H886" i="5" l="1"/>
  <c r="G886" i="5"/>
  <c r="F887" i="5" s="1"/>
  <c r="H887" i="5" l="1"/>
  <c r="G887" i="5"/>
  <c r="F888" i="5" s="1"/>
  <c r="H888" i="5" l="1"/>
  <c r="G888" i="5"/>
  <c r="F889" i="5" s="1"/>
  <c r="H889" i="5" l="1"/>
  <c r="G889" i="5"/>
  <c r="F890" i="5" s="1"/>
  <c r="H890" i="5" l="1"/>
  <c r="G890" i="5"/>
  <c r="F891" i="5" s="1"/>
  <c r="H891" i="5" l="1"/>
  <c r="G891" i="5"/>
  <c r="F892" i="5" s="1"/>
  <c r="H892" i="5" l="1"/>
  <c r="G892" i="5"/>
  <c r="F893" i="5" s="1"/>
  <c r="H893" i="5" l="1"/>
  <c r="G893" i="5"/>
  <c r="F894" i="5" s="1"/>
  <c r="H894" i="5" l="1"/>
  <c r="G894" i="5"/>
  <c r="F895" i="5" s="1"/>
  <c r="H895" i="5" l="1"/>
  <c r="G895" i="5"/>
  <c r="F896" i="5" s="1"/>
  <c r="H896" i="5" l="1"/>
  <c r="G896" i="5"/>
  <c r="F897" i="5" s="1"/>
  <c r="H897" i="5" l="1"/>
  <c r="G897" i="5"/>
  <c r="F898" i="5" s="1"/>
  <c r="H898" i="5" l="1"/>
  <c r="G898" i="5"/>
  <c r="F899" i="5" s="1"/>
  <c r="H899" i="5" l="1"/>
  <c r="G899" i="5"/>
  <c r="F900" i="5" s="1"/>
  <c r="H900" i="5" l="1"/>
  <c r="G900" i="5"/>
  <c r="F901" i="5" s="1"/>
  <c r="H901" i="5" l="1"/>
  <c r="G901" i="5"/>
  <c r="F902" i="5" s="1"/>
  <c r="H902" i="5" l="1"/>
  <c r="G902" i="5"/>
  <c r="F903" i="5" s="1"/>
  <c r="H903" i="5" l="1"/>
  <c r="G903" i="5"/>
  <c r="F904" i="5" s="1"/>
  <c r="H904" i="5" l="1"/>
  <c r="G904" i="5"/>
  <c r="F905" i="5" s="1"/>
  <c r="H905" i="5" l="1"/>
  <c r="G905" i="5"/>
  <c r="F906" i="5" s="1"/>
  <c r="H906" i="5" l="1"/>
  <c r="G906" i="5"/>
  <c r="F907" i="5" s="1"/>
  <c r="H907" i="5" l="1"/>
  <c r="G907" i="5"/>
  <c r="F908" i="5" s="1"/>
  <c r="H908" i="5" l="1"/>
  <c r="G908" i="5"/>
  <c r="F909" i="5" s="1"/>
  <c r="H909" i="5" l="1"/>
  <c r="G909" i="5"/>
  <c r="F910" i="5" s="1"/>
  <c r="H910" i="5" l="1"/>
  <c r="G910" i="5"/>
  <c r="F911" i="5" s="1"/>
  <c r="H911" i="5" l="1"/>
  <c r="G911" i="5"/>
  <c r="F912" i="5" s="1"/>
  <c r="H912" i="5" l="1"/>
  <c r="G912" i="5"/>
  <c r="F913" i="5" s="1"/>
  <c r="H913" i="5" l="1"/>
  <c r="G913" i="5"/>
  <c r="F914" i="5" s="1"/>
  <c r="H914" i="5" l="1"/>
  <c r="G914" i="5"/>
  <c r="F915" i="5" s="1"/>
  <c r="H915" i="5" l="1"/>
  <c r="G915" i="5"/>
  <c r="F916" i="5" s="1"/>
  <c r="H916" i="5" l="1"/>
  <c r="G916" i="5"/>
  <c r="F917" i="5" s="1"/>
  <c r="H917" i="5" l="1"/>
  <c r="G917" i="5"/>
  <c r="F918" i="5" s="1"/>
  <c r="H918" i="5" l="1"/>
  <c r="G918" i="5"/>
  <c r="F919" i="5" s="1"/>
  <c r="H919" i="5" l="1"/>
  <c r="G919" i="5"/>
  <c r="F920" i="5" s="1"/>
  <c r="H920" i="5" l="1"/>
  <c r="G920" i="5"/>
  <c r="F921" i="5" s="1"/>
  <c r="H921" i="5" l="1"/>
  <c r="G921" i="5"/>
  <c r="F922" i="5" s="1"/>
  <c r="H922" i="5" l="1"/>
  <c r="G922" i="5"/>
  <c r="F923" i="5" s="1"/>
  <c r="H923" i="5" l="1"/>
  <c r="G923" i="5"/>
  <c r="F924" i="5" s="1"/>
  <c r="H924" i="5" l="1"/>
  <c r="G924" i="5"/>
  <c r="F925" i="5" s="1"/>
  <c r="H925" i="5" l="1"/>
  <c r="G925" i="5"/>
  <c r="F926" i="5" s="1"/>
  <c r="H926" i="5" l="1"/>
  <c r="G926" i="5"/>
  <c r="F927" i="5" s="1"/>
  <c r="H927" i="5" l="1"/>
  <c r="G927" i="5"/>
  <c r="F928" i="5" s="1"/>
  <c r="H928" i="5" l="1"/>
  <c r="G928" i="5"/>
  <c r="F929" i="5" s="1"/>
  <c r="H929" i="5" l="1"/>
  <c r="G929" i="5"/>
  <c r="F930" i="5" s="1"/>
  <c r="H930" i="5" l="1"/>
  <c r="G930" i="5"/>
  <c r="F931" i="5" s="1"/>
  <c r="H931" i="5" l="1"/>
  <c r="G931" i="5"/>
  <c r="F932" i="5" s="1"/>
  <c r="H932" i="5" l="1"/>
  <c r="G932" i="5"/>
  <c r="F933" i="5" s="1"/>
  <c r="H933" i="5" l="1"/>
  <c r="G933" i="5"/>
  <c r="F934" i="5" s="1"/>
  <c r="H934" i="5" l="1"/>
  <c r="G934" i="5"/>
  <c r="F935" i="5" s="1"/>
  <c r="H935" i="5" l="1"/>
  <c r="G935" i="5"/>
  <c r="F936" i="5" s="1"/>
  <c r="H936" i="5" l="1"/>
  <c r="G936" i="5"/>
  <c r="F937" i="5" s="1"/>
  <c r="H937" i="5" l="1"/>
  <c r="G937" i="5"/>
  <c r="F938" i="5" s="1"/>
  <c r="H938" i="5" l="1"/>
  <c r="G938" i="5"/>
  <c r="F939" i="5" s="1"/>
  <c r="H939" i="5" l="1"/>
  <c r="G939" i="5"/>
  <c r="F940" i="5" s="1"/>
  <c r="H940" i="5" l="1"/>
  <c r="G940" i="5"/>
  <c r="F941" i="5" s="1"/>
  <c r="H941" i="5" l="1"/>
  <c r="G941" i="5"/>
  <c r="F942" i="5" s="1"/>
  <c r="H942" i="5" l="1"/>
  <c r="G942" i="5"/>
  <c r="F943" i="5" s="1"/>
  <c r="H943" i="5" l="1"/>
  <c r="G943" i="5"/>
  <c r="F944" i="5" s="1"/>
  <c r="H944" i="5" l="1"/>
  <c r="G944" i="5"/>
  <c r="F945" i="5" s="1"/>
  <c r="H945" i="5" l="1"/>
  <c r="G945" i="5"/>
  <c r="F946" i="5" s="1"/>
  <c r="H946" i="5" l="1"/>
  <c r="G946" i="5"/>
  <c r="F947" i="5" s="1"/>
  <c r="H947" i="5" l="1"/>
  <c r="G947" i="5"/>
  <c r="F948" i="5" s="1"/>
  <c r="H948" i="5" l="1"/>
  <c r="G948" i="5"/>
  <c r="F949" i="5" s="1"/>
  <c r="H949" i="5" l="1"/>
  <c r="G949" i="5"/>
  <c r="F950" i="5" s="1"/>
  <c r="H950" i="5" l="1"/>
  <c r="G950" i="5"/>
  <c r="F951" i="5" s="1"/>
  <c r="H951" i="5" l="1"/>
  <c r="G951" i="5"/>
  <c r="F952" i="5" s="1"/>
  <c r="H952" i="5" l="1"/>
  <c r="G952" i="5"/>
  <c r="F953" i="5" s="1"/>
  <c r="H953" i="5" l="1"/>
  <c r="G953" i="5"/>
  <c r="F954" i="5" s="1"/>
  <c r="H954" i="5" l="1"/>
  <c r="G954" i="5"/>
  <c r="F955" i="5" s="1"/>
  <c r="H955" i="5" l="1"/>
  <c r="G955" i="5"/>
  <c r="F956" i="5" s="1"/>
  <c r="H956" i="5" l="1"/>
  <c r="G956" i="5"/>
  <c r="F957" i="5" s="1"/>
  <c r="H957" i="5" l="1"/>
  <c r="G957" i="5"/>
  <c r="F958" i="5" s="1"/>
  <c r="H958" i="5" l="1"/>
  <c r="G958" i="5"/>
  <c r="F959" i="5" s="1"/>
  <c r="H959" i="5" l="1"/>
  <c r="G959" i="5"/>
  <c r="F960" i="5" s="1"/>
  <c r="H960" i="5" l="1"/>
  <c r="G960" i="5"/>
  <c r="F961" i="5" s="1"/>
  <c r="H961" i="5" l="1"/>
  <c r="G961" i="5"/>
  <c r="F962" i="5" s="1"/>
  <c r="H962" i="5" l="1"/>
  <c r="G962" i="5"/>
  <c r="F963" i="5" s="1"/>
  <c r="H963" i="5" l="1"/>
  <c r="G963" i="5"/>
  <c r="F964" i="5" s="1"/>
  <c r="H964" i="5" l="1"/>
  <c r="G964" i="5"/>
  <c r="F965" i="5" s="1"/>
  <c r="H965" i="5" l="1"/>
  <c r="G965" i="5"/>
  <c r="F966" i="5" s="1"/>
  <c r="H966" i="5" l="1"/>
  <c r="G966" i="5"/>
  <c r="F967" i="5" s="1"/>
  <c r="H967" i="5" l="1"/>
  <c r="G967" i="5"/>
  <c r="F968" i="5" s="1"/>
  <c r="H968" i="5" l="1"/>
  <c r="G968" i="5"/>
  <c r="F969" i="5" s="1"/>
  <c r="H969" i="5" l="1"/>
  <c r="G969" i="5"/>
  <c r="F970" i="5" s="1"/>
  <c r="H970" i="5" l="1"/>
  <c r="G970" i="5"/>
  <c r="F971" i="5" s="1"/>
  <c r="H971" i="5" l="1"/>
  <c r="G971" i="5"/>
  <c r="F972" i="5" s="1"/>
  <c r="H972" i="5" l="1"/>
  <c r="G972" i="5"/>
  <c r="F973" i="5" s="1"/>
  <c r="H973" i="5" l="1"/>
  <c r="G973" i="5"/>
  <c r="F974" i="5" s="1"/>
  <c r="H974" i="5" l="1"/>
  <c r="G974" i="5"/>
  <c r="F975" i="5" s="1"/>
  <c r="H975" i="5" l="1"/>
  <c r="G975" i="5"/>
  <c r="F976" i="5" s="1"/>
  <c r="H976" i="5" l="1"/>
  <c r="G976" i="5"/>
  <c r="F977" i="5" s="1"/>
  <c r="H977" i="5" l="1"/>
  <c r="G977" i="5"/>
  <c r="F978" i="5" s="1"/>
  <c r="H978" i="5" l="1"/>
  <c r="G978" i="5"/>
  <c r="F979" i="5" s="1"/>
  <c r="H979" i="5" l="1"/>
  <c r="G979" i="5"/>
  <c r="F980" i="5" s="1"/>
  <c r="H980" i="5" l="1"/>
  <c r="G980" i="5"/>
  <c r="F981" i="5" s="1"/>
  <c r="H981" i="5" l="1"/>
  <c r="G981" i="5"/>
  <c r="F982" i="5" s="1"/>
  <c r="H982" i="5" l="1"/>
  <c r="G982" i="5"/>
  <c r="F983" i="5" s="1"/>
  <c r="H983" i="5" l="1"/>
  <c r="G983" i="5"/>
  <c r="F984" i="5" s="1"/>
  <c r="H984" i="5" l="1"/>
  <c r="G984" i="5"/>
  <c r="F985" i="5" s="1"/>
  <c r="H985" i="5" l="1"/>
  <c r="G985" i="5"/>
  <c r="F986" i="5" s="1"/>
  <c r="H986" i="5" l="1"/>
  <c r="G986" i="5"/>
  <c r="F987" i="5" s="1"/>
  <c r="H987" i="5" l="1"/>
  <c r="G987" i="5"/>
  <c r="F988" i="5" s="1"/>
  <c r="H988" i="5" l="1"/>
  <c r="G988" i="5"/>
  <c r="F989" i="5" s="1"/>
  <c r="H989" i="5" l="1"/>
  <c r="G989" i="5"/>
  <c r="F990" i="5" s="1"/>
  <c r="H990" i="5" l="1"/>
  <c r="G990" i="5"/>
  <c r="F991" i="5" s="1"/>
  <c r="H991" i="5" l="1"/>
  <c r="G991" i="5"/>
  <c r="F992" i="5" s="1"/>
  <c r="H992" i="5" l="1"/>
  <c r="G992" i="5"/>
  <c r="F993" i="5" s="1"/>
  <c r="H993" i="5" l="1"/>
  <c r="G993" i="5"/>
  <c r="F994" i="5" s="1"/>
  <c r="H994" i="5" l="1"/>
  <c r="G994" i="5"/>
  <c r="F995" i="5" s="1"/>
  <c r="H995" i="5" l="1"/>
  <c r="G995" i="5"/>
  <c r="F996" i="5" s="1"/>
  <c r="H996" i="5" l="1"/>
  <c r="G996" i="5"/>
  <c r="F997" i="5" s="1"/>
  <c r="H997" i="5" l="1"/>
  <c r="G997" i="5"/>
  <c r="F998" i="5" s="1"/>
  <c r="H998" i="5" l="1"/>
  <c r="G998" i="5"/>
  <c r="F999" i="5" s="1"/>
  <c r="H999" i="5" l="1"/>
  <c r="G999" i="5"/>
  <c r="F1000" i="5" s="1"/>
  <c r="H1000" i="5" l="1"/>
  <c r="G1000" i="5"/>
  <c r="F1001" i="5" s="1"/>
  <c r="H1001" i="5" l="1"/>
  <c r="G1001" i="5"/>
  <c r="F1002" i="5" s="1"/>
  <c r="H1002" i="5" l="1"/>
  <c r="G1002" i="5"/>
  <c r="F1003" i="5" s="1"/>
  <c r="H1003" i="5" l="1"/>
  <c r="G1003" i="5"/>
  <c r="F1004" i="5" s="1"/>
  <c r="H1004" i="5" l="1"/>
  <c r="G1004" i="5"/>
  <c r="F1005" i="5" s="1"/>
  <c r="H1005" i="5" l="1"/>
  <c r="G1005" i="5"/>
  <c r="F1006" i="5" s="1"/>
  <c r="H1006" i="5" l="1"/>
  <c r="G1006" i="5"/>
  <c r="F1007" i="5" s="1"/>
  <c r="H1007" i="5" l="1"/>
  <c r="G1007" i="5"/>
  <c r="F1008" i="5" s="1"/>
  <c r="H1008" i="5" l="1"/>
  <c r="G1008" i="5"/>
  <c r="F1009" i="5" s="1"/>
  <c r="H1009" i="5" l="1"/>
  <c r="G1009" i="5"/>
  <c r="F1010" i="5" s="1"/>
  <c r="H1010" i="5" l="1"/>
  <c r="G1010" i="5"/>
  <c r="F1011" i="5" s="1"/>
  <c r="H1011" i="5" l="1"/>
  <c r="G1011" i="5"/>
  <c r="F1012" i="5" s="1"/>
  <c r="H1012" i="5" l="1"/>
  <c r="G1012" i="5"/>
  <c r="F1013" i="5" s="1"/>
  <c r="H1013" i="5" l="1"/>
  <c r="G1013" i="5"/>
  <c r="F1014" i="5" s="1"/>
  <c r="H1014" i="5" l="1"/>
  <c r="G1014" i="5"/>
  <c r="F1015" i="5" s="1"/>
  <c r="H1015" i="5" l="1"/>
  <c r="G1015" i="5"/>
  <c r="F1016" i="5" s="1"/>
  <c r="H1016" i="5" l="1"/>
  <c r="G1016" i="5"/>
  <c r="F1017" i="5" s="1"/>
  <c r="H1017" i="5" l="1"/>
  <c r="G1017" i="5"/>
  <c r="F1018" i="5" s="1"/>
  <c r="H1018" i="5" l="1"/>
  <c r="G1018" i="5"/>
  <c r="F1019" i="5" s="1"/>
  <c r="H1019" i="5" l="1"/>
  <c r="G1019" i="5"/>
  <c r="F1020" i="5" s="1"/>
  <c r="H1020" i="5" l="1"/>
  <c r="G1020" i="5"/>
  <c r="F1021" i="5" s="1"/>
  <c r="H1021" i="5" l="1"/>
  <c r="G1021" i="5"/>
  <c r="F1022" i="5" s="1"/>
  <c r="H1022" i="5" l="1"/>
  <c r="G1022" i="5"/>
  <c r="F1023" i="5" s="1"/>
  <c r="H1023" i="5" l="1"/>
  <c r="G1023" i="5"/>
  <c r="F1024" i="5" s="1"/>
  <c r="H1024" i="5" l="1"/>
  <c r="G1024" i="5"/>
  <c r="F1025" i="5" s="1"/>
  <c r="H1025" i="5" l="1"/>
  <c r="G1025" i="5"/>
  <c r="F1026" i="5" s="1"/>
  <c r="H1026" i="5" l="1"/>
  <c r="G1026" i="5"/>
  <c r="F1027" i="5" s="1"/>
  <c r="H1027" i="5" l="1"/>
  <c r="G1027" i="5"/>
  <c r="F1028" i="5" s="1"/>
  <c r="H1028" i="5" l="1"/>
  <c r="G1028" i="5"/>
  <c r="F1029" i="5" s="1"/>
  <c r="H1029" i="5" l="1"/>
  <c r="G1029" i="5"/>
  <c r="F1030" i="5" s="1"/>
  <c r="H1030" i="5" l="1"/>
  <c r="G1030" i="5"/>
  <c r="F1031" i="5" s="1"/>
  <c r="H1031" i="5" l="1"/>
  <c r="G1031" i="5"/>
  <c r="F1032" i="5" s="1"/>
  <c r="H1032" i="5" l="1"/>
  <c r="G1032" i="5"/>
  <c r="F1033" i="5" s="1"/>
  <c r="H1033" i="5" l="1"/>
  <c r="G1033" i="5"/>
  <c r="F1034" i="5" s="1"/>
  <c r="H1034" i="5" l="1"/>
  <c r="G1034" i="5"/>
  <c r="F1035" i="5" s="1"/>
  <c r="H1035" i="5" l="1"/>
  <c r="G1035" i="5"/>
  <c r="F1036" i="5" s="1"/>
  <c r="H1036" i="5" l="1"/>
  <c r="G1036" i="5"/>
  <c r="F1037" i="5" s="1"/>
  <c r="H1037" i="5" l="1"/>
  <c r="G1037" i="5"/>
  <c r="F1038" i="5" s="1"/>
  <c r="H1038" i="5" l="1"/>
  <c r="G1038" i="5"/>
  <c r="F1039" i="5" s="1"/>
  <c r="H1039" i="5" l="1"/>
  <c r="G1039" i="5"/>
  <c r="F1040" i="5" s="1"/>
  <c r="H1040" i="5" l="1"/>
  <c r="G1040" i="5"/>
  <c r="F1041" i="5" s="1"/>
  <c r="H1041" i="5" l="1"/>
  <c r="G1041" i="5"/>
  <c r="F1042" i="5" s="1"/>
  <c r="H1042" i="5" l="1"/>
  <c r="G1042" i="5"/>
  <c r="F1043" i="5" s="1"/>
  <c r="H1043" i="5" l="1"/>
  <c r="G1043" i="5"/>
  <c r="F1044" i="5" s="1"/>
  <c r="H1044" i="5" l="1"/>
  <c r="G1044" i="5"/>
  <c r="F1045" i="5" s="1"/>
  <c r="H1045" i="5" l="1"/>
  <c r="G1045" i="5"/>
  <c r="F1046" i="5" s="1"/>
  <c r="H1046" i="5" l="1"/>
  <c r="G1046" i="5"/>
  <c r="F1047" i="5" s="1"/>
  <c r="H1047" i="5" l="1"/>
  <c r="G1047" i="5"/>
  <c r="F1048" i="5" s="1"/>
  <c r="H1048" i="5" l="1"/>
  <c r="G1048" i="5"/>
  <c r="F1049" i="5" s="1"/>
  <c r="H1049" i="5" l="1"/>
  <c r="G1049" i="5"/>
  <c r="F1050" i="5" s="1"/>
  <c r="H1050" i="5" l="1"/>
  <c r="G1050" i="5"/>
  <c r="F1051" i="5" s="1"/>
  <c r="H1051" i="5" l="1"/>
  <c r="G1051" i="5"/>
  <c r="F1052" i="5" s="1"/>
  <c r="H1052" i="5" l="1"/>
  <c r="G1052" i="5"/>
  <c r="F1053" i="5" s="1"/>
  <c r="H1053" i="5" l="1"/>
  <c r="G1053" i="5"/>
  <c r="F1054" i="5" s="1"/>
  <c r="H1054" i="5" l="1"/>
  <c r="G1054" i="5"/>
  <c r="F1055" i="5" s="1"/>
  <c r="H1055" i="5" l="1"/>
  <c r="G1055" i="5"/>
  <c r="F1056" i="5" s="1"/>
  <c r="H1056" i="5" l="1"/>
  <c r="G1056" i="5"/>
  <c r="F1057" i="5" s="1"/>
  <c r="H1057" i="5" l="1"/>
  <c r="G1057" i="5"/>
  <c r="F1058" i="5" s="1"/>
  <c r="H1058" i="5" l="1"/>
  <c r="G1058" i="5"/>
  <c r="F1059" i="5" s="1"/>
  <c r="H1059" i="5" l="1"/>
  <c r="G1059" i="5"/>
  <c r="F1060" i="5" s="1"/>
  <c r="H1060" i="5" l="1"/>
  <c r="G1060" i="5"/>
  <c r="F1061" i="5" s="1"/>
  <c r="H1061" i="5" l="1"/>
  <c r="G1061" i="5"/>
  <c r="F1062" i="5" s="1"/>
  <c r="H1062" i="5" l="1"/>
  <c r="G1062" i="5"/>
  <c r="F1063" i="5" s="1"/>
  <c r="H1063" i="5" l="1"/>
  <c r="G1063" i="5"/>
  <c r="F1064" i="5" s="1"/>
  <c r="H1064" i="5" l="1"/>
  <c r="G1064" i="5"/>
  <c r="F1065" i="5" s="1"/>
  <c r="H1065" i="5" l="1"/>
  <c r="G1065" i="5"/>
  <c r="F1066" i="5" s="1"/>
  <c r="H1066" i="5" l="1"/>
  <c r="G1066" i="5"/>
  <c r="F1067" i="5" s="1"/>
  <c r="H1067" i="5" l="1"/>
  <c r="G1067" i="5"/>
  <c r="F1068" i="5" s="1"/>
  <c r="H1068" i="5" l="1"/>
  <c r="G1068" i="5"/>
  <c r="F1069" i="5" s="1"/>
  <c r="H1069" i="5" l="1"/>
  <c r="G1069" i="5"/>
  <c r="F1070" i="5" s="1"/>
  <c r="H1070" i="5" l="1"/>
  <c r="G1070" i="5"/>
  <c r="F1071" i="5" s="1"/>
  <c r="H1071" i="5" l="1"/>
  <c r="G1071" i="5"/>
  <c r="F1072" i="5" s="1"/>
  <c r="H1072" i="5" l="1"/>
  <c r="G1072" i="5"/>
  <c r="F1073" i="5" s="1"/>
  <c r="H1073" i="5" l="1"/>
  <c r="G1073" i="5"/>
  <c r="F1074" i="5" s="1"/>
  <c r="H1074" i="5" l="1"/>
  <c r="G1074" i="5"/>
  <c r="F1075" i="5" s="1"/>
  <c r="H1075" i="5" l="1"/>
  <c r="G1075" i="5"/>
  <c r="F1076" i="5" s="1"/>
  <c r="H1076" i="5" l="1"/>
  <c r="G1076" i="5"/>
  <c r="F1077" i="5" s="1"/>
  <c r="H1077" i="5" l="1"/>
  <c r="G1077" i="5"/>
  <c r="F1078" i="5" s="1"/>
  <c r="H1078" i="5" l="1"/>
  <c r="G1078" i="5"/>
  <c r="F1079" i="5" s="1"/>
  <c r="H1079" i="5" l="1"/>
  <c r="G1079" i="5"/>
  <c r="F1080" i="5" s="1"/>
  <c r="H1080" i="5" l="1"/>
  <c r="G1080" i="5"/>
  <c r="F1081" i="5" s="1"/>
  <c r="H1081" i="5" l="1"/>
  <c r="G1081" i="5"/>
  <c r="F1082" i="5" s="1"/>
  <c r="H1082" i="5" l="1"/>
  <c r="G1082" i="5"/>
  <c r="F1083" i="5" s="1"/>
  <c r="H1083" i="5" l="1"/>
  <c r="G1083" i="5"/>
  <c r="F1084" i="5" s="1"/>
  <c r="H1084" i="5" l="1"/>
  <c r="G1084" i="5"/>
  <c r="F1085" i="5" s="1"/>
  <c r="H1085" i="5" l="1"/>
  <c r="G1085" i="5"/>
  <c r="F1086" i="5" s="1"/>
  <c r="H1086" i="5" l="1"/>
  <c r="G1086" i="5"/>
  <c r="F1087" i="5" s="1"/>
  <c r="H1087" i="5" l="1"/>
  <c r="G1087" i="5"/>
  <c r="F1088" i="5" s="1"/>
  <c r="H1088" i="5" l="1"/>
  <c r="G1088" i="5"/>
  <c r="F1089" i="5" s="1"/>
  <c r="H1089" i="5" l="1"/>
  <c r="G1089" i="5"/>
  <c r="F1090" i="5" s="1"/>
  <c r="H1090" i="5" l="1"/>
  <c r="G1090" i="5"/>
  <c r="F1091" i="5" s="1"/>
  <c r="H1091" i="5" l="1"/>
  <c r="G1091" i="5"/>
  <c r="F1092" i="5" s="1"/>
  <c r="H1092" i="5" l="1"/>
  <c r="G1092" i="5"/>
  <c r="F1093" i="5" s="1"/>
  <c r="H1093" i="5" l="1"/>
  <c r="G1093" i="5"/>
  <c r="F1094" i="5" s="1"/>
  <c r="H1094" i="5" l="1"/>
  <c r="G1094" i="5"/>
  <c r="F1095" i="5" s="1"/>
  <c r="H1095" i="5" l="1"/>
  <c r="G1095" i="5"/>
  <c r="F1096" i="5" s="1"/>
  <c r="H1096" i="5" l="1"/>
  <c r="G1096" i="5"/>
  <c r="F1097" i="5" s="1"/>
  <c r="H1097" i="5" l="1"/>
  <c r="G1097" i="5"/>
  <c r="F1098" i="5" s="1"/>
  <c r="H1098" i="5" l="1"/>
  <c r="G1098" i="5"/>
  <c r="F1099" i="5" s="1"/>
  <c r="H1099" i="5" l="1"/>
  <c r="G1099" i="5"/>
  <c r="F1100" i="5" s="1"/>
  <c r="H1100" i="5" l="1"/>
  <c r="G1100" i="5"/>
  <c r="F1101" i="5" s="1"/>
  <c r="H1101" i="5" l="1"/>
  <c r="G1101" i="5"/>
  <c r="F1102" i="5" s="1"/>
  <c r="H1102" i="5" l="1"/>
  <c r="G1102" i="5"/>
  <c r="F1103" i="5" s="1"/>
  <c r="H1103" i="5" l="1"/>
  <c r="G1103" i="5"/>
  <c r="F1104" i="5" s="1"/>
  <c r="H1104" i="5" l="1"/>
  <c r="G1104" i="5"/>
  <c r="F1105" i="5" s="1"/>
  <c r="H1105" i="5" l="1"/>
  <c r="G1105" i="5"/>
  <c r="F1106" i="5" s="1"/>
  <c r="H1106" i="5" l="1"/>
  <c r="G1106" i="5"/>
  <c r="F1107" i="5" s="1"/>
  <c r="H1107" i="5" l="1"/>
  <c r="G1107" i="5"/>
  <c r="F1108" i="5" s="1"/>
  <c r="H1108" i="5" l="1"/>
  <c r="G1108" i="5"/>
  <c r="F1109" i="5" s="1"/>
  <c r="H1109" i="5" l="1"/>
  <c r="G1109" i="5"/>
  <c r="F1110" i="5" s="1"/>
  <c r="H1110" i="5" l="1"/>
  <c r="G1110" i="5"/>
  <c r="F1111" i="5" s="1"/>
  <c r="H1111" i="5" l="1"/>
  <c r="G1111" i="5"/>
  <c r="F1112" i="5" s="1"/>
  <c r="H1112" i="5" l="1"/>
  <c r="G1112" i="5"/>
  <c r="F1113" i="5" s="1"/>
  <c r="H1113" i="5" l="1"/>
  <c r="G1113" i="5"/>
  <c r="F1114" i="5" s="1"/>
  <c r="H1114" i="5" l="1"/>
  <c r="G1114" i="5"/>
  <c r="F1115" i="5" s="1"/>
  <c r="H1115" i="5" l="1"/>
  <c r="G1115" i="5"/>
  <c r="F1116" i="5" s="1"/>
  <c r="H1116" i="5" l="1"/>
  <c r="G1116" i="5"/>
  <c r="F1117" i="5" s="1"/>
  <c r="H1117" i="5" l="1"/>
  <c r="G1117" i="5"/>
  <c r="F1118" i="5" s="1"/>
  <c r="H1118" i="5" l="1"/>
  <c r="G1118" i="5"/>
  <c r="F1119" i="5" s="1"/>
  <c r="H1119" i="5" l="1"/>
  <c r="G1119" i="5"/>
  <c r="F1120" i="5" s="1"/>
  <c r="H1120" i="5" l="1"/>
  <c r="G1120" i="5"/>
  <c r="F1121" i="5" s="1"/>
  <c r="H1121" i="5" l="1"/>
  <c r="G1121" i="5"/>
  <c r="F1122" i="5" s="1"/>
  <c r="H1122" i="5" l="1"/>
  <c r="G1122" i="5"/>
  <c r="F1123" i="5" s="1"/>
  <c r="H1123" i="5" l="1"/>
  <c r="G1123" i="5"/>
  <c r="F1124" i="5" s="1"/>
  <c r="H1124" i="5" l="1"/>
  <c r="G1124" i="5"/>
  <c r="F1125" i="5" s="1"/>
  <c r="H1125" i="5" l="1"/>
  <c r="G1125" i="5"/>
  <c r="F1126" i="5" s="1"/>
  <c r="H1126" i="5" l="1"/>
  <c r="G1126" i="5"/>
  <c r="F1127" i="5" s="1"/>
  <c r="H1127" i="5" l="1"/>
  <c r="G1127" i="5"/>
  <c r="F1128" i="5" s="1"/>
  <c r="H1128" i="5" l="1"/>
  <c r="G1128" i="5"/>
  <c r="F1129" i="5" s="1"/>
  <c r="H1129" i="5" l="1"/>
  <c r="G1129" i="5"/>
  <c r="F1130" i="5" s="1"/>
  <c r="H1130" i="5" l="1"/>
  <c r="G1130" i="5"/>
  <c r="F1131" i="5" s="1"/>
  <c r="H1131" i="5" l="1"/>
  <c r="G1131" i="5"/>
  <c r="F1132" i="5" s="1"/>
  <c r="H1132" i="5" l="1"/>
  <c r="G1132" i="5"/>
  <c r="F1133" i="5" s="1"/>
  <c r="H1133" i="5" l="1"/>
  <c r="G1133" i="5"/>
  <c r="F1134" i="5" s="1"/>
  <c r="H1134" i="5" l="1"/>
  <c r="G1134" i="5"/>
  <c r="F1135" i="5" s="1"/>
  <c r="H1135" i="5" l="1"/>
  <c r="G1135" i="5"/>
  <c r="F1136" i="5" s="1"/>
  <c r="H1136" i="5" l="1"/>
  <c r="G1136" i="5"/>
  <c r="F1137" i="5" s="1"/>
  <c r="H1137" i="5" l="1"/>
  <c r="G1137" i="5"/>
  <c r="F1138" i="5" s="1"/>
  <c r="H1138" i="5" l="1"/>
  <c r="G1138" i="5"/>
  <c r="F1139" i="5" s="1"/>
  <c r="H1139" i="5" l="1"/>
  <c r="G1139" i="5"/>
  <c r="F1140" i="5" s="1"/>
  <c r="H1140" i="5" l="1"/>
  <c r="G1140" i="5"/>
  <c r="F1141" i="5" s="1"/>
  <c r="H1141" i="5" l="1"/>
  <c r="G1141" i="5"/>
  <c r="F1142" i="5" s="1"/>
  <c r="H1142" i="5" l="1"/>
  <c r="G1142" i="5"/>
  <c r="F1143" i="5" s="1"/>
  <c r="H1143" i="5" l="1"/>
  <c r="G1143" i="5"/>
  <c r="F1144" i="5" s="1"/>
  <c r="H1144" i="5" l="1"/>
  <c r="G1144" i="5"/>
  <c r="F1145" i="5" s="1"/>
  <c r="H1145" i="5" l="1"/>
  <c r="G1145" i="5"/>
  <c r="F1146" i="5" s="1"/>
  <c r="H1146" i="5" l="1"/>
  <c r="G1146" i="5"/>
  <c r="F1147" i="5" s="1"/>
  <c r="H1147" i="5" l="1"/>
  <c r="G1147" i="5"/>
  <c r="F1148" i="5" s="1"/>
  <c r="H1148" i="5" l="1"/>
  <c r="G1148" i="5"/>
  <c r="F1149" i="5" s="1"/>
  <c r="H1149" i="5" l="1"/>
  <c r="G1149" i="5"/>
  <c r="F1150" i="5" s="1"/>
  <c r="H1150" i="5" l="1"/>
  <c r="G1150" i="5"/>
  <c r="F1151" i="5" s="1"/>
  <c r="H1151" i="5" l="1"/>
  <c r="G1151" i="5"/>
  <c r="F1152" i="5" s="1"/>
  <c r="H1152" i="5" l="1"/>
  <c r="G1152" i="5"/>
  <c r="F1153" i="5" s="1"/>
  <c r="H1153" i="5" l="1"/>
  <c r="G1153" i="5"/>
  <c r="F1154" i="5" s="1"/>
  <c r="H1154" i="5" l="1"/>
  <c r="G1154" i="5"/>
  <c r="F1155" i="5" s="1"/>
  <c r="H1155" i="5" l="1"/>
  <c r="G1155" i="5"/>
  <c r="F1156" i="5" s="1"/>
  <c r="H1156" i="5" l="1"/>
  <c r="G1156" i="5"/>
  <c r="F1157" i="5" s="1"/>
  <c r="H1157" i="5" l="1"/>
  <c r="G1157" i="5"/>
  <c r="F1158" i="5" s="1"/>
  <c r="H1158" i="5" l="1"/>
  <c r="G1158" i="5"/>
  <c r="F1159" i="5" s="1"/>
  <c r="H1159" i="5" l="1"/>
  <c r="G1159" i="5"/>
  <c r="F1160" i="5" s="1"/>
  <c r="H1160" i="5" l="1"/>
  <c r="G1160" i="5"/>
  <c r="F1161" i="5" s="1"/>
  <c r="H1161" i="5" l="1"/>
  <c r="G1161" i="5"/>
  <c r="F1162" i="5" s="1"/>
  <c r="H1162" i="5" l="1"/>
  <c r="G1162" i="5"/>
  <c r="F1163" i="5" s="1"/>
  <c r="H1163" i="5" l="1"/>
  <c r="G1163" i="5"/>
  <c r="F1164" i="5" s="1"/>
  <c r="H1164" i="5" l="1"/>
  <c r="G1164" i="5"/>
  <c r="F1165" i="5" s="1"/>
  <c r="H1165" i="5" l="1"/>
  <c r="G1165" i="5"/>
  <c r="F1166" i="5" s="1"/>
  <c r="H1166" i="5" l="1"/>
  <c r="G1166" i="5"/>
  <c r="F1167" i="5" s="1"/>
  <c r="H1167" i="5" l="1"/>
  <c r="G1167" i="5"/>
  <c r="F1168" i="5" s="1"/>
  <c r="H1168" i="5" l="1"/>
  <c r="G1168" i="5"/>
  <c r="F1169" i="5" s="1"/>
  <c r="H1169" i="5" l="1"/>
  <c r="G1169" i="5"/>
  <c r="F1170" i="5" s="1"/>
  <c r="H1170" i="5" l="1"/>
  <c r="G1170" i="5"/>
  <c r="F1171" i="5" s="1"/>
  <c r="H1171" i="5" l="1"/>
  <c r="G1171" i="5"/>
  <c r="F1172" i="5" s="1"/>
  <c r="H1172" i="5" l="1"/>
  <c r="G1172" i="5"/>
  <c r="F1173" i="5" s="1"/>
  <c r="H1173" i="5" l="1"/>
  <c r="G1173" i="5"/>
  <c r="F1174" i="5" s="1"/>
  <c r="H1174" i="5" l="1"/>
  <c r="G1174" i="5"/>
  <c r="F1175" i="5" s="1"/>
  <c r="H1175" i="5" l="1"/>
  <c r="G1175" i="5"/>
  <c r="F1176" i="5" s="1"/>
  <c r="H1176" i="5" l="1"/>
  <c r="G1176" i="5"/>
  <c r="F1177" i="5" s="1"/>
  <c r="H1177" i="5" l="1"/>
  <c r="G1177" i="5"/>
  <c r="F1178" i="5" s="1"/>
  <c r="H1178" i="5" l="1"/>
  <c r="G1178" i="5"/>
  <c r="F1179" i="5" s="1"/>
  <c r="H1179" i="5" l="1"/>
  <c r="G1179" i="5"/>
  <c r="F1180" i="5" s="1"/>
  <c r="H1180" i="5" l="1"/>
  <c r="G1180" i="5"/>
  <c r="F1181" i="5" s="1"/>
  <c r="H1181" i="5" l="1"/>
  <c r="G1181" i="5"/>
  <c r="F1182" i="5" s="1"/>
  <c r="H1182" i="5" l="1"/>
  <c r="G1182" i="5"/>
  <c r="F1183" i="5" s="1"/>
  <c r="H1183" i="5" l="1"/>
  <c r="G1183" i="5"/>
  <c r="F1184" i="5" s="1"/>
  <c r="H1184" i="5" l="1"/>
  <c r="G1184" i="5"/>
  <c r="F1185" i="5" s="1"/>
  <c r="H1185" i="5" l="1"/>
  <c r="G1185" i="5"/>
  <c r="F1186" i="5" s="1"/>
  <c r="H1186" i="5" l="1"/>
  <c r="G1186" i="5"/>
  <c r="F1187" i="5" s="1"/>
  <c r="H1187" i="5" l="1"/>
  <c r="G1187" i="5"/>
  <c r="F1188" i="5" s="1"/>
  <c r="H1188" i="5" l="1"/>
  <c r="G1188" i="5"/>
  <c r="F1189" i="5" s="1"/>
  <c r="H1189" i="5" l="1"/>
  <c r="G1189" i="5"/>
  <c r="F1190" i="5" s="1"/>
  <c r="H1190" i="5" l="1"/>
  <c r="G1190" i="5"/>
  <c r="F1191" i="5" s="1"/>
  <c r="H1191" i="5" l="1"/>
  <c r="G1191" i="5"/>
  <c r="F1192" i="5" s="1"/>
  <c r="H1192" i="5" l="1"/>
  <c r="G1192" i="5"/>
  <c r="F1193" i="5" s="1"/>
  <c r="H1193" i="5" l="1"/>
  <c r="G1193" i="5"/>
  <c r="F1194" i="5" s="1"/>
  <c r="H1194" i="5" l="1"/>
  <c r="G1194" i="5"/>
  <c r="F1195" i="5" s="1"/>
  <c r="H1195" i="5" l="1"/>
  <c r="G1195" i="5"/>
  <c r="F1196" i="5" s="1"/>
  <c r="H1196" i="5" l="1"/>
  <c r="G1196" i="5"/>
  <c r="F1197" i="5" s="1"/>
  <c r="H1197" i="5" l="1"/>
  <c r="G1197" i="5"/>
  <c r="F1198" i="5" s="1"/>
  <c r="H1198" i="5" l="1"/>
  <c r="G1198" i="5"/>
  <c r="F1199" i="5" s="1"/>
  <c r="H1199" i="5" l="1"/>
  <c r="G1199" i="5"/>
  <c r="F1200" i="5" s="1"/>
  <c r="H1200" i="5" l="1"/>
  <c r="G1200" i="5"/>
  <c r="F1201" i="5" s="1"/>
  <c r="H1201" i="5" l="1"/>
  <c r="G1201" i="5"/>
  <c r="F1202" i="5" s="1"/>
  <c r="H1202" i="5" l="1"/>
  <c r="G1202" i="5"/>
  <c r="F1203" i="5" s="1"/>
  <c r="H1203" i="5" l="1"/>
  <c r="G1203" i="5"/>
  <c r="F1204" i="5" s="1"/>
  <c r="H1204" i="5" l="1"/>
  <c r="G1204" i="5"/>
  <c r="F1205" i="5" s="1"/>
  <c r="H1205" i="5" l="1"/>
  <c r="G1205" i="5"/>
  <c r="F1206" i="5" s="1"/>
  <c r="H1206" i="5" l="1"/>
  <c r="G1206" i="5"/>
  <c r="F1207" i="5" s="1"/>
  <c r="H1207" i="5" l="1"/>
  <c r="G1207" i="5"/>
  <c r="F1208" i="5" s="1"/>
  <c r="H1208" i="5" l="1"/>
  <c r="G1208" i="5"/>
  <c r="F1209" i="5" s="1"/>
  <c r="H1209" i="5" l="1"/>
  <c r="G1209" i="5"/>
  <c r="F1210" i="5" s="1"/>
  <c r="H1210" i="5" l="1"/>
  <c r="G1210" i="5"/>
  <c r="F1211" i="5" s="1"/>
  <c r="H1211" i="5" l="1"/>
  <c r="G1211" i="5"/>
  <c r="F1212" i="5" s="1"/>
  <c r="H1212" i="5" l="1"/>
  <c r="G1212" i="5"/>
  <c r="F1213" i="5" s="1"/>
  <c r="H1213" i="5" l="1"/>
  <c r="G1213" i="5"/>
  <c r="F1214" i="5" s="1"/>
  <c r="H1214" i="5" l="1"/>
  <c r="G1214" i="5"/>
  <c r="F1215" i="5" s="1"/>
  <c r="H1215" i="5" l="1"/>
  <c r="G1215" i="5"/>
  <c r="F1216" i="5" s="1"/>
  <c r="H1216" i="5" l="1"/>
  <c r="G1216" i="5"/>
  <c r="F1217" i="5" s="1"/>
  <c r="H1217" i="5" l="1"/>
  <c r="G1217" i="5"/>
  <c r="F1218" i="5" s="1"/>
  <c r="H1218" i="5" l="1"/>
  <c r="G1218" i="5"/>
  <c r="F1219" i="5" s="1"/>
  <c r="H1219" i="5" l="1"/>
  <c r="G1219" i="5"/>
  <c r="F1220" i="5" s="1"/>
  <c r="H1220" i="5" l="1"/>
  <c r="G1220" i="5"/>
  <c r="F1221" i="5" s="1"/>
  <c r="H1221" i="5" l="1"/>
  <c r="G1221" i="5"/>
  <c r="F1222" i="5" s="1"/>
  <c r="H1222" i="5" l="1"/>
  <c r="G1222" i="5"/>
  <c r="F1223" i="5" s="1"/>
  <c r="H1223" i="5" l="1"/>
  <c r="G1223" i="5"/>
  <c r="F1224" i="5" s="1"/>
  <c r="H1224" i="5" l="1"/>
  <c r="G1224" i="5"/>
  <c r="F1225" i="5" s="1"/>
  <c r="H1225" i="5" l="1"/>
  <c r="G1225" i="5"/>
  <c r="F1226" i="5" s="1"/>
  <c r="H1226" i="5" l="1"/>
  <c r="G1226" i="5"/>
  <c r="F1227" i="5" s="1"/>
  <c r="H1227" i="5" l="1"/>
  <c r="G1227" i="5"/>
  <c r="F1228" i="5" s="1"/>
  <c r="H1228" i="5" l="1"/>
  <c r="G1228" i="5"/>
  <c r="F1229" i="5" s="1"/>
  <c r="H1229" i="5" l="1"/>
  <c r="G1229" i="5"/>
  <c r="F1230" i="5" s="1"/>
  <c r="H1230" i="5" l="1"/>
  <c r="G1230" i="5"/>
  <c r="F1231" i="5" s="1"/>
  <c r="H1231" i="5" l="1"/>
  <c r="G1231" i="5"/>
  <c r="F1232" i="5" s="1"/>
  <c r="H1232" i="5" l="1"/>
  <c r="G1232" i="5"/>
  <c r="F1233" i="5" s="1"/>
  <c r="H1233" i="5" l="1"/>
  <c r="G1233" i="5"/>
  <c r="F1234" i="5" s="1"/>
  <c r="H1234" i="5" l="1"/>
  <c r="G1234" i="5"/>
  <c r="F1235" i="5" s="1"/>
  <c r="H1235" i="5" l="1"/>
  <c r="G1235" i="5"/>
  <c r="F1236" i="5" s="1"/>
  <c r="H1236" i="5" l="1"/>
  <c r="G1236" i="5"/>
  <c r="F1237" i="5" s="1"/>
  <c r="H1237" i="5" l="1"/>
  <c r="G1237" i="5"/>
  <c r="F1238" i="5" s="1"/>
  <c r="H1238" i="5" l="1"/>
  <c r="G1238" i="5"/>
  <c r="F1239" i="5" s="1"/>
  <c r="H1239" i="5" l="1"/>
  <c r="G1239" i="5"/>
  <c r="F1240" i="5" s="1"/>
  <c r="H1240" i="5" l="1"/>
  <c r="G1240" i="5"/>
  <c r="F1241" i="5" s="1"/>
  <c r="H1241" i="5" l="1"/>
  <c r="G1241" i="5"/>
  <c r="F1242" i="5" s="1"/>
  <c r="H1242" i="5" l="1"/>
  <c r="G1242" i="5"/>
  <c r="F1243" i="5" s="1"/>
  <c r="H1243" i="5" l="1"/>
  <c r="G1243" i="5"/>
  <c r="F1244" i="5" s="1"/>
  <c r="H1244" i="5" l="1"/>
  <c r="G1244" i="5"/>
  <c r="F1245" i="5" s="1"/>
  <c r="H1245" i="5" l="1"/>
  <c r="G1245" i="5"/>
  <c r="F1246" i="5" s="1"/>
  <c r="H1246" i="5" l="1"/>
  <c r="G1246" i="5"/>
  <c r="F1247" i="5" s="1"/>
  <c r="H1247" i="5" l="1"/>
  <c r="G1247" i="5"/>
  <c r="F1248" i="5" s="1"/>
  <c r="H1248" i="5" l="1"/>
  <c r="G1248" i="5"/>
  <c r="F1249" i="5" s="1"/>
  <c r="H1249" i="5" l="1"/>
  <c r="G1249" i="5"/>
  <c r="F1250" i="5" s="1"/>
  <c r="H1250" i="5" l="1"/>
  <c r="G1250" i="5"/>
  <c r="F1251" i="5" s="1"/>
  <c r="H1251" i="5" l="1"/>
  <c r="G1251" i="5"/>
  <c r="F1252" i="5" s="1"/>
  <c r="H1252" i="5" l="1"/>
  <c r="G1252" i="5"/>
  <c r="F1253" i="5" s="1"/>
  <c r="H1253" i="5" l="1"/>
  <c r="G1253" i="5"/>
  <c r="F1254" i="5" s="1"/>
  <c r="H1254" i="5" l="1"/>
  <c r="G1254" i="5"/>
  <c r="F1255" i="5" s="1"/>
  <c r="H1255" i="5" l="1"/>
  <c r="G1255" i="5"/>
  <c r="F1256" i="5" s="1"/>
  <c r="H1256" i="5" l="1"/>
  <c r="G1256" i="5"/>
  <c r="F1257" i="5" s="1"/>
  <c r="H1257" i="5" l="1"/>
  <c r="G1257" i="5"/>
  <c r="F1258" i="5" s="1"/>
  <c r="H1258" i="5" l="1"/>
  <c r="G1258" i="5"/>
  <c r="F1259" i="5" s="1"/>
  <c r="H1259" i="5" l="1"/>
  <c r="G1259" i="5"/>
  <c r="F1260" i="5" s="1"/>
  <c r="H1260" i="5" l="1"/>
  <c r="G1260" i="5"/>
  <c r="F1261" i="5" s="1"/>
  <c r="H1261" i="5" l="1"/>
  <c r="G1261" i="5"/>
  <c r="F1262" i="5" s="1"/>
  <c r="H1262" i="5" l="1"/>
  <c r="G1262" i="5"/>
  <c r="F1263" i="5" s="1"/>
  <c r="H1263" i="5" l="1"/>
  <c r="G1263" i="5"/>
  <c r="F1264" i="5" s="1"/>
  <c r="H1264" i="5" l="1"/>
  <c r="G1264" i="5"/>
  <c r="F1265" i="5" s="1"/>
  <c r="H1265" i="5" l="1"/>
  <c r="G1265" i="5"/>
  <c r="F1266" i="5" s="1"/>
  <c r="H1266" i="5" l="1"/>
  <c r="G1266" i="5"/>
  <c r="F1267" i="5" s="1"/>
  <c r="H1267" i="5" l="1"/>
  <c r="G1267" i="5"/>
  <c r="F1268" i="5" s="1"/>
  <c r="H1268" i="5" l="1"/>
  <c r="G1268" i="5"/>
  <c r="F1269" i="5" s="1"/>
  <c r="H1269" i="5" l="1"/>
  <c r="G1269" i="5"/>
  <c r="F1270" i="5" s="1"/>
  <c r="H1270" i="5" l="1"/>
  <c r="G1270" i="5"/>
  <c r="F1271" i="5" s="1"/>
  <c r="H1271" i="5" l="1"/>
  <c r="G1271" i="5"/>
  <c r="F1272" i="5" s="1"/>
  <c r="H1272" i="5" l="1"/>
  <c r="G1272" i="5"/>
  <c r="F1273" i="5" s="1"/>
  <c r="H1273" i="5" l="1"/>
  <c r="G1273" i="5"/>
  <c r="F1274" i="5" s="1"/>
  <c r="H1274" i="5" l="1"/>
  <c r="G1274" i="5"/>
  <c r="F1275" i="5" s="1"/>
  <c r="H1275" i="5" l="1"/>
  <c r="G1275" i="5"/>
  <c r="F1276" i="5" s="1"/>
  <c r="H1276" i="5" l="1"/>
  <c r="G1276" i="5"/>
  <c r="F1277" i="5" s="1"/>
  <c r="H1277" i="5" l="1"/>
  <c r="G1277" i="5"/>
  <c r="F1278" i="5" s="1"/>
  <c r="H1278" i="5" l="1"/>
  <c r="G1278" i="5"/>
  <c r="F1279" i="5" s="1"/>
  <c r="H1279" i="5" l="1"/>
  <c r="G1279" i="5"/>
  <c r="F1280" i="5" s="1"/>
  <c r="H1280" i="5" l="1"/>
  <c r="G1280" i="5"/>
  <c r="F1281" i="5" s="1"/>
  <c r="H1281" i="5" l="1"/>
  <c r="G1281" i="5"/>
  <c r="F1282" i="5" s="1"/>
  <c r="H1282" i="5" l="1"/>
  <c r="G1282" i="5"/>
  <c r="F1283" i="5" s="1"/>
  <c r="H1283" i="5" l="1"/>
  <c r="G1283" i="5"/>
  <c r="F1284" i="5" s="1"/>
  <c r="H1284" i="5" l="1"/>
  <c r="G1284" i="5"/>
  <c r="F1285" i="5" s="1"/>
  <c r="H1285" i="5" l="1"/>
  <c r="G1285" i="5"/>
  <c r="F1286" i="5" s="1"/>
  <c r="H1286" i="5" l="1"/>
  <c r="G1286" i="5"/>
  <c r="F1287" i="5" s="1"/>
  <c r="H1287" i="5" l="1"/>
  <c r="G1287" i="5"/>
  <c r="F1288" i="5" s="1"/>
  <c r="H1288" i="5" l="1"/>
  <c r="G1288" i="5"/>
  <c r="F1289" i="5" s="1"/>
  <c r="H1289" i="5" l="1"/>
  <c r="G1289" i="5"/>
  <c r="F1290" i="5" s="1"/>
  <c r="H1290" i="5" l="1"/>
  <c r="G1290" i="5"/>
  <c r="F1291" i="5" s="1"/>
  <c r="H1291" i="5" l="1"/>
  <c r="G1291" i="5"/>
  <c r="F1292" i="5" s="1"/>
  <c r="H1292" i="5" l="1"/>
  <c r="G1292" i="5"/>
  <c r="F1293" i="5" s="1"/>
  <c r="H1293" i="5" l="1"/>
  <c r="G1293" i="5"/>
  <c r="F1294" i="5" s="1"/>
  <c r="H1294" i="5" l="1"/>
  <c r="G1294" i="5"/>
  <c r="F1295" i="5" s="1"/>
  <c r="H1295" i="5" l="1"/>
  <c r="G1295" i="5"/>
  <c r="F1296" i="5" s="1"/>
  <c r="H1296" i="5" l="1"/>
  <c r="G1296" i="5"/>
  <c r="F1297" i="5" s="1"/>
  <c r="H1297" i="5" l="1"/>
  <c r="G1297" i="5"/>
  <c r="F1298" i="5" s="1"/>
  <c r="H1298" i="5" l="1"/>
  <c r="G1298" i="5"/>
  <c r="F1299" i="5" s="1"/>
  <c r="H1299" i="5" l="1"/>
  <c r="G1299" i="5"/>
  <c r="F1300" i="5" s="1"/>
  <c r="H1300" i="5" l="1"/>
  <c r="G1300" i="5"/>
  <c r="F1301" i="5" s="1"/>
  <c r="H1301" i="5" l="1"/>
  <c r="G1301" i="5"/>
  <c r="F1302" i="5" s="1"/>
  <c r="H1302" i="5" l="1"/>
  <c r="G1302" i="5"/>
  <c r="F1303" i="5" s="1"/>
  <c r="H1303" i="5" l="1"/>
  <c r="G1303" i="5"/>
  <c r="F1304" i="5" s="1"/>
  <c r="H1304" i="5" l="1"/>
  <c r="G1304" i="5"/>
  <c r="F1305" i="5" s="1"/>
  <c r="H1305" i="5" l="1"/>
  <c r="G1305" i="5"/>
  <c r="F1306" i="5" s="1"/>
  <c r="H1306" i="5" l="1"/>
  <c r="G1306" i="5"/>
  <c r="F1307" i="5" s="1"/>
  <c r="H1307" i="5" l="1"/>
  <c r="G1307" i="5"/>
  <c r="F1308" i="5" s="1"/>
  <c r="H1308" i="5" l="1"/>
  <c r="G1308" i="5"/>
  <c r="F1309" i="5" s="1"/>
  <c r="H1309" i="5" l="1"/>
  <c r="G1309" i="5"/>
  <c r="F1310" i="5" s="1"/>
  <c r="H1310" i="5" l="1"/>
  <c r="G1310" i="5"/>
  <c r="F1311" i="5" s="1"/>
  <c r="H1311" i="5" l="1"/>
  <c r="G1311" i="5"/>
  <c r="F1312" i="5" s="1"/>
  <c r="H1312" i="5" l="1"/>
  <c r="G1312" i="5"/>
  <c r="F1313" i="5" s="1"/>
  <c r="H1313" i="5" l="1"/>
  <c r="G1313" i="5"/>
  <c r="F1314" i="5" s="1"/>
  <c r="H1314" i="5" l="1"/>
  <c r="G1314" i="5"/>
  <c r="F1315" i="5" s="1"/>
  <c r="H1315" i="5" l="1"/>
  <c r="G1315" i="5"/>
  <c r="F1316" i="5" s="1"/>
  <c r="H1316" i="5" l="1"/>
  <c r="G1316" i="5"/>
  <c r="F1317" i="5" s="1"/>
  <c r="H1317" i="5" l="1"/>
  <c r="G1317" i="5"/>
  <c r="F1318" i="5" s="1"/>
  <c r="H1318" i="5" l="1"/>
  <c r="G1318" i="5"/>
  <c r="F1319" i="5" s="1"/>
  <c r="H1319" i="5" l="1"/>
  <c r="G1319" i="5"/>
  <c r="F1320" i="5" s="1"/>
  <c r="H1320" i="5" l="1"/>
  <c r="G1320" i="5"/>
  <c r="F1321" i="5" s="1"/>
  <c r="H1321" i="5" l="1"/>
  <c r="G1321" i="5"/>
  <c r="F1322" i="5" s="1"/>
  <c r="H1322" i="5" l="1"/>
  <c r="G1322" i="5"/>
  <c r="F1323" i="5" s="1"/>
  <c r="H1323" i="5" l="1"/>
  <c r="G1323" i="5"/>
  <c r="F1324" i="5" s="1"/>
  <c r="H1324" i="5" l="1"/>
  <c r="G1324" i="5"/>
  <c r="F1325" i="5" s="1"/>
  <c r="H1325" i="5" l="1"/>
  <c r="G1325" i="5"/>
  <c r="F1326" i="5" s="1"/>
  <c r="H1326" i="5" l="1"/>
  <c r="G1326" i="5"/>
  <c r="F1327" i="5" s="1"/>
  <c r="H1327" i="5" l="1"/>
  <c r="G1327" i="5"/>
  <c r="F1328" i="5" s="1"/>
  <c r="H1328" i="5" l="1"/>
  <c r="G1328" i="5"/>
  <c r="F1329" i="5" s="1"/>
  <c r="H1329" i="5" l="1"/>
  <c r="G1329" i="5"/>
  <c r="F1330" i="5" s="1"/>
  <c r="H1330" i="5" l="1"/>
  <c r="G1330" i="5"/>
  <c r="F1331" i="5" s="1"/>
  <c r="H1331" i="5" l="1"/>
  <c r="G1331" i="5"/>
  <c r="F1332" i="5" s="1"/>
  <c r="H1332" i="5" l="1"/>
  <c r="G1332" i="5"/>
  <c r="F1333" i="5" s="1"/>
  <c r="H1333" i="5" l="1"/>
  <c r="G1333" i="5"/>
  <c r="F1334" i="5" s="1"/>
  <c r="H1334" i="5" l="1"/>
  <c r="G1334" i="5"/>
  <c r="F1335" i="5" s="1"/>
  <c r="H1335" i="5" l="1"/>
  <c r="G1335" i="5"/>
  <c r="F1336" i="5" s="1"/>
  <c r="H1336" i="5" l="1"/>
  <c r="G1336" i="5"/>
  <c r="F1337" i="5" s="1"/>
  <c r="H1337" i="5" l="1"/>
  <c r="G1337" i="5"/>
  <c r="F1338" i="5" s="1"/>
  <c r="H1338" i="5" l="1"/>
  <c r="G1338" i="5"/>
  <c r="F1339" i="5" s="1"/>
  <c r="H1339" i="5" l="1"/>
  <c r="G1339" i="5"/>
  <c r="F1340" i="5" s="1"/>
  <c r="H1340" i="5" l="1"/>
  <c r="G1340" i="5"/>
  <c r="F1341" i="5" s="1"/>
  <c r="H1341" i="5" l="1"/>
  <c r="G1341" i="5"/>
  <c r="F1342" i="5" s="1"/>
  <c r="H1342" i="5" l="1"/>
  <c r="G1342" i="5"/>
  <c r="F1343" i="5" s="1"/>
  <c r="H1343" i="5" l="1"/>
  <c r="G1343" i="5"/>
  <c r="F1344" i="5" s="1"/>
  <c r="H1344" i="5" l="1"/>
  <c r="G1344" i="5"/>
  <c r="F1345" i="5" s="1"/>
  <c r="H1345" i="5" l="1"/>
  <c r="G1345" i="5"/>
  <c r="F1346" i="5" s="1"/>
  <c r="H1346" i="5" l="1"/>
  <c r="G1346" i="5"/>
  <c r="F1347" i="5" s="1"/>
  <c r="H1347" i="5" l="1"/>
  <c r="G1347" i="5"/>
  <c r="F1348" i="5" s="1"/>
  <c r="H1348" i="5" l="1"/>
  <c r="G1348" i="5"/>
  <c r="F1349" i="5" s="1"/>
  <c r="H1349" i="5" l="1"/>
  <c r="G1349" i="5"/>
  <c r="F1350" i="5" s="1"/>
  <c r="H1350" i="5" l="1"/>
  <c r="G1350" i="5"/>
  <c r="F1351" i="5" s="1"/>
  <c r="H1351" i="5" l="1"/>
  <c r="G1351" i="5"/>
  <c r="F1352" i="5" s="1"/>
  <c r="H1352" i="5" l="1"/>
  <c r="G1352" i="5"/>
  <c r="F1353" i="5" s="1"/>
  <c r="H1353" i="5" l="1"/>
  <c r="G1353" i="5"/>
  <c r="F1354" i="5" s="1"/>
  <c r="H1354" i="5" l="1"/>
  <c r="G1354" i="5"/>
  <c r="F1355" i="5" s="1"/>
  <c r="H1355" i="5" l="1"/>
  <c r="G1355" i="5"/>
  <c r="F1356" i="5" s="1"/>
  <c r="H1356" i="5" l="1"/>
  <c r="G1356" i="5"/>
  <c r="F1357" i="5" s="1"/>
  <c r="H1357" i="5" l="1"/>
  <c r="G1357" i="5"/>
  <c r="F1358" i="5" s="1"/>
  <c r="H1358" i="5" l="1"/>
  <c r="G1358" i="5"/>
  <c r="F1359" i="5" s="1"/>
  <c r="H1359" i="5" l="1"/>
  <c r="G1359" i="5"/>
  <c r="F1360" i="5" s="1"/>
  <c r="H1360" i="5" l="1"/>
  <c r="G1360" i="5"/>
  <c r="F1361" i="5" s="1"/>
  <c r="H1361" i="5" l="1"/>
  <c r="G1361" i="5"/>
  <c r="F1362" i="5" s="1"/>
  <c r="H1362" i="5" l="1"/>
  <c r="G1362" i="5"/>
  <c r="F1363" i="5" s="1"/>
  <c r="H1363" i="5" l="1"/>
  <c r="G1363" i="5"/>
  <c r="F1364" i="5" s="1"/>
  <c r="H1364" i="5" l="1"/>
  <c r="G1364" i="5"/>
  <c r="F1365" i="5" s="1"/>
  <c r="H1365" i="5" l="1"/>
  <c r="G1365" i="5"/>
  <c r="F1366" i="5" s="1"/>
  <c r="H1366" i="5" l="1"/>
  <c r="G1366" i="5"/>
  <c r="F1367" i="5" s="1"/>
  <c r="H1367" i="5" l="1"/>
  <c r="G1367" i="5"/>
  <c r="F1368" i="5" s="1"/>
  <c r="H1368" i="5" l="1"/>
  <c r="G1368" i="5"/>
  <c r="F1369" i="5" s="1"/>
  <c r="H1369" i="5" l="1"/>
  <c r="G1369" i="5"/>
  <c r="F1370" i="5" s="1"/>
  <c r="H1370" i="5" l="1"/>
  <c r="G1370" i="5"/>
  <c r="F1371" i="5" s="1"/>
  <c r="H1371" i="5" l="1"/>
  <c r="G1371" i="5"/>
  <c r="F1372" i="5" s="1"/>
  <c r="H1372" i="5" l="1"/>
  <c r="G1372" i="5"/>
  <c r="F1373" i="5" s="1"/>
  <c r="H1373" i="5" l="1"/>
  <c r="G1373" i="5"/>
  <c r="F1374" i="5" s="1"/>
  <c r="H1374" i="5" l="1"/>
  <c r="G1374" i="5"/>
  <c r="F1375" i="5" s="1"/>
  <c r="H1375" i="5" l="1"/>
  <c r="G1375" i="5"/>
  <c r="F1376" i="5" s="1"/>
  <c r="H1376" i="5" l="1"/>
  <c r="G1376" i="5"/>
  <c r="F1377" i="5" s="1"/>
  <c r="H1377" i="5" l="1"/>
  <c r="G1377" i="5"/>
  <c r="F1378" i="5" s="1"/>
  <c r="H1378" i="5" l="1"/>
  <c r="G1378" i="5"/>
  <c r="F1379" i="5" s="1"/>
  <c r="H1379" i="5" l="1"/>
  <c r="G1379" i="5"/>
  <c r="F1380" i="5" s="1"/>
  <c r="H1380" i="5" l="1"/>
  <c r="G1380" i="5"/>
  <c r="F1381" i="5" s="1"/>
  <c r="H1381" i="5" l="1"/>
  <c r="G1381" i="5"/>
  <c r="F1382" i="5" s="1"/>
  <c r="H1382" i="5" l="1"/>
  <c r="G1382" i="5"/>
  <c r="F1383" i="5" s="1"/>
  <c r="H1383" i="5" l="1"/>
  <c r="G1383" i="5"/>
  <c r="F1384" i="5" s="1"/>
  <c r="H1384" i="5" l="1"/>
  <c r="G1384" i="5"/>
  <c r="F1385" i="5" s="1"/>
  <c r="H1385" i="5" l="1"/>
  <c r="G1385" i="5"/>
  <c r="F1386" i="5" s="1"/>
  <c r="H1386" i="5" l="1"/>
  <c r="G1386" i="5"/>
  <c r="F1387" i="5" s="1"/>
  <c r="H1387" i="5" l="1"/>
  <c r="G1387" i="5"/>
  <c r="F1388" i="5" s="1"/>
  <c r="H1388" i="5" l="1"/>
  <c r="G1388" i="5"/>
  <c r="F1389" i="5" s="1"/>
  <c r="H1389" i="5" l="1"/>
  <c r="G1389" i="5"/>
  <c r="F1390" i="5" s="1"/>
  <c r="H1390" i="5" l="1"/>
  <c r="G1390" i="5"/>
  <c r="F1391" i="5" s="1"/>
  <c r="H1391" i="5" l="1"/>
  <c r="G1391" i="5"/>
  <c r="F1392" i="5" s="1"/>
  <c r="H1392" i="5" l="1"/>
  <c r="G1392" i="5"/>
  <c r="F1393" i="5" s="1"/>
  <c r="H1393" i="5" l="1"/>
  <c r="G1393" i="5"/>
  <c r="F1394" i="5" s="1"/>
  <c r="H1394" i="5" l="1"/>
  <c r="G1394" i="5"/>
  <c r="F1395" i="5" s="1"/>
  <c r="H1395" i="5" l="1"/>
  <c r="G1395" i="5"/>
  <c r="F1396" i="5" s="1"/>
  <c r="H1396" i="5" l="1"/>
  <c r="G1396" i="5"/>
  <c r="F1397" i="5" s="1"/>
  <c r="H1397" i="5" l="1"/>
  <c r="G1397" i="5"/>
  <c r="F1398" i="5" s="1"/>
  <c r="H1398" i="5" l="1"/>
  <c r="G1398" i="5"/>
  <c r="F1399" i="5" s="1"/>
  <c r="H1399" i="5" l="1"/>
  <c r="G1399" i="5"/>
  <c r="F1400" i="5" s="1"/>
  <c r="H1400" i="5" l="1"/>
  <c r="G1400" i="5"/>
  <c r="F1401" i="5" s="1"/>
  <c r="H1401" i="5" l="1"/>
  <c r="G1401" i="5"/>
  <c r="F1402" i="5" s="1"/>
  <c r="H1402" i="5" l="1"/>
  <c r="G1402" i="5"/>
  <c r="F1403" i="5" s="1"/>
  <c r="H1403" i="5" l="1"/>
  <c r="G1403" i="5"/>
  <c r="F1404" i="5" s="1"/>
  <c r="H1404" i="5" l="1"/>
  <c r="G1404" i="5"/>
  <c r="F1405" i="5" s="1"/>
  <c r="H1405" i="5" l="1"/>
  <c r="G1405" i="5"/>
  <c r="F1406" i="5" s="1"/>
  <c r="H1406" i="5" l="1"/>
  <c r="G1406" i="5"/>
  <c r="F1407" i="5" s="1"/>
  <c r="H1407" i="5" l="1"/>
  <c r="G1407" i="5"/>
  <c r="F1408" i="5" s="1"/>
  <c r="H1408" i="5" l="1"/>
  <c r="G1408" i="5"/>
  <c r="F1409" i="5" s="1"/>
  <c r="H1409" i="5" l="1"/>
  <c r="G1409" i="5"/>
  <c r="F1410" i="5" s="1"/>
  <c r="H1410" i="5" l="1"/>
  <c r="G1410" i="5"/>
  <c r="F1411" i="5" s="1"/>
  <c r="H1411" i="5" l="1"/>
  <c r="G1411" i="5"/>
  <c r="F1412" i="5" s="1"/>
  <c r="H1412" i="5" l="1"/>
  <c r="G1412" i="5"/>
  <c r="F1413" i="5" s="1"/>
  <c r="H1413" i="5" l="1"/>
  <c r="G1413" i="5"/>
  <c r="F1414" i="5" s="1"/>
  <c r="H1414" i="5" l="1"/>
  <c r="G1414" i="5"/>
  <c r="F1415" i="5" s="1"/>
  <c r="H1415" i="5" l="1"/>
  <c r="G1415" i="5"/>
  <c r="F1416" i="5" s="1"/>
  <c r="H1416" i="5" l="1"/>
  <c r="G1416" i="5"/>
  <c r="F1417" i="5" s="1"/>
  <c r="H1417" i="5" l="1"/>
  <c r="G1417" i="5"/>
  <c r="F1418" i="5" s="1"/>
  <c r="H1418" i="5" l="1"/>
  <c r="G1418" i="5"/>
  <c r="F1419" i="5" s="1"/>
  <c r="H1419" i="5" l="1"/>
  <c r="G1419" i="5"/>
  <c r="F1420" i="5" s="1"/>
  <c r="H1420" i="5" l="1"/>
  <c r="G1420" i="5"/>
  <c r="F1421" i="5" s="1"/>
  <c r="H1421" i="5" l="1"/>
  <c r="G1421" i="5"/>
  <c r="F1422" i="5" s="1"/>
  <c r="H1422" i="5" l="1"/>
  <c r="G1422" i="5"/>
  <c r="F1423" i="5" s="1"/>
  <c r="H1423" i="5" l="1"/>
  <c r="G1423" i="5"/>
  <c r="F1424" i="5" s="1"/>
  <c r="H1424" i="5" l="1"/>
  <c r="G1424" i="5"/>
  <c r="F1425" i="5" s="1"/>
  <c r="H1425" i="5" l="1"/>
  <c r="G1425" i="5"/>
  <c r="F1426" i="5" s="1"/>
  <c r="H1426" i="5" l="1"/>
  <c r="G1426" i="5"/>
  <c r="F1427" i="5" s="1"/>
  <c r="H1427" i="5" l="1"/>
  <c r="G1427" i="5"/>
  <c r="F1428" i="5" s="1"/>
  <c r="H1428" i="5" l="1"/>
  <c r="G1428" i="5"/>
  <c r="F1429" i="5" s="1"/>
  <c r="H1429" i="5" l="1"/>
  <c r="G1429" i="5"/>
  <c r="F1430" i="5" s="1"/>
  <c r="H1430" i="5" l="1"/>
  <c r="G1430" i="5"/>
  <c r="F1431" i="5" s="1"/>
  <c r="H1431" i="5" l="1"/>
  <c r="G1431" i="5"/>
  <c r="F1432" i="5" s="1"/>
  <c r="H1432" i="5" l="1"/>
  <c r="G1432" i="5"/>
  <c r="F1433" i="5" s="1"/>
  <c r="H1433" i="5" l="1"/>
  <c r="G1433" i="5"/>
  <c r="F1434" i="5" s="1"/>
  <c r="H1434" i="5" l="1"/>
  <c r="G1434" i="5"/>
  <c r="F1435" i="5" s="1"/>
  <c r="H1435" i="5" l="1"/>
  <c r="G1435" i="5"/>
  <c r="F1436" i="5" s="1"/>
  <c r="H1436" i="5" l="1"/>
  <c r="G1436" i="5"/>
  <c r="F1437" i="5" s="1"/>
  <c r="H1437" i="5" l="1"/>
  <c r="G1437" i="5"/>
  <c r="F1438" i="5" s="1"/>
  <c r="H1438" i="5" l="1"/>
  <c r="G1438" i="5"/>
  <c r="F1439" i="5" s="1"/>
  <c r="H1439" i="5" l="1"/>
  <c r="G1439" i="5"/>
  <c r="F1440" i="5" s="1"/>
  <c r="H1440" i="5" l="1"/>
  <c r="G1440" i="5"/>
  <c r="F1441" i="5" s="1"/>
  <c r="H1441" i="5" l="1"/>
  <c r="G1441" i="5"/>
  <c r="F1442" i="5" s="1"/>
  <c r="H1442" i="5" l="1"/>
  <c r="G1442" i="5"/>
  <c r="F1443" i="5" s="1"/>
  <c r="H1443" i="5" l="1"/>
  <c r="G1443" i="5"/>
  <c r="F1444" i="5" s="1"/>
  <c r="H1444" i="5" l="1"/>
  <c r="G1444" i="5"/>
  <c r="F1445" i="5" s="1"/>
  <c r="H1445" i="5" l="1"/>
  <c r="G1445" i="5"/>
  <c r="F1446" i="5" s="1"/>
  <c r="H1446" i="5" l="1"/>
  <c r="G1446" i="5"/>
  <c r="F1447" i="5" s="1"/>
  <c r="H1447" i="5" l="1"/>
  <c r="G1447" i="5"/>
  <c r="F1448" i="5" s="1"/>
  <c r="H1448" i="5" l="1"/>
  <c r="G1448" i="5"/>
  <c r="F1449" i="5" s="1"/>
  <c r="H1449" i="5" l="1"/>
  <c r="G1449" i="5"/>
  <c r="F1450" i="5" s="1"/>
  <c r="H1450" i="5" l="1"/>
  <c r="G1450" i="5"/>
  <c r="F1451" i="5" s="1"/>
  <c r="H1451" i="5" l="1"/>
  <c r="G1451" i="5"/>
  <c r="F1452" i="5" s="1"/>
  <c r="H1452" i="5" l="1"/>
  <c r="G1452" i="5"/>
  <c r="F1453" i="5" s="1"/>
  <c r="H1453" i="5" l="1"/>
  <c r="G1453" i="5"/>
  <c r="F1454" i="5" s="1"/>
  <c r="H1454" i="5" l="1"/>
  <c r="G1454" i="5"/>
  <c r="F1455" i="5" s="1"/>
  <c r="H1455" i="5" l="1"/>
  <c r="G1455" i="5"/>
  <c r="F1456" i="5" s="1"/>
  <c r="H1456" i="5" l="1"/>
  <c r="G1456" i="5"/>
  <c r="F1457" i="5" s="1"/>
  <c r="H1457" i="5" l="1"/>
  <c r="G1457" i="5"/>
  <c r="F1458" i="5" s="1"/>
  <c r="H1458" i="5" l="1"/>
  <c r="G1458" i="5"/>
  <c r="F1459" i="5" s="1"/>
  <c r="H1459" i="5" l="1"/>
  <c r="G1459" i="5"/>
  <c r="F1460" i="5" s="1"/>
  <c r="H1460" i="5" l="1"/>
  <c r="G1460" i="5"/>
  <c r="F1461" i="5" s="1"/>
  <c r="H1461" i="5" l="1"/>
  <c r="G1461" i="5"/>
  <c r="F1462" i="5" s="1"/>
  <c r="H1462" i="5" l="1"/>
  <c r="G1462" i="5"/>
  <c r="F1463" i="5" s="1"/>
  <c r="H1463" i="5" l="1"/>
  <c r="G1463" i="5"/>
  <c r="F1464" i="5" s="1"/>
  <c r="H1464" i="5" l="1"/>
  <c r="G1464" i="5"/>
  <c r="F1465" i="5" s="1"/>
  <c r="H1465" i="5" l="1"/>
  <c r="G1465" i="5"/>
  <c r="F1466" i="5" s="1"/>
  <c r="H1466" i="5" l="1"/>
  <c r="G1466" i="5"/>
  <c r="F1467" i="5" s="1"/>
  <c r="H1467" i="5" l="1"/>
  <c r="G1467" i="5"/>
  <c r="F1468" i="5" s="1"/>
  <c r="H1468" i="5" l="1"/>
  <c r="G1468" i="5"/>
  <c r="F1469" i="5" s="1"/>
  <c r="H1469" i="5" l="1"/>
  <c r="G1469" i="5"/>
  <c r="F1470" i="5" s="1"/>
  <c r="H1470" i="5" l="1"/>
  <c r="G1470" i="5"/>
  <c r="F1471" i="5" s="1"/>
  <c r="H1471" i="5" l="1"/>
  <c r="G1471" i="5"/>
  <c r="F1472" i="5" s="1"/>
  <c r="H1472" i="5" l="1"/>
  <c r="G1472" i="5"/>
  <c r="F1473" i="5" s="1"/>
  <c r="H1473" i="5" l="1"/>
  <c r="G1473" i="5"/>
  <c r="F1474" i="5" s="1"/>
  <c r="H1474" i="5" l="1"/>
  <c r="G1474" i="5"/>
  <c r="F1475" i="5" s="1"/>
  <c r="H1475" i="5" l="1"/>
  <c r="G1475" i="5"/>
  <c r="F1476" i="5" s="1"/>
  <c r="H1476" i="5" l="1"/>
  <c r="G1476" i="5"/>
  <c r="F1477" i="5" s="1"/>
  <c r="H1477" i="5" l="1"/>
  <c r="G1477" i="5"/>
  <c r="F1478" i="5" s="1"/>
  <c r="H1478" i="5" l="1"/>
  <c r="G1478" i="5"/>
  <c r="F1479" i="5" s="1"/>
  <c r="H1479" i="5" l="1"/>
  <c r="G1479" i="5"/>
  <c r="F1480" i="5" s="1"/>
  <c r="H1480" i="5" l="1"/>
  <c r="G1480" i="5"/>
  <c r="F1481" i="5" s="1"/>
  <c r="H1481" i="5" l="1"/>
  <c r="G1481" i="5"/>
  <c r="F1482" i="5" s="1"/>
  <c r="H1482" i="5" l="1"/>
  <c r="G1482" i="5"/>
  <c r="F1483" i="5" s="1"/>
  <c r="H1483" i="5" l="1"/>
  <c r="G1483" i="5"/>
  <c r="F1484" i="5" s="1"/>
  <c r="H1484" i="5" l="1"/>
  <c r="G1484" i="5"/>
  <c r="F1485" i="5" s="1"/>
  <c r="H1485" i="5" l="1"/>
  <c r="G1485" i="5"/>
  <c r="F1486" i="5" s="1"/>
  <c r="H1486" i="5" l="1"/>
  <c r="G1486" i="5"/>
  <c r="F1487" i="5" s="1"/>
  <c r="H1487" i="5" l="1"/>
  <c r="G1487" i="5"/>
  <c r="F1488" i="5" s="1"/>
  <c r="H1488" i="5" l="1"/>
  <c r="G1488" i="5"/>
  <c r="F1489" i="5" s="1"/>
  <c r="H1489" i="5" l="1"/>
  <c r="G1489" i="5"/>
  <c r="F1490" i="5" s="1"/>
  <c r="H1490" i="5" l="1"/>
  <c r="G1490" i="5"/>
  <c r="F1491" i="5" s="1"/>
  <c r="H1491" i="5" l="1"/>
  <c r="G1491" i="5"/>
  <c r="F1492" i="5" s="1"/>
  <c r="H1492" i="5" l="1"/>
  <c r="G1492" i="5"/>
  <c r="F1493" i="5" s="1"/>
  <c r="H1493" i="5" l="1"/>
  <c r="G1493" i="5"/>
  <c r="F1494" i="5" s="1"/>
  <c r="H1494" i="5" l="1"/>
  <c r="G1494" i="5"/>
  <c r="F1495" i="5" s="1"/>
  <c r="H1495" i="5" l="1"/>
  <c r="G1495" i="5"/>
  <c r="F1496" i="5" s="1"/>
  <c r="H1496" i="5" l="1"/>
  <c r="G1496" i="5"/>
  <c r="F1497" i="5" s="1"/>
  <c r="H1497" i="5" l="1"/>
  <c r="G1497" i="5"/>
  <c r="F1498" i="5" s="1"/>
  <c r="H1498" i="5" l="1"/>
  <c r="G1498" i="5"/>
  <c r="F1499" i="5" s="1"/>
  <c r="H1499" i="5" l="1"/>
  <c r="G1499" i="5"/>
  <c r="F1500" i="5" s="1"/>
  <c r="H1500" i="5" l="1"/>
  <c r="G1500" i="5"/>
  <c r="F1501" i="5" s="1"/>
  <c r="H1501" i="5" l="1"/>
  <c r="G1501" i="5"/>
  <c r="F1502" i="5" s="1"/>
  <c r="H1502" i="5" l="1"/>
  <c r="G1502" i="5"/>
  <c r="F1503" i="5" s="1"/>
  <c r="H1503" i="5" l="1"/>
  <c r="G1503" i="5"/>
  <c r="F1504" i="5" s="1"/>
  <c r="H1504" i="5" l="1"/>
  <c r="G1504" i="5"/>
  <c r="F1505" i="5" s="1"/>
  <c r="H1505" i="5" l="1"/>
  <c r="G1505" i="5"/>
  <c r="F1506" i="5" s="1"/>
  <c r="H1506" i="5" l="1"/>
  <c r="G1506" i="5"/>
  <c r="F1507" i="5" s="1"/>
  <c r="H1507" i="5" l="1"/>
  <c r="G1507" i="5"/>
  <c r="F1508" i="5" s="1"/>
  <c r="H1508" i="5" l="1"/>
  <c r="G1508" i="5"/>
  <c r="F1509" i="5" s="1"/>
  <c r="H1509" i="5" l="1"/>
  <c r="G1509" i="5"/>
  <c r="F1510" i="5" s="1"/>
  <c r="H1510" i="5" l="1"/>
  <c r="G1510" i="5"/>
  <c r="F1511" i="5" s="1"/>
  <c r="H1511" i="5" l="1"/>
  <c r="G1511" i="5"/>
  <c r="F1512" i="5" s="1"/>
  <c r="H1512" i="5" l="1"/>
  <c r="G1512" i="5"/>
  <c r="F1513" i="5" s="1"/>
  <c r="H1513" i="5" l="1"/>
  <c r="G1513" i="5"/>
  <c r="F1514" i="5" s="1"/>
  <c r="H1514" i="5" l="1"/>
  <c r="G1514" i="5"/>
  <c r="F1515" i="5" s="1"/>
  <c r="H1515" i="5" l="1"/>
  <c r="G1515" i="5"/>
  <c r="F1516" i="5" s="1"/>
  <c r="H1516" i="5" l="1"/>
  <c r="G1516" i="5"/>
  <c r="F1517" i="5" s="1"/>
  <c r="H1517" i="5" l="1"/>
  <c r="G1517" i="5"/>
  <c r="F1518" i="5" s="1"/>
  <c r="H1518" i="5" l="1"/>
  <c r="G1518" i="5"/>
  <c r="F1519" i="5" s="1"/>
  <c r="H1519" i="5" l="1"/>
  <c r="G1519" i="5"/>
  <c r="F1520" i="5" s="1"/>
  <c r="H1520" i="5" l="1"/>
  <c r="G1520" i="5"/>
  <c r="F1521" i="5" s="1"/>
  <c r="H1521" i="5" l="1"/>
  <c r="G1521" i="5"/>
  <c r="F1522" i="5" s="1"/>
  <c r="H1522" i="5" l="1"/>
  <c r="G1522" i="5"/>
  <c r="F1523" i="5" s="1"/>
  <c r="H1523" i="5" l="1"/>
  <c r="G1523" i="5"/>
  <c r="F1524" i="5" s="1"/>
  <c r="H1524" i="5" l="1"/>
  <c r="G1524" i="5"/>
  <c r="F1525" i="5" s="1"/>
  <c r="H1525" i="5" l="1"/>
  <c r="G1525" i="5"/>
  <c r="F1526" i="5" s="1"/>
  <c r="H1526" i="5" l="1"/>
  <c r="G1526" i="5"/>
  <c r="F1527" i="5" s="1"/>
  <c r="H1527" i="5" l="1"/>
  <c r="G1527" i="5"/>
  <c r="F1528" i="5" s="1"/>
  <c r="H1528" i="5" l="1"/>
  <c r="G1528" i="5"/>
  <c r="F1529" i="5" s="1"/>
  <c r="H1529" i="5" l="1"/>
  <c r="G1529" i="5"/>
  <c r="F1530" i="5" s="1"/>
  <c r="H1530" i="5" l="1"/>
  <c r="G1530" i="5"/>
  <c r="F1531" i="5" s="1"/>
  <c r="H1531" i="5" l="1"/>
  <c r="G1531" i="5"/>
  <c r="F1532" i="5" s="1"/>
  <c r="H1532" i="5" l="1"/>
  <c r="G1532" i="5"/>
  <c r="F1533" i="5" s="1"/>
  <c r="H1533" i="5" l="1"/>
  <c r="G1533" i="5"/>
  <c r="F1534" i="5" s="1"/>
  <c r="H1534" i="5" l="1"/>
  <c r="G1534" i="5"/>
  <c r="F1535" i="5" s="1"/>
  <c r="H1535" i="5" l="1"/>
  <c r="G1535" i="5"/>
  <c r="F1536" i="5" s="1"/>
  <c r="H1536" i="5" l="1"/>
  <c r="G1536" i="5"/>
  <c r="F1537" i="5" s="1"/>
  <c r="H1537" i="5" l="1"/>
  <c r="G1537" i="5"/>
  <c r="F1538" i="5" s="1"/>
  <c r="H1538" i="5" l="1"/>
  <c r="G1538" i="5"/>
  <c r="F1539" i="5" s="1"/>
  <c r="H1539" i="5" l="1"/>
  <c r="G1539" i="5"/>
  <c r="F1540" i="5" s="1"/>
  <c r="H1540" i="5" l="1"/>
  <c r="G1540" i="5"/>
  <c r="F1541" i="5" s="1"/>
  <c r="H1541" i="5" l="1"/>
  <c r="G1541" i="5"/>
  <c r="F1542" i="5" s="1"/>
  <c r="H1542" i="5" l="1"/>
  <c r="G1542" i="5"/>
  <c r="F1543" i="5" s="1"/>
  <c r="H1543" i="5" l="1"/>
  <c r="G1543" i="5"/>
  <c r="F1544" i="5" s="1"/>
  <c r="H1544" i="5" l="1"/>
  <c r="G1544" i="5"/>
  <c r="F1545" i="5" s="1"/>
  <c r="H1545" i="5" l="1"/>
  <c r="G1545" i="5"/>
  <c r="F1546" i="5" s="1"/>
  <c r="H1546" i="5" l="1"/>
  <c r="G1546" i="5"/>
  <c r="F1547" i="5" s="1"/>
  <c r="H1547" i="5" l="1"/>
  <c r="G1547" i="5"/>
  <c r="F1548" i="5" s="1"/>
  <c r="H1548" i="5" l="1"/>
  <c r="G1548" i="5"/>
  <c r="F1549" i="5" s="1"/>
  <c r="H1549" i="5" l="1"/>
  <c r="G1549" i="5"/>
  <c r="F1550" i="5" s="1"/>
  <c r="H1550" i="5" l="1"/>
  <c r="G1550" i="5"/>
  <c r="F1551" i="5" s="1"/>
  <c r="H1551" i="5" l="1"/>
  <c r="G1551" i="5"/>
  <c r="F1552" i="5" s="1"/>
  <c r="H1552" i="5" l="1"/>
  <c r="G1552" i="5"/>
  <c r="F1553" i="5" s="1"/>
  <c r="H1553" i="5" l="1"/>
  <c r="G1553" i="5"/>
  <c r="F1554" i="5" s="1"/>
  <c r="H1554" i="5" l="1"/>
  <c r="G1554" i="5"/>
  <c r="F1555" i="5" s="1"/>
  <c r="H1555" i="5" l="1"/>
  <c r="G1555" i="5"/>
  <c r="F1556" i="5" s="1"/>
  <c r="H1556" i="5" l="1"/>
  <c r="G1556" i="5"/>
  <c r="F1557" i="5" s="1"/>
  <c r="H1557" i="5" l="1"/>
  <c r="G1557" i="5"/>
  <c r="F1558" i="5" s="1"/>
  <c r="H1558" i="5" l="1"/>
  <c r="G1558" i="5"/>
  <c r="F1559" i="5" s="1"/>
  <c r="H1559" i="5" l="1"/>
  <c r="G1559" i="5"/>
  <c r="F1560" i="5" s="1"/>
  <c r="H1560" i="5" l="1"/>
  <c r="G1560" i="5"/>
  <c r="F1561" i="5" s="1"/>
  <c r="H1561" i="5" l="1"/>
  <c r="G1561" i="5"/>
  <c r="F1562" i="5" s="1"/>
  <c r="H1562" i="5" l="1"/>
  <c r="G1562" i="5"/>
  <c r="F1563" i="5" s="1"/>
  <c r="H1563" i="5" l="1"/>
  <c r="G1563" i="5"/>
  <c r="F1564" i="5" s="1"/>
  <c r="H1564" i="5" l="1"/>
  <c r="G1564" i="5"/>
  <c r="F1565" i="5" s="1"/>
  <c r="H1565" i="5" l="1"/>
  <c r="G1565" i="5"/>
  <c r="F1566" i="5" s="1"/>
  <c r="H1566" i="5" l="1"/>
  <c r="G1566" i="5"/>
  <c r="F1567" i="5" s="1"/>
  <c r="H1567" i="5" l="1"/>
  <c r="G1567" i="5"/>
  <c r="F1568" i="5" s="1"/>
  <c r="H1568" i="5" l="1"/>
  <c r="G1568" i="5"/>
  <c r="F1569" i="5" s="1"/>
  <c r="H1569" i="5" l="1"/>
  <c r="G1569" i="5"/>
  <c r="F1570" i="5" s="1"/>
  <c r="H1570" i="5" l="1"/>
  <c r="G1570" i="5"/>
  <c r="F1571" i="5" s="1"/>
  <c r="H1571" i="5" l="1"/>
  <c r="G1571" i="5"/>
  <c r="F1572" i="5" s="1"/>
  <c r="H1572" i="5" l="1"/>
  <c r="G1572" i="5"/>
  <c r="F1573" i="5" s="1"/>
  <c r="H1573" i="5" l="1"/>
  <c r="G1573" i="5"/>
  <c r="F1574" i="5" s="1"/>
  <c r="H1574" i="5" l="1"/>
  <c r="G1574" i="5"/>
  <c r="F1575" i="5" s="1"/>
  <c r="H1575" i="5" l="1"/>
  <c r="G1575" i="5"/>
  <c r="F1576" i="5" s="1"/>
  <c r="H1576" i="5" l="1"/>
  <c r="G1576" i="5"/>
  <c r="F1577" i="5" s="1"/>
  <c r="H1577" i="5" l="1"/>
  <c r="G1577" i="5"/>
  <c r="F1578" i="5" s="1"/>
  <c r="H1578" i="5" l="1"/>
  <c r="G1578" i="5"/>
  <c r="F1579" i="5" s="1"/>
  <c r="H1579" i="5" l="1"/>
  <c r="G1579" i="5"/>
  <c r="F1580" i="5" s="1"/>
  <c r="H1580" i="5" l="1"/>
  <c r="G1580" i="5"/>
  <c r="F1581" i="5" s="1"/>
  <c r="H1581" i="5" l="1"/>
  <c r="G1581" i="5"/>
  <c r="F1582" i="5" s="1"/>
  <c r="H1582" i="5" l="1"/>
  <c r="G1582" i="5"/>
  <c r="F1583" i="5" s="1"/>
  <c r="H1583" i="5" l="1"/>
  <c r="G1583" i="5"/>
  <c r="F1584" i="5" s="1"/>
  <c r="H1584" i="5" l="1"/>
  <c r="G1584" i="5"/>
  <c r="F1585" i="5" s="1"/>
  <c r="H1585" i="5" l="1"/>
  <c r="G1585" i="5"/>
  <c r="F1586" i="5" s="1"/>
  <c r="H1586" i="5" l="1"/>
  <c r="G1586" i="5"/>
  <c r="F1587" i="5" s="1"/>
  <c r="H1587" i="5" l="1"/>
  <c r="G1587" i="5"/>
  <c r="F1588" i="5" s="1"/>
  <c r="H1588" i="5" l="1"/>
  <c r="G1588" i="5"/>
  <c r="F1589" i="5" s="1"/>
  <c r="H1589" i="5" l="1"/>
  <c r="G1589" i="5"/>
  <c r="F1590" i="5" s="1"/>
  <c r="H1590" i="5" l="1"/>
  <c r="G1590" i="5"/>
  <c r="F1591" i="5" s="1"/>
  <c r="H1591" i="5" l="1"/>
  <c r="G1591" i="5"/>
  <c r="F1592" i="5" s="1"/>
  <c r="H1592" i="5" l="1"/>
  <c r="G1592" i="5"/>
  <c r="F1593" i="5" s="1"/>
  <c r="H1593" i="5" l="1"/>
  <c r="G1593" i="5"/>
  <c r="F1594" i="5" s="1"/>
  <c r="H1594" i="5" l="1"/>
  <c r="G1594" i="5"/>
  <c r="F1595" i="5" s="1"/>
  <c r="H1595" i="5" l="1"/>
  <c r="G1595" i="5"/>
  <c r="F1596" i="5" s="1"/>
  <c r="H1596" i="5" l="1"/>
  <c r="G1596" i="5"/>
  <c r="F1597" i="5" s="1"/>
  <c r="H1597" i="5" l="1"/>
  <c r="G1597" i="5"/>
  <c r="F1598" i="5" s="1"/>
  <c r="H1598" i="5" l="1"/>
  <c r="G1598" i="5"/>
  <c r="F1599" i="5" s="1"/>
  <c r="H1599" i="5" l="1"/>
  <c r="G1599" i="5"/>
  <c r="F1600" i="5" s="1"/>
  <c r="H1600" i="5" l="1"/>
  <c r="G1600" i="5"/>
  <c r="F1601" i="5" s="1"/>
  <c r="H1601" i="5" l="1"/>
  <c r="G1601" i="5"/>
  <c r="F1602" i="5" s="1"/>
  <c r="H1602" i="5" l="1"/>
  <c r="G1602" i="5"/>
  <c r="F1603" i="5" s="1"/>
  <c r="H1603" i="5" l="1"/>
  <c r="G1603" i="5"/>
  <c r="F1604" i="5" s="1"/>
  <c r="H1604" i="5" l="1"/>
  <c r="G1604" i="5"/>
  <c r="F1605" i="5" s="1"/>
  <c r="H1605" i="5" l="1"/>
  <c r="G1605" i="5"/>
  <c r="F1606" i="5" s="1"/>
  <c r="H1606" i="5" l="1"/>
  <c r="G1606" i="5"/>
  <c r="F1607" i="5" s="1"/>
  <c r="H1607" i="5" l="1"/>
  <c r="G1607" i="5"/>
  <c r="F1608" i="5" s="1"/>
  <c r="H1608" i="5" l="1"/>
  <c r="G1608" i="5"/>
  <c r="F1609" i="5" s="1"/>
  <c r="H1609" i="5" l="1"/>
  <c r="G1609" i="5"/>
  <c r="F1610" i="5" s="1"/>
  <c r="H1610" i="5" l="1"/>
  <c r="G1610" i="5"/>
  <c r="F1611" i="5" s="1"/>
  <c r="H1611" i="5" l="1"/>
  <c r="G1611" i="5"/>
  <c r="F1612" i="5" s="1"/>
  <c r="H1612" i="5" l="1"/>
  <c r="G1612" i="5"/>
  <c r="F1613" i="5" s="1"/>
  <c r="H1613" i="5" l="1"/>
  <c r="G1613" i="5"/>
  <c r="F1614" i="5" s="1"/>
  <c r="H1614" i="5" l="1"/>
  <c r="G1614" i="5"/>
  <c r="F1615" i="5" s="1"/>
  <c r="H1615" i="5" l="1"/>
  <c r="G1615" i="5"/>
  <c r="F1616" i="5" s="1"/>
  <c r="H1616" i="5" l="1"/>
  <c r="G1616" i="5"/>
  <c r="F1617" i="5" s="1"/>
  <c r="H1617" i="5" l="1"/>
  <c r="G1617" i="5"/>
  <c r="F1618" i="5" s="1"/>
  <c r="H1618" i="5" l="1"/>
  <c r="G1618" i="5"/>
  <c r="F1619" i="5" s="1"/>
  <c r="H1619" i="5" l="1"/>
  <c r="G1619" i="5"/>
  <c r="F1620" i="5" s="1"/>
  <c r="H1620" i="5" l="1"/>
  <c r="G1620" i="5"/>
  <c r="F1621" i="5" s="1"/>
  <c r="H1621" i="5" l="1"/>
  <c r="G1621" i="5"/>
  <c r="F1622" i="5" s="1"/>
  <c r="H1622" i="5" l="1"/>
  <c r="G1622" i="5"/>
  <c r="F1623" i="5" s="1"/>
  <c r="H1623" i="5" l="1"/>
  <c r="G1623" i="5"/>
  <c r="F1624" i="5" s="1"/>
  <c r="H1624" i="5" l="1"/>
  <c r="G1624" i="5"/>
  <c r="F1625" i="5" s="1"/>
  <c r="H1625" i="5" l="1"/>
  <c r="G1625" i="5"/>
  <c r="F1626" i="5" s="1"/>
  <c r="H1626" i="5" l="1"/>
  <c r="G1626" i="5"/>
  <c r="F1627" i="5" s="1"/>
  <c r="H1627" i="5" l="1"/>
  <c r="G1627" i="5"/>
  <c r="F1628" i="5" s="1"/>
  <c r="H1628" i="5" l="1"/>
  <c r="G1628" i="5"/>
  <c r="F1629" i="5" s="1"/>
  <c r="H1629" i="5" l="1"/>
  <c r="G1629" i="5"/>
  <c r="F1630" i="5" s="1"/>
  <c r="H1630" i="5" l="1"/>
  <c r="G1630" i="5"/>
  <c r="F1631" i="5" s="1"/>
  <c r="H1631" i="5" l="1"/>
  <c r="G1631" i="5"/>
  <c r="F1632" i="5" s="1"/>
  <c r="H1632" i="5" l="1"/>
  <c r="G1632" i="5"/>
  <c r="F1633" i="5" s="1"/>
  <c r="H1633" i="5" l="1"/>
  <c r="G1633" i="5"/>
  <c r="F1634" i="5" s="1"/>
  <c r="H1634" i="5" l="1"/>
  <c r="G1634" i="5"/>
  <c r="F1635" i="5" s="1"/>
  <c r="H1635" i="5" l="1"/>
  <c r="G1635" i="5"/>
  <c r="F1636" i="5" s="1"/>
  <c r="H1636" i="5" l="1"/>
  <c r="G1636" i="5"/>
  <c r="F1637" i="5" s="1"/>
  <c r="H1637" i="5" l="1"/>
  <c r="G1637" i="5"/>
  <c r="F1638" i="5" s="1"/>
  <c r="H1638" i="5" l="1"/>
  <c r="G1638" i="5"/>
  <c r="F1639" i="5" s="1"/>
  <c r="H1639" i="5" l="1"/>
  <c r="G1639" i="5"/>
  <c r="F1640" i="5" s="1"/>
  <c r="H1640" i="5" l="1"/>
  <c r="G1640" i="5"/>
  <c r="F1641" i="5" s="1"/>
  <c r="H1641" i="5" l="1"/>
  <c r="G1641" i="5"/>
  <c r="F1642" i="5" s="1"/>
  <c r="H1642" i="5" l="1"/>
  <c r="G1642" i="5"/>
  <c r="F1643" i="5" s="1"/>
  <c r="H1643" i="5" l="1"/>
  <c r="G1643" i="5"/>
  <c r="F1644" i="5" s="1"/>
  <c r="H1644" i="5" l="1"/>
  <c r="G1644" i="5"/>
  <c r="F1645" i="5" s="1"/>
  <c r="H1645" i="5" l="1"/>
  <c r="G1645" i="5"/>
  <c r="F1646" i="5" s="1"/>
  <c r="H1646" i="5" l="1"/>
  <c r="G1646" i="5"/>
  <c r="F1647" i="5" s="1"/>
  <c r="H1647" i="5" l="1"/>
  <c r="G1647" i="5"/>
  <c r="F1648" i="5" s="1"/>
  <c r="H1648" i="5" l="1"/>
  <c r="G1648" i="5"/>
  <c r="F1649" i="5" s="1"/>
  <c r="H1649" i="5" l="1"/>
  <c r="G1649" i="5"/>
  <c r="F1650" i="5" s="1"/>
  <c r="H1650" i="5" l="1"/>
  <c r="G1650" i="5"/>
  <c r="F1651" i="5" s="1"/>
  <c r="H1651" i="5" l="1"/>
  <c r="G1651" i="5"/>
  <c r="F1652" i="5" s="1"/>
  <c r="H1652" i="5" l="1"/>
  <c r="G1652" i="5"/>
  <c r="F1653" i="5" s="1"/>
  <c r="H1653" i="5" l="1"/>
  <c r="G1653" i="5"/>
  <c r="F1654" i="5" s="1"/>
  <c r="H1654" i="5" l="1"/>
  <c r="G1654" i="5"/>
  <c r="F1655" i="5" s="1"/>
  <c r="H1655" i="5" l="1"/>
  <c r="G1655" i="5"/>
  <c r="F1656" i="5" s="1"/>
  <c r="H1656" i="5" l="1"/>
  <c r="G1656" i="5"/>
  <c r="F1657" i="5" s="1"/>
  <c r="H1657" i="5" l="1"/>
  <c r="G1657" i="5"/>
  <c r="F1658" i="5" s="1"/>
  <c r="H1658" i="5" l="1"/>
  <c r="G1658" i="5"/>
  <c r="F1659" i="5" s="1"/>
  <c r="G1659" i="5" l="1"/>
  <c r="M3" i="5" s="1"/>
  <c r="H1659" i="5"/>
  <c r="M2" i="5" s="1"/>
</calcChain>
</file>

<file path=xl/sharedStrings.xml><?xml version="1.0" encoding="utf-8"?>
<sst xmlns="http://schemas.openxmlformats.org/spreadsheetml/2006/main" count="3564" uniqueCount="43">
  <si>
    <t>Result Perceptron</t>
  </si>
  <si>
    <t>Coeff SMA20</t>
  </si>
  <si>
    <t>Coeff Bollinger Lower Band</t>
  </si>
  <si>
    <t>Coeff Bollinger Upper Band</t>
  </si>
  <si>
    <t>Bias</t>
  </si>
  <si>
    <t>Loss Function</t>
  </si>
  <si>
    <t>SMA20</t>
  </si>
  <si>
    <t>Lower Bond</t>
  </si>
  <si>
    <t>Upper Bond</t>
  </si>
  <si>
    <t>Target</t>
  </si>
  <si>
    <t>Prediction</t>
  </si>
  <si>
    <t>Confusion matrix</t>
  </si>
  <si>
    <t>Real values</t>
  </si>
  <si>
    <t>Prédicted</t>
  </si>
  <si>
    <t>Etat 2</t>
  </si>
  <si>
    <t>Etat 1</t>
  </si>
  <si>
    <t>beta 1</t>
  </si>
  <si>
    <t>alpha 1</t>
  </si>
  <si>
    <t>alpha 0</t>
  </si>
  <si>
    <t>Sigma^2 0</t>
  </si>
  <si>
    <t>variance of epsilon</t>
  </si>
  <si>
    <t>Log-likelihood</t>
  </si>
  <si>
    <t>Epsilon</t>
  </si>
  <si>
    <t>Sigma</t>
  </si>
  <si>
    <t>Residual of
 the AR Part</t>
  </si>
  <si>
    <t>Predicted Return</t>
  </si>
  <si>
    <t>Price returns</t>
  </si>
  <si>
    <t>close</t>
  </si>
  <si>
    <t>date</t>
  </si>
  <si>
    <t>Real</t>
  </si>
  <si>
    <t>Predicted</t>
  </si>
  <si>
    <t>GOOG</t>
  </si>
  <si>
    <t>Paratrization of the perceptron</t>
  </si>
  <si>
    <t>Learning Rate</t>
  </si>
  <si>
    <t>Number of iterations</t>
  </si>
  <si>
    <t>Paratrization of the AR(n)-GARCH(1,1)</t>
  </si>
  <si>
    <t>Lag length</t>
  </si>
  <si>
    <t>General parametrisation</t>
  </si>
  <si>
    <t>Start date of the training sample</t>
  </si>
  <si>
    <t>End date of the training sample</t>
  </si>
  <si>
    <t>30/10/2016</t>
  </si>
  <si>
    <t>symbol</t>
  </si>
  <si>
    <t>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</si>
</sst>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0%"/>
    <numFmt numFmtId="166" formatCode="0.000000"/>
    <numFmt numFmtId="167" formatCode="0.000000000"/>
    <numFmt numFmtId="168" formatCode="0.00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3" borderId="0" xfId="0" applyFill="1"/>
    <xf numFmtId="0" fontId="0" fillId="4" borderId="3" xfId="0" applyFill="1" applyBorder="1"/>
    <xf numFmtId="164" fontId="0" fillId="4" borderId="3" xfId="0" applyNumberFormat="1" applyFill="1" applyBorder="1"/>
    <xf numFmtId="0" fontId="0" fillId="4" borderId="4" xfId="0" applyFill="1" applyBorder="1"/>
    <xf numFmtId="164" fontId="0" fillId="4" borderId="4" xfId="0" applyNumberFormat="1" applyFill="1" applyBorder="1"/>
    <xf numFmtId="0" fontId="0" fillId="4" borderId="5" xfId="0" applyFill="1" applyBorder="1"/>
    <xf numFmtId="164" fontId="0" fillId="4" borderId="5" xfId="0" applyNumberFormat="1" applyFill="1" applyBorder="1"/>
    <xf numFmtId="10" fontId="0" fillId="3" borderId="0" xfId="0" applyNumberFormat="1" applyFill="1"/>
    <xf numFmtId="10" fontId="0" fillId="3" borderId="0" xfId="1" applyNumberFormat="1" applyFont="1" applyFill="1"/>
    <xf numFmtId="0" fontId="2" fillId="0" borderId="0" xfId="0" applyFont="1"/>
    <xf numFmtId="165" fontId="0" fillId="0" borderId="0" xfId="1" applyNumberFormat="1" applyFont="1"/>
    <xf numFmtId="10" fontId="0" fillId="0" borderId="0" xfId="1" applyNumberFormat="1" applyFont="1"/>
    <xf numFmtId="14" fontId="0" fillId="0" borderId="0" xfId="0" applyNumberFormat="1"/>
    <xf numFmtId="2" fontId="0" fillId="0" borderId="0" xfId="0" applyNumberFormat="1"/>
    <xf numFmtId="0" fontId="0" fillId="7" borderId="0" xfId="0" applyFill="1"/>
    <xf numFmtId="10" fontId="0" fillId="0" borderId="0" xfId="0" applyNumberFormat="1"/>
    <xf numFmtId="0" fontId="0" fillId="8" borderId="0" xfId="0" applyFill="1"/>
    <xf numFmtId="166" fontId="0" fillId="0" borderId="0" xfId="0" applyNumberFormat="1"/>
    <xf numFmtId="167" fontId="0" fillId="0" borderId="0" xfId="0" applyNumberFormat="1"/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0" fillId="0" borderId="7" xfId="0" applyNumberFormat="1" applyBorder="1"/>
    <xf numFmtId="14" fontId="0" fillId="0" borderId="9" xfId="0" applyNumberFormat="1" applyBorder="1" applyAlignment="1">
      <alignment horizontal="right"/>
    </xf>
    <xf numFmtId="0" fontId="5" fillId="2" borderId="0" xfId="0" applyFont="1" applyFill="1"/>
    <xf numFmtId="168" fontId="0" fillId="0" borderId="0" xfId="0" applyNumberFormat="1"/>
    <xf numFmtId="14" fontId="5" fillId="2" borderId="0" xfId="0" applyNumberFormat="1" applyFont="1" applyFill="1"/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Evolution of Loss Function with respec to iterations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ChartSheet!$A$1</c:f>
              <c:strCache>
                <c:ptCount val="1"/>
                <c:pt idx="0">
                  <c:v>Loss Function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ChartSheet!$A$2:$A$21</c:f>
              <c:numCache>
                <c:formatCode>General</c:formatCode>
                <c:ptCount val="20"/>
                <c:pt idx="0">
                  <c:v>4.2259047947210859E-4</c:v>
                </c:pt>
                <c:pt idx="1">
                  <c:v>4.2238736143670948E-4</c:v>
                </c:pt>
                <c:pt idx="2">
                  <c:v>4.2218672505741451E-4</c:v>
                </c:pt>
                <c:pt idx="3">
                  <c:v>4.2198866321957549E-4</c:v>
                </c:pt>
                <c:pt idx="4">
                  <c:v>4.2179314224440181E-4</c:v>
                </c:pt>
                <c:pt idx="5">
                  <c:v>4.2160012868338003E-4</c:v>
                </c:pt>
                <c:pt idx="6">
                  <c:v>4.2140958972432686E-4</c:v>
                </c:pt>
                <c:pt idx="7">
                  <c:v>4.2122149283497866E-4</c:v>
                </c:pt>
                <c:pt idx="8">
                  <c:v>4.2103580611564282E-4</c:v>
                </c:pt>
                <c:pt idx="9">
                  <c:v>4.2085249780145646E-4</c:v>
                </c:pt>
                <c:pt idx="10">
                  <c:v>4.2067153689827959E-4</c:v>
                </c:pt>
                <c:pt idx="11">
                  <c:v>4.2049289261434074E-4</c:v>
                </c:pt>
                <c:pt idx="12">
                  <c:v>4.2031653464195306E-4</c:v>
                </c:pt>
                <c:pt idx="13">
                  <c:v>4.201424332972983E-4</c:v>
                </c:pt>
                <c:pt idx="14">
                  <c:v>4.1997055881146686E-4</c:v>
                </c:pt>
                <c:pt idx="15">
                  <c:v>4.1980088217795261E-4</c:v>
                </c:pt>
                <c:pt idx="16">
                  <c:v>4.196333747266412E-4</c:v>
                </c:pt>
                <c:pt idx="17">
                  <c:v>4.194680081224613E-4</c:v>
                </c:pt>
                <c:pt idx="18">
                  <c:v>4.1930475464659902E-4</c:v>
                </c:pt>
                <c:pt idx="19">
                  <c:v>4.1914358662990543E-4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47-4A69-A38A-EE1280A5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317856"/>
        <c:axId val="1887339488"/>
      </c:scatterChart>
      <c:valAx>
        <c:axId val="188731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7339488"/>
        <c:crosses val="autoZero"/>
        <c:crossBetween val="midCat"/>
      </c:valAx>
      <c:valAx>
        <c:axId val="188733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Loss Function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731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171450</xdr:rowOff>
        </xdr:from>
        <xdr:to>
          <xdr:col>5</xdr:col>
          <xdr:colOff>19050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Implement Perceptron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0</xdr:row>
          <xdr:rowOff>133350</xdr:rowOff>
        </xdr:from>
        <xdr:to>
          <xdr:col>7</xdr:col>
          <xdr:colOff>161925</xdr:colOff>
          <xdr:row>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Loss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2</xdr:row>
          <xdr:rowOff>180975</xdr:rowOff>
        </xdr:from>
        <xdr:to>
          <xdr:col>7</xdr:col>
          <xdr:colOff>152400</xdr:colOff>
          <xdr:row>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Confusion Matrix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5</xdr:row>
          <xdr:rowOff>66675</xdr:rowOff>
        </xdr:from>
        <xdr:to>
          <xdr:col>7</xdr:col>
          <xdr:colOff>180975</xdr:colOff>
          <xdr:row>7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Visualize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5</xdr:row>
          <xdr:rowOff>76200</xdr:rowOff>
        </xdr:from>
        <xdr:to>
          <xdr:col>5</xdr:col>
          <xdr:colOff>38100</xdr:colOff>
          <xdr:row>7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AR-GARCH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152400</xdr:rowOff>
        </xdr:from>
        <xdr:to>
          <xdr:col>5</xdr:col>
          <xdr:colOff>19050</xdr:colOff>
          <xdr:row>2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up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0</xdr:row>
          <xdr:rowOff>19050</xdr:rowOff>
        </xdr:from>
        <xdr:to>
          <xdr:col>5</xdr:col>
          <xdr:colOff>104775</xdr:colOff>
          <xdr:row>7</xdr:row>
          <xdr:rowOff>133350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Models group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19050</xdr:rowOff>
        </xdr:from>
        <xdr:to>
          <xdr:col>7</xdr:col>
          <xdr:colOff>209550</xdr:colOff>
          <xdr:row>7</xdr:row>
          <xdr:rowOff>133350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Result group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</xdr:row>
      <xdr:rowOff>176212</xdr:rowOff>
    </xdr:from>
    <xdr:to>
      <xdr:col>8</xdr:col>
      <xdr:colOff>752475</xdr:colOff>
      <xdr:row>17</xdr:row>
      <xdr:rowOff>61912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752475</xdr:colOff>
          <xdr:row>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the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12</xdr:col>
          <xdr:colOff>0</xdr:colOff>
          <xdr:row>2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the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0</xdr:rowOff>
        </xdr:from>
        <xdr:to>
          <xdr:col>10</xdr:col>
          <xdr:colOff>504825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the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0</xdr:row>
          <xdr:rowOff>0</xdr:rowOff>
        </xdr:from>
        <xdr:to>
          <xdr:col>12</xdr:col>
          <xdr:colOff>38100</xdr:colOff>
          <xdr:row>0</xdr:row>
          <xdr:rowOff>390525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the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752475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the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40157-3CB9-410C-87E2-54769A6FAA16}">
  <sheetPr codeName="Feuil7"/>
  <dimension ref="A1:F10"/>
  <sheetViews>
    <sheetView tabSelected="1" workbookViewId="0">
      <selection activeCell="B2" sqref="B2"/>
    </sheetView>
  </sheetViews>
  <sheetFormatPr baseColWidth="10" defaultRowHeight="15" x14ac:dyDescent="0.25"/>
  <cols>
    <col min="1" max="1" width="25.28515625" style="1" bestFit="1" customWidth="1"/>
    <col min="2" max="2" width="12" style="1" customWidth="1"/>
    <col min="3" max="3" width="8.140625" style="1" customWidth="1"/>
    <col min="4" max="16384" width="11.42578125" style="1"/>
  </cols>
  <sheetData>
    <row r="1" spans="1:6" ht="19.5" thickBot="1" x14ac:dyDescent="0.35">
      <c r="A1" s="32" t="s">
        <v>0</v>
      </c>
      <c r="B1" s="33"/>
    </row>
    <row r="2" spans="1:6" x14ac:dyDescent="0.25">
      <c r="A2" s="2" t="s">
        <v>1</v>
      </c>
      <c r="B2" s="3">
        <v>0.70552927655972497</v>
      </c>
    </row>
    <row r="3" spans="1:6" x14ac:dyDescent="0.25">
      <c r="A3" s="4" t="s">
        <v>2</v>
      </c>
      <c r="B3" s="5">
        <v>0.53332409280009763</v>
      </c>
    </row>
    <row r="4" spans="1:6" x14ac:dyDescent="0.25">
      <c r="A4" s="4" t="s">
        <v>3</v>
      </c>
      <c r="B4" s="5">
        <v>0.57958207317717092</v>
      </c>
    </row>
    <row r="5" spans="1:6" ht="15.75" thickBot="1" x14ac:dyDescent="0.3">
      <c r="A5" s="6" t="s">
        <v>4</v>
      </c>
      <c r="B5" s="7">
        <v>1.1856364086270332E-2</v>
      </c>
    </row>
    <row r="9" spans="1:6" x14ac:dyDescent="0.25">
      <c r="F9" s="8"/>
    </row>
    <row r="10" spans="1:6" x14ac:dyDescent="0.25">
      <c r="F10" s="9"/>
    </row>
  </sheetData>
  <mergeCells count="1">
    <mergeCell ref="A1:B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3</xdr:col>
                    <xdr:colOff>28575</xdr:colOff>
                    <xdr:row>2</xdr:row>
                    <xdr:rowOff>171450</xdr:rowOff>
                  </from>
                  <to>
                    <xdr:col>5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Chart">
                <anchor moveWithCells="1" sizeWithCells="1">
                  <from>
                    <xdr:col>5</xdr:col>
                    <xdr:colOff>171450</xdr:colOff>
                    <xdr:row>0</xdr:row>
                    <xdr:rowOff>133350</xdr:rowOff>
                  </from>
                  <to>
                    <xdr:col>7</xdr:col>
                    <xdr:colOff>161925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ctivatePredictionSheet">
                <anchor moveWithCells="1" sizeWithCells="1">
                  <from>
                    <xdr:col>5</xdr:col>
                    <xdr:colOff>161925</xdr:colOff>
                    <xdr:row>2</xdr:row>
                    <xdr:rowOff>180975</xdr:rowOff>
                  </from>
                  <to>
                    <xdr:col>7</xdr:col>
                    <xdr:colOff>152400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ateSettingSheet">
                <anchor moveWithCells="1" sizeWithCells="1">
                  <from>
                    <xdr:col>5</xdr:col>
                    <xdr:colOff>171450</xdr:colOff>
                    <xdr:row>5</xdr:row>
                    <xdr:rowOff>66675</xdr:rowOff>
                  </from>
                  <to>
                    <xdr:col>7</xdr:col>
                    <xdr:colOff>180975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ateARGARCHSheet">
                <anchor moveWithCells="1" sizeWithCells="1">
                  <from>
                    <xdr:col>3</xdr:col>
                    <xdr:colOff>28575</xdr:colOff>
                    <xdr:row>5</xdr:row>
                    <xdr:rowOff>76200</xdr:rowOff>
                  </from>
                  <to>
                    <xdr:col>5</xdr:col>
                    <xdr:colOff>38100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etupParam">
                <anchor moveWithCells="1" sizeWithCells="1">
                  <from>
                    <xdr:col>3</xdr:col>
                    <xdr:colOff>28575</xdr:colOff>
                    <xdr:row>0</xdr:row>
                    <xdr:rowOff>152400</xdr:rowOff>
                  </from>
                  <to>
                    <xdr:col>5</xdr:col>
                    <xdr:colOff>19050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Group Box 7">
              <controlPr defaultSize="0" autoFill="0" autoPict="0">
                <anchor moveWithCells="1">
                  <from>
                    <xdr:col>2</xdr:col>
                    <xdr:colOff>466725</xdr:colOff>
                    <xdr:row>0</xdr:row>
                    <xdr:rowOff>19050</xdr:rowOff>
                  </from>
                  <to>
                    <xdr:col>5</xdr:col>
                    <xdr:colOff>104775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Group Box 8">
              <controlPr defaultSize="0" autoFill="0" autoPict="0">
                <anchor moveWithCells="1">
                  <from>
                    <xdr:col>5</xdr:col>
                    <xdr:colOff>114300</xdr:colOff>
                    <xdr:row>0</xdr:row>
                    <xdr:rowOff>19050</xdr:rowOff>
                  </from>
                  <to>
                    <xdr:col>7</xdr:col>
                    <xdr:colOff>209550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4CC2A-A932-4019-A298-F15A6DBEE564}">
  <sheetPr codeName="Feuil3"/>
  <dimension ref="A1:A21"/>
  <sheetViews>
    <sheetView workbookViewId="0">
      <selection activeCell="A12" sqref="A12"/>
    </sheetView>
  </sheetViews>
  <sheetFormatPr baseColWidth="10" defaultRowHeight="15" x14ac:dyDescent="0.25"/>
  <cols>
    <col min="1" max="1" width="12.85546875" bestFit="1" customWidth="1"/>
  </cols>
  <sheetData>
    <row r="1" spans="1:1" x14ac:dyDescent="0.25">
      <c r="A1" s="10" t="s">
        <v>5</v>
      </c>
    </row>
    <row r="2" spans="1:1" x14ac:dyDescent="0.25">
      <c r="A2">
        <v>4.2259047947210859E-4</v>
      </c>
    </row>
    <row r="3" spans="1:1" x14ac:dyDescent="0.25">
      <c r="A3">
        <v>4.2238736143670948E-4</v>
      </c>
    </row>
    <row r="4" spans="1:1" x14ac:dyDescent="0.25">
      <c r="A4">
        <v>4.2218672505741451E-4</v>
      </c>
    </row>
    <row r="5" spans="1:1" x14ac:dyDescent="0.25">
      <c r="A5">
        <v>4.2198866321957549E-4</v>
      </c>
    </row>
    <row r="6" spans="1:1" x14ac:dyDescent="0.25">
      <c r="A6">
        <v>4.2179314224440181E-4</v>
      </c>
    </row>
    <row r="7" spans="1:1" x14ac:dyDescent="0.25">
      <c r="A7">
        <v>4.2160012868338003E-4</v>
      </c>
    </row>
    <row r="8" spans="1:1" x14ac:dyDescent="0.25">
      <c r="A8">
        <v>4.2140958972432686E-4</v>
      </c>
    </row>
    <row r="9" spans="1:1" x14ac:dyDescent="0.25">
      <c r="A9">
        <v>4.2122149283497866E-4</v>
      </c>
    </row>
    <row r="10" spans="1:1" x14ac:dyDescent="0.25">
      <c r="A10">
        <v>4.2103580611564282E-4</v>
      </c>
    </row>
    <row r="11" spans="1:1" x14ac:dyDescent="0.25">
      <c r="A11">
        <v>4.2085249780145646E-4</v>
      </c>
    </row>
    <row r="12" spans="1:1" x14ac:dyDescent="0.25">
      <c r="A12">
        <v>4.2067153689827959E-4</v>
      </c>
    </row>
    <row r="13" spans="1:1" x14ac:dyDescent="0.25">
      <c r="A13">
        <v>4.2049289261434074E-4</v>
      </c>
    </row>
    <row r="14" spans="1:1" x14ac:dyDescent="0.25">
      <c r="A14">
        <v>4.2031653464195306E-4</v>
      </c>
    </row>
    <row r="15" spans="1:1" x14ac:dyDescent="0.25">
      <c r="A15">
        <v>4.201424332972983E-4</v>
      </c>
    </row>
    <row r="16" spans="1:1" x14ac:dyDescent="0.25">
      <c r="A16">
        <v>4.1997055881146686E-4</v>
      </c>
    </row>
    <row r="17" spans="1:1" x14ac:dyDescent="0.25">
      <c r="A17">
        <v>4.1980088217795261E-4</v>
      </c>
    </row>
    <row r="18" spans="1:1" x14ac:dyDescent="0.25">
      <c r="A18">
        <v>4.196333747266412E-4</v>
      </c>
    </row>
    <row r="19" spans="1:1" x14ac:dyDescent="0.25">
      <c r="A19">
        <v>4.194680081224613E-4</v>
      </c>
    </row>
    <row r="20" spans="1:1" x14ac:dyDescent="0.25">
      <c r="A20">
        <v>4.1930475464659902E-4</v>
      </c>
    </row>
    <row r="21" spans="1:1" x14ac:dyDescent="0.25">
      <c r="A21">
        <v>4.1914358662990543E-4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ctivateMenuSheet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752475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359E-14A0-4715-8C72-FE69D14E024F}">
  <sheetPr codeName="Feuil4"/>
  <dimension ref="A1:Q24"/>
  <sheetViews>
    <sheetView workbookViewId="0">
      <selection activeCell="K7" sqref="K7"/>
    </sheetView>
  </sheetViews>
  <sheetFormatPr baseColWidth="10" defaultRowHeight="15" x14ac:dyDescent="0.25"/>
  <cols>
    <col min="5" max="5" width="12.42578125" bestFit="1" customWidth="1"/>
    <col min="6" max="9" width="2" hidden="1" customWidth="1"/>
    <col min="10" max="10" width="7" customWidth="1"/>
  </cols>
  <sheetData>
    <row r="1" spans="1:17" ht="15.75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N1" s="34" t="s">
        <v>11</v>
      </c>
      <c r="O1" s="34"/>
      <c r="P1" s="34"/>
      <c r="Q1" s="34"/>
    </row>
    <row r="2" spans="1:17" x14ac:dyDescent="0.25">
      <c r="A2">
        <v>-1.6207330562395816E-3</v>
      </c>
      <c r="B2">
        <v>-4.8482502930370583E-3</v>
      </c>
      <c r="C2">
        <v>1.6067841805578954E-3</v>
      </c>
      <c r="D2">
        <v>0</v>
      </c>
      <c r="E2">
        <v>1</v>
      </c>
      <c r="F2">
        <f>IF(AND(D2=1,E2=1),1,0)</f>
        <v>0</v>
      </c>
      <c r="G2">
        <f>IF(AND(E2=1,D2=0),1,0)</f>
        <v>1</v>
      </c>
      <c r="H2">
        <f>IF(AND(E2=0,D2=1),1,0)</f>
        <v>0</v>
      </c>
      <c r="I2">
        <f>IF(AND(D2=0,E2=0),1,0)</f>
        <v>0</v>
      </c>
      <c r="P2" s="35" t="s">
        <v>12</v>
      </c>
      <c r="Q2" s="35"/>
    </row>
    <row r="3" spans="1:17" x14ac:dyDescent="0.25">
      <c r="A3">
        <v>-7.7069640217264368E-4</v>
      </c>
      <c r="B3">
        <v>-3.9982136389701203E-3</v>
      </c>
      <c r="C3">
        <v>2.4568208346248334E-3</v>
      </c>
      <c r="D3">
        <v>0</v>
      </c>
      <c r="E3">
        <v>1</v>
      </c>
      <c r="F3">
        <f t="shared" ref="F3:F24" si="0">IF(AND(D3=1,E3=1),1,0)</f>
        <v>0</v>
      </c>
      <c r="G3">
        <f t="shared" ref="G3:G24" si="1">IF(AND(E3=1,D3=0),1,0)</f>
        <v>1</v>
      </c>
      <c r="H3">
        <f t="shared" ref="H3:H24" si="2">IF(AND(E3=0,D3=1),1,0)</f>
        <v>0</v>
      </c>
      <c r="I3">
        <f t="shared" ref="I3:I24" si="3">IF(AND(D3=0,E3=0),1,0)</f>
        <v>0</v>
      </c>
      <c r="P3" s="10">
        <v>1</v>
      </c>
      <c r="Q3" s="10">
        <v>0</v>
      </c>
    </row>
    <row r="4" spans="1:17" x14ac:dyDescent="0.25">
      <c r="A4">
        <v>-1.5416926850283397E-3</v>
      </c>
      <c r="B4">
        <v>-4.769209921825817E-3</v>
      </c>
      <c r="C4">
        <v>1.6858245517691374E-3</v>
      </c>
      <c r="D4">
        <v>0</v>
      </c>
      <c r="E4">
        <v>1</v>
      </c>
      <c r="F4">
        <f t="shared" si="0"/>
        <v>0</v>
      </c>
      <c r="G4">
        <f t="shared" si="1"/>
        <v>1</v>
      </c>
      <c r="H4">
        <f t="shared" si="2"/>
        <v>0</v>
      </c>
      <c r="I4">
        <f t="shared" si="3"/>
        <v>0</v>
      </c>
      <c r="N4" s="36" t="s">
        <v>13</v>
      </c>
      <c r="O4" s="10">
        <v>1</v>
      </c>
      <c r="P4">
        <f>SUM(F2:F24)</f>
        <v>10</v>
      </c>
      <c r="Q4">
        <f>SUM(G2:G24)</f>
        <v>13</v>
      </c>
    </row>
    <row r="5" spans="1:17" x14ac:dyDescent="0.25">
      <c r="A5">
        <v>-1.2578389152328394E-3</v>
      </c>
      <c r="B5">
        <v>-4.4853561520303165E-3</v>
      </c>
      <c r="C5">
        <v>1.9696783215646376E-3</v>
      </c>
      <c r="D5">
        <v>0</v>
      </c>
      <c r="E5">
        <v>1</v>
      </c>
      <c r="F5">
        <f t="shared" si="0"/>
        <v>0</v>
      </c>
      <c r="G5">
        <f t="shared" si="1"/>
        <v>1</v>
      </c>
      <c r="H5">
        <f t="shared" si="2"/>
        <v>0</v>
      </c>
      <c r="I5">
        <f t="shared" si="3"/>
        <v>0</v>
      </c>
      <c r="N5" s="36"/>
      <c r="O5" s="10">
        <v>0</v>
      </c>
      <c r="P5">
        <f>SUM(H2:H24)</f>
        <v>0</v>
      </c>
      <c r="Q5">
        <f>SUM(I2:I24)</f>
        <v>0</v>
      </c>
    </row>
    <row r="6" spans="1:17" x14ac:dyDescent="0.25">
      <c r="A6">
        <v>-6.580141182959742E-4</v>
      </c>
      <c r="B6">
        <v>-3.8855313550934514E-3</v>
      </c>
      <c r="C6">
        <v>2.5695031185015028E-3</v>
      </c>
      <c r="D6">
        <v>1</v>
      </c>
      <c r="E6">
        <v>1</v>
      </c>
      <c r="F6">
        <f t="shared" si="0"/>
        <v>1</v>
      </c>
      <c r="G6">
        <f t="shared" si="1"/>
        <v>0</v>
      </c>
      <c r="H6">
        <f t="shared" si="2"/>
        <v>0</v>
      </c>
      <c r="I6">
        <f t="shared" si="3"/>
        <v>0</v>
      </c>
    </row>
    <row r="7" spans="1:17" x14ac:dyDescent="0.25">
      <c r="A7">
        <v>1.5000231362735094E-4</v>
      </c>
      <c r="B7">
        <v>-3.0775149231701262E-3</v>
      </c>
      <c r="C7">
        <v>3.3775195504248279E-3</v>
      </c>
      <c r="D7">
        <v>1</v>
      </c>
      <c r="E7">
        <v>1</v>
      </c>
      <c r="F7">
        <f t="shared" si="0"/>
        <v>1</v>
      </c>
      <c r="G7">
        <f t="shared" si="1"/>
        <v>0</v>
      </c>
      <c r="H7">
        <f t="shared" si="2"/>
        <v>0</v>
      </c>
      <c r="I7">
        <f t="shared" si="3"/>
        <v>0</v>
      </c>
    </row>
    <row r="8" spans="1:17" x14ac:dyDescent="0.25">
      <c r="A8">
        <v>-1.4187096849225035E-3</v>
      </c>
      <c r="B8">
        <v>-4.6462269217199806E-3</v>
      </c>
      <c r="C8">
        <v>1.8088075518749736E-3</v>
      </c>
      <c r="D8">
        <v>0</v>
      </c>
      <c r="E8">
        <v>1</v>
      </c>
      <c r="F8">
        <f t="shared" si="0"/>
        <v>0</v>
      </c>
      <c r="G8">
        <f t="shared" si="1"/>
        <v>1</v>
      </c>
      <c r="H8">
        <f t="shared" si="2"/>
        <v>0</v>
      </c>
      <c r="I8">
        <f t="shared" si="3"/>
        <v>0</v>
      </c>
    </row>
    <row r="9" spans="1:17" x14ac:dyDescent="0.25">
      <c r="A9">
        <v>-1.1335693678292014E-3</v>
      </c>
      <c r="B9">
        <v>-4.3610866046266787E-3</v>
      </c>
      <c r="C9">
        <v>2.0939478689682755E-3</v>
      </c>
      <c r="D9">
        <v>0</v>
      </c>
      <c r="E9">
        <v>1</v>
      </c>
      <c r="F9">
        <f t="shared" si="0"/>
        <v>0</v>
      </c>
      <c r="G9">
        <f t="shared" si="1"/>
        <v>1</v>
      </c>
      <c r="H9">
        <f t="shared" si="2"/>
        <v>0</v>
      </c>
      <c r="I9">
        <f t="shared" si="3"/>
        <v>0</v>
      </c>
    </row>
    <row r="10" spans="1:17" x14ac:dyDescent="0.25">
      <c r="A10">
        <v>-4.6558190348124361E-4</v>
      </c>
      <c r="B10">
        <v>-3.6930991402787205E-3</v>
      </c>
      <c r="C10">
        <v>2.7619353333162336E-3</v>
      </c>
      <c r="D10">
        <v>0</v>
      </c>
      <c r="E10">
        <v>1</v>
      </c>
      <c r="F10">
        <f t="shared" si="0"/>
        <v>0</v>
      </c>
      <c r="G10">
        <f t="shared" si="1"/>
        <v>1</v>
      </c>
      <c r="H10">
        <f t="shared" si="2"/>
        <v>0</v>
      </c>
      <c r="I10">
        <f t="shared" si="3"/>
        <v>0</v>
      </c>
    </row>
    <row r="11" spans="1:17" x14ac:dyDescent="0.25">
      <c r="A11">
        <v>1.8116943719083511E-3</v>
      </c>
      <c r="B11">
        <v>-1.415822864889126E-3</v>
      </c>
      <c r="C11">
        <v>5.039211608705828E-3</v>
      </c>
      <c r="D11">
        <v>0</v>
      </c>
      <c r="E11">
        <v>1</v>
      </c>
      <c r="F11">
        <f t="shared" si="0"/>
        <v>0</v>
      </c>
      <c r="G11">
        <f t="shared" si="1"/>
        <v>1</v>
      </c>
      <c r="H11">
        <f t="shared" si="2"/>
        <v>0</v>
      </c>
      <c r="I11">
        <f t="shared" si="3"/>
        <v>0</v>
      </c>
    </row>
    <row r="12" spans="1:17" x14ac:dyDescent="0.25">
      <c r="A12">
        <v>2.3703845678983704E-3</v>
      </c>
      <c r="B12">
        <v>-8.5713266889910671E-4</v>
      </c>
      <c r="C12">
        <v>5.597901804695847E-3</v>
      </c>
      <c r="D12">
        <v>1</v>
      </c>
      <c r="E12">
        <v>1</v>
      </c>
      <c r="F12">
        <f t="shared" si="0"/>
        <v>1</v>
      </c>
      <c r="G12">
        <f t="shared" si="1"/>
        <v>0</v>
      </c>
      <c r="H12">
        <f t="shared" si="2"/>
        <v>0</v>
      </c>
      <c r="I12">
        <f t="shared" si="3"/>
        <v>0</v>
      </c>
    </row>
    <row r="13" spans="1:17" x14ac:dyDescent="0.25">
      <c r="A13">
        <v>3.9926838520063009E-3</v>
      </c>
      <c r="B13">
        <v>7.6516661520882384E-4</v>
      </c>
      <c r="C13">
        <v>7.2202010888037776E-3</v>
      </c>
      <c r="D13">
        <v>1</v>
      </c>
      <c r="E13">
        <v>1</v>
      </c>
      <c r="F13">
        <f t="shared" si="0"/>
        <v>1</v>
      </c>
      <c r="G13">
        <f t="shared" si="1"/>
        <v>0</v>
      </c>
      <c r="H13">
        <f t="shared" si="2"/>
        <v>0</v>
      </c>
      <c r="I13">
        <f t="shared" si="3"/>
        <v>0</v>
      </c>
    </row>
    <row r="14" spans="1:17" x14ac:dyDescent="0.25">
      <c r="A14">
        <v>2.5313566487789652E-3</v>
      </c>
      <c r="B14">
        <v>-6.9616058801851184E-4</v>
      </c>
      <c r="C14">
        <v>5.7588738855764423E-3</v>
      </c>
      <c r="D14">
        <v>1</v>
      </c>
      <c r="E14">
        <v>1</v>
      </c>
      <c r="F14">
        <f t="shared" si="0"/>
        <v>1</v>
      </c>
      <c r="G14">
        <f t="shared" si="1"/>
        <v>0</v>
      </c>
      <c r="H14">
        <f t="shared" si="2"/>
        <v>0</v>
      </c>
      <c r="I14">
        <f t="shared" si="3"/>
        <v>0</v>
      </c>
    </row>
    <row r="15" spans="1:17" x14ac:dyDescent="0.25">
      <c r="A15">
        <v>2.1854210821785681E-3</v>
      </c>
      <c r="B15">
        <v>-1.042096154618909E-3</v>
      </c>
      <c r="C15">
        <v>5.4129383189760452E-3</v>
      </c>
      <c r="D15">
        <v>0</v>
      </c>
      <c r="E15">
        <v>1</v>
      </c>
      <c r="F15">
        <f t="shared" si="0"/>
        <v>0</v>
      </c>
      <c r="G15">
        <f t="shared" si="1"/>
        <v>1</v>
      </c>
      <c r="H15">
        <f t="shared" si="2"/>
        <v>0</v>
      </c>
      <c r="I15">
        <f t="shared" si="3"/>
        <v>0</v>
      </c>
    </row>
    <row r="16" spans="1:17" x14ac:dyDescent="0.25">
      <c r="A16">
        <v>1.3021328793836606E-3</v>
      </c>
      <c r="B16">
        <v>-1.9253843574138165E-3</v>
      </c>
      <c r="C16">
        <v>4.5296501161811373E-3</v>
      </c>
      <c r="D16">
        <v>1</v>
      </c>
      <c r="E16">
        <v>1</v>
      </c>
      <c r="F16">
        <f t="shared" si="0"/>
        <v>1</v>
      </c>
      <c r="G16">
        <f t="shared" si="1"/>
        <v>0</v>
      </c>
      <c r="H16">
        <f t="shared" si="2"/>
        <v>0</v>
      </c>
      <c r="I16">
        <f t="shared" si="3"/>
        <v>0</v>
      </c>
    </row>
    <row r="17" spans="1:9" x14ac:dyDescent="0.25">
      <c r="A17">
        <v>2.2101554940593404E-3</v>
      </c>
      <c r="B17">
        <v>-1.0173617427381367E-3</v>
      </c>
      <c r="C17">
        <v>5.4376727308568171E-3</v>
      </c>
      <c r="D17">
        <v>0</v>
      </c>
      <c r="E17">
        <v>1</v>
      </c>
      <c r="F17">
        <f t="shared" si="0"/>
        <v>0</v>
      </c>
      <c r="G17">
        <f t="shared" si="1"/>
        <v>1</v>
      </c>
      <c r="H17">
        <f t="shared" si="2"/>
        <v>0</v>
      </c>
      <c r="I17">
        <f t="shared" si="3"/>
        <v>0</v>
      </c>
    </row>
    <row r="18" spans="1:9" x14ac:dyDescent="0.25">
      <c r="A18">
        <v>1.7805823817837352E-3</v>
      </c>
      <c r="B18">
        <v>-1.4469348550137419E-3</v>
      </c>
      <c r="C18">
        <v>5.0080996185812125E-3</v>
      </c>
      <c r="D18">
        <v>0</v>
      </c>
      <c r="E18">
        <v>1</v>
      </c>
      <c r="F18">
        <f t="shared" si="0"/>
        <v>0</v>
      </c>
      <c r="G18">
        <f t="shared" si="1"/>
        <v>1</v>
      </c>
      <c r="H18">
        <f t="shared" si="2"/>
        <v>0</v>
      </c>
      <c r="I18">
        <f t="shared" si="3"/>
        <v>0</v>
      </c>
    </row>
    <row r="19" spans="1:9" x14ac:dyDescent="0.25">
      <c r="A19">
        <v>1.7242626609447476E-3</v>
      </c>
      <c r="B19">
        <v>-1.5032545758527295E-3</v>
      </c>
      <c r="C19">
        <v>4.9517798977422242E-3</v>
      </c>
      <c r="D19">
        <v>1</v>
      </c>
      <c r="E19">
        <v>1</v>
      </c>
      <c r="F19">
        <f t="shared" si="0"/>
        <v>1</v>
      </c>
      <c r="G19">
        <f t="shared" si="1"/>
        <v>0</v>
      </c>
      <c r="H19">
        <f t="shared" si="2"/>
        <v>0</v>
      </c>
      <c r="I19">
        <f t="shared" si="3"/>
        <v>0</v>
      </c>
    </row>
    <row r="20" spans="1:9" x14ac:dyDescent="0.25">
      <c r="A20">
        <v>1.9903950192815267E-3</v>
      </c>
      <c r="B20">
        <v>-1.2371222175159504E-3</v>
      </c>
      <c r="C20">
        <v>5.2179122560790034E-3</v>
      </c>
      <c r="D20">
        <v>1</v>
      </c>
      <c r="E20">
        <v>1</v>
      </c>
      <c r="F20">
        <f t="shared" si="0"/>
        <v>1</v>
      </c>
      <c r="G20">
        <f t="shared" si="1"/>
        <v>0</v>
      </c>
      <c r="H20">
        <f t="shared" si="2"/>
        <v>0</v>
      </c>
      <c r="I20">
        <f t="shared" si="3"/>
        <v>0</v>
      </c>
    </row>
    <row r="21" spans="1:9" x14ac:dyDescent="0.25">
      <c r="A21">
        <v>1.8597498247142018E-3</v>
      </c>
      <c r="B21">
        <v>-1.3677674120832753E-3</v>
      </c>
      <c r="C21">
        <v>5.0872670615116789E-3</v>
      </c>
      <c r="D21">
        <v>1</v>
      </c>
      <c r="E21">
        <v>1</v>
      </c>
      <c r="F21">
        <f t="shared" si="0"/>
        <v>1</v>
      </c>
      <c r="G21">
        <f t="shared" si="1"/>
        <v>0</v>
      </c>
      <c r="H21">
        <f t="shared" si="2"/>
        <v>0</v>
      </c>
      <c r="I21">
        <f t="shared" si="3"/>
        <v>0</v>
      </c>
    </row>
    <row r="22" spans="1:9" x14ac:dyDescent="0.25">
      <c r="A22">
        <v>1.5329332304677978E-3</v>
      </c>
      <c r="B22">
        <v>-1.6945840063296792E-3</v>
      </c>
      <c r="C22">
        <v>4.7604504672652745E-3</v>
      </c>
      <c r="D22">
        <v>0</v>
      </c>
      <c r="E22">
        <v>1</v>
      </c>
      <c r="F22">
        <f t="shared" si="0"/>
        <v>0</v>
      </c>
      <c r="G22">
        <f t="shared" si="1"/>
        <v>1</v>
      </c>
      <c r="H22">
        <f t="shared" si="2"/>
        <v>0</v>
      </c>
      <c r="I22">
        <f t="shared" si="3"/>
        <v>0</v>
      </c>
    </row>
    <row r="23" spans="1:9" x14ac:dyDescent="0.25">
      <c r="A23">
        <v>9.5312603789447499E-4</v>
      </c>
      <c r="B23">
        <v>-2.2743911989030023E-3</v>
      </c>
      <c r="C23">
        <v>4.1806432746919519E-3</v>
      </c>
      <c r="D23">
        <v>0</v>
      </c>
      <c r="E23">
        <v>1</v>
      </c>
      <c r="F23">
        <f t="shared" si="0"/>
        <v>0</v>
      </c>
      <c r="G23">
        <f t="shared" si="1"/>
        <v>1</v>
      </c>
      <c r="H23">
        <f t="shared" si="2"/>
        <v>0</v>
      </c>
      <c r="I23">
        <f t="shared" si="3"/>
        <v>0</v>
      </c>
    </row>
    <row r="24" spans="1:9" x14ac:dyDescent="0.25">
      <c r="A24">
        <v>1.639451761237054E-3</v>
      </c>
      <c r="B24">
        <v>-1.5880654755604231E-3</v>
      </c>
      <c r="C24">
        <v>4.866968998034531E-3</v>
      </c>
      <c r="D24">
        <v>1</v>
      </c>
      <c r="E24">
        <v>1</v>
      </c>
      <c r="F24">
        <f t="shared" si="0"/>
        <v>1</v>
      </c>
      <c r="G24">
        <f t="shared" si="1"/>
        <v>0</v>
      </c>
      <c r="H24">
        <f t="shared" si="2"/>
        <v>0</v>
      </c>
      <c r="I24">
        <f t="shared" si="3"/>
        <v>0</v>
      </c>
    </row>
  </sheetData>
  <autoFilter ref="A1:H24" xr:uid="{D76C89F9-0E1A-4DB5-AFDD-91D360F8E82C}"/>
  <mergeCells count="3">
    <mergeCell ref="N1:Q1"/>
    <mergeCell ref="P2:Q2"/>
    <mergeCell ref="N4:N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ctivateMenuSheet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159E4-4EF2-4EC6-AF67-9472CF5667A3}">
  <sheetPr codeName="Feuil6"/>
  <dimension ref="A1:M1763"/>
  <sheetViews>
    <sheetView topLeftCell="D1" workbookViewId="0">
      <selection activeCell="J16" sqref="J16"/>
    </sheetView>
  </sheetViews>
  <sheetFormatPr baseColWidth="10" defaultRowHeight="15" x14ac:dyDescent="0.25"/>
  <cols>
    <col min="3" max="3" width="16" bestFit="1" customWidth="1"/>
    <col min="4" max="5" width="17.85546875" bestFit="1" customWidth="1"/>
    <col min="6" max="6" width="12" bestFit="1" customWidth="1"/>
    <col min="8" max="8" width="14.85546875" bestFit="1" customWidth="1"/>
    <col min="9" max="9" width="5.140625" customWidth="1"/>
    <col min="10" max="10" width="10.85546875" bestFit="1" customWidth="1"/>
    <col min="12" max="12" width="17.85546875" bestFit="1" customWidth="1"/>
  </cols>
  <sheetData>
    <row r="1" spans="1:13" ht="31.5" x14ac:dyDescent="0.25">
      <c r="A1" s="21" t="s">
        <v>28</v>
      </c>
      <c r="B1" s="21" t="s">
        <v>27</v>
      </c>
      <c r="C1" s="21" t="s">
        <v>26</v>
      </c>
      <c r="D1" s="21" t="s">
        <v>25</v>
      </c>
      <c r="E1" s="22" t="s">
        <v>24</v>
      </c>
      <c r="F1" s="21" t="s">
        <v>23</v>
      </c>
      <c r="G1" s="21" t="s">
        <v>22</v>
      </c>
      <c r="H1" s="21" t="s">
        <v>21</v>
      </c>
    </row>
    <row r="2" spans="1:13" ht="15.75" x14ac:dyDescent="0.25">
      <c r="A2" s="13">
        <v>40269</v>
      </c>
      <c r="B2">
        <v>283.33846790000001</v>
      </c>
      <c r="C2" s="12">
        <v>2.962299185961248E-3</v>
      </c>
      <c r="J2" s="20"/>
      <c r="L2" s="17" t="s">
        <v>21</v>
      </c>
      <c r="M2" s="14">
        <f>SUM(H5:H1659)</f>
        <v>4530.1844656336807</v>
      </c>
    </row>
    <row r="3" spans="1:13" x14ac:dyDescent="0.25">
      <c r="A3" s="13">
        <v>40273</v>
      </c>
      <c r="B3">
        <v>284.43933060000001</v>
      </c>
      <c r="C3" s="12">
        <v>3.8853273548036249E-3</v>
      </c>
      <c r="D3" s="12"/>
      <c r="E3" s="12"/>
      <c r="L3" s="17" t="s">
        <v>20</v>
      </c>
      <c r="M3" s="14">
        <f>_xlfn.VAR.S(G5:G1659)</f>
        <v>0.99835432918968814</v>
      </c>
    </row>
    <row r="4" spans="1:13" x14ac:dyDescent="0.25">
      <c r="A4" s="13">
        <v>40274</v>
      </c>
      <c r="B4">
        <v>283.0495578</v>
      </c>
      <c r="C4" s="12">
        <v>-4.8860078424048936E-3</v>
      </c>
      <c r="D4" s="12"/>
      <c r="E4" s="12"/>
      <c r="J4" s="17" t="s">
        <v>19</v>
      </c>
      <c r="K4" s="19">
        <v>7.8953601891355795E-5</v>
      </c>
    </row>
    <row r="5" spans="1:13" x14ac:dyDescent="0.25">
      <c r="A5" s="13">
        <v>40275</v>
      </c>
      <c r="B5">
        <v>280.71828549999998</v>
      </c>
      <c r="C5" s="12">
        <v>-8.2362690057522503E-3</v>
      </c>
      <c r="D5" s="12">
        <f>+C4*$K$11+C3*$K$10</f>
        <v>-6.3914099695056977E-5</v>
      </c>
      <c r="E5" s="11">
        <f>C5-D5</f>
        <v>-8.1723549060571925E-3</v>
      </c>
      <c r="F5" s="18">
        <f>SQRT(K4)</f>
        <v>8.8855839364307288E-3</v>
      </c>
      <c r="G5">
        <f>E5/F5</f>
        <v>-0.91973188982557352</v>
      </c>
      <c r="H5">
        <f>1/2*(-LN(PI()*2)-2*LN(F5)-(E5/F5)^2)</f>
        <v>3.3814331901477015</v>
      </c>
    </row>
    <row r="6" spans="1:13" x14ac:dyDescent="0.25">
      <c r="A6" s="13">
        <v>40276</v>
      </c>
      <c r="B6">
        <v>282.68590929999999</v>
      </c>
      <c r="C6" s="12">
        <v>7.00924699826877E-3</v>
      </c>
      <c r="D6" s="12">
        <f t="shared" ref="D6:D69" si="0">+C5*$K$11+C4*$K$10</f>
        <v>-1.3712778786537569E-4</v>
      </c>
      <c r="E6" s="11">
        <f t="shared" ref="E6:E69" si="1">C6-D6</f>
        <v>7.1463747861341452E-3</v>
      </c>
      <c r="F6">
        <f>SQRT($K$6+$K$7*G5^2+$K$8*F5^2)</f>
        <v>1.5472638280454391E-2</v>
      </c>
      <c r="G6">
        <f t="shared" ref="G6:G69" si="2">E6/F6</f>
        <v>0.46187176721902107</v>
      </c>
      <c r="H6">
        <f t="shared" ref="H6:H69" si="3">1/2*(-LN(PI()*2)-2*LN(F6)-(E6/F6)^2)</f>
        <v>3.143080789333093</v>
      </c>
      <c r="J6" s="17" t="s">
        <v>18</v>
      </c>
      <c r="K6">
        <v>1.7997268365413103E-4</v>
      </c>
    </row>
    <row r="7" spans="1:13" x14ac:dyDescent="0.25">
      <c r="A7" s="13">
        <v>40277</v>
      </c>
      <c r="B7">
        <v>282.0532791</v>
      </c>
      <c r="C7" s="12">
        <v>-2.2379261901187553E-3</v>
      </c>
      <c r="D7" s="12">
        <f t="shared" si="0"/>
        <v>8.484560665942985E-5</v>
      </c>
      <c r="E7" s="11">
        <f t="shared" si="1"/>
        <v>-2.322771796778185E-3</v>
      </c>
      <c r="F7">
        <f t="shared" ref="F7:F70" si="4">SQRT($K$6+$K$7*G6^2+$K$8*F6^2)</f>
        <v>1.4699110132645033E-2</v>
      </c>
      <c r="G7">
        <f t="shared" si="2"/>
        <v>-0.15802125270288137</v>
      </c>
      <c r="H7">
        <f t="shared" si="3"/>
        <v>3.2885444308664238</v>
      </c>
      <c r="J7" s="17" t="s">
        <v>17</v>
      </c>
      <c r="K7">
        <v>6.1281667279376771E-5</v>
      </c>
    </row>
    <row r="8" spans="1:13" x14ac:dyDescent="0.25">
      <c r="A8" s="13">
        <v>40280</v>
      </c>
      <c r="B8">
        <v>285.29614350000003</v>
      </c>
      <c r="C8" s="12">
        <v>1.1497346920935181E-2</v>
      </c>
      <c r="D8" s="12">
        <f t="shared" si="0"/>
        <v>-1.5834343057146673E-5</v>
      </c>
      <c r="E8" s="11">
        <f t="shared" si="1"/>
        <v>1.1513181263992327E-2</v>
      </c>
      <c r="F8">
        <f t="shared" si="4"/>
        <v>1.4222417496576194E-2</v>
      </c>
      <c r="G8">
        <f t="shared" si="2"/>
        <v>0.80950944287523063</v>
      </c>
      <c r="H8">
        <f t="shared" si="3"/>
        <v>3.006344560008229</v>
      </c>
      <c r="J8" s="17" t="s">
        <v>16</v>
      </c>
      <c r="K8">
        <v>9.6148567896436374E-2</v>
      </c>
      <c r="L8" s="16"/>
    </row>
    <row r="9" spans="1:13" x14ac:dyDescent="0.25">
      <c r="A9" s="13">
        <v>40281</v>
      </c>
      <c r="B9">
        <v>292.28993009999999</v>
      </c>
      <c r="C9" s="12">
        <v>2.4514129473327317E-2</v>
      </c>
      <c r="D9" s="12">
        <f t="shared" si="0"/>
        <v>1.6814222548460563E-4</v>
      </c>
      <c r="E9" s="11">
        <f t="shared" si="1"/>
        <v>2.4345987247842711E-2</v>
      </c>
      <c r="F9">
        <f t="shared" si="4"/>
        <v>1.5478357755444977E-2</v>
      </c>
      <c r="G9">
        <f t="shared" si="2"/>
        <v>1.5729050608924116</v>
      </c>
      <c r="H9">
        <f t="shared" si="3"/>
        <v>2.0123588061026978</v>
      </c>
    </row>
    <row r="10" spans="1:13" x14ac:dyDescent="0.25">
      <c r="A10" s="13">
        <v>40282</v>
      </c>
      <c r="B10">
        <v>293.4007719</v>
      </c>
      <c r="C10" s="12">
        <v>3.800479200976703E-3</v>
      </c>
      <c r="D10" s="12">
        <f t="shared" si="0"/>
        <v>4.0031608147545833E-4</v>
      </c>
      <c r="E10" s="11">
        <f t="shared" si="1"/>
        <v>3.4001631195012447E-3</v>
      </c>
      <c r="F10">
        <f t="shared" si="4"/>
        <v>1.8831373255508824E-2</v>
      </c>
      <c r="G10">
        <f t="shared" si="2"/>
        <v>0.18055842626912938</v>
      </c>
      <c r="H10">
        <f t="shared" si="3"/>
        <v>3.0369918039896926</v>
      </c>
      <c r="J10" s="15" t="s">
        <v>15</v>
      </c>
      <c r="K10">
        <v>2.5699711247818761E-3</v>
      </c>
    </row>
    <row r="11" spans="1:13" x14ac:dyDescent="0.25">
      <c r="A11" s="13">
        <v>40283</v>
      </c>
      <c r="B11">
        <v>296.53902140000002</v>
      </c>
      <c r="C11" s="12">
        <v>1.0696118758234396E-2</v>
      </c>
      <c r="D11" s="12">
        <f t="shared" si="0"/>
        <v>1.2048161621053204E-4</v>
      </c>
      <c r="E11" s="11">
        <f t="shared" si="1"/>
        <v>1.0575637142023864E-2</v>
      </c>
      <c r="F11">
        <f t="shared" si="4"/>
        <v>1.4699211308192569E-2</v>
      </c>
      <c r="G11">
        <f t="shared" si="2"/>
        <v>0.71946969944772199</v>
      </c>
      <c r="H11">
        <f t="shared" si="3"/>
        <v>3.0422045817243299</v>
      </c>
      <c r="J11" s="15" t="s">
        <v>14</v>
      </c>
      <c r="K11">
        <v>1.5124674620017436E-2</v>
      </c>
    </row>
    <row r="12" spans="1:13" x14ac:dyDescent="0.25">
      <c r="A12" s="13">
        <v>40284</v>
      </c>
      <c r="B12">
        <v>274.04826029999998</v>
      </c>
      <c r="C12" s="12">
        <v>-7.5844187364678572E-2</v>
      </c>
      <c r="D12" s="12">
        <f t="shared" si="0"/>
        <v>1.7154243772220441E-4</v>
      </c>
      <c r="E12" s="11">
        <f t="shared" si="1"/>
        <v>-7.6015729802400775E-2</v>
      </c>
      <c r="F12">
        <f t="shared" si="4"/>
        <v>1.5246928712442149E-2</v>
      </c>
      <c r="G12">
        <f t="shared" si="2"/>
        <v>-4.9856421077360107</v>
      </c>
      <c r="H12">
        <f t="shared" si="3"/>
        <v>-9.1638749543028304</v>
      </c>
    </row>
    <row r="13" spans="1:13" x14ac:dyDescent="0.25">
      <c r="A13" s="13">
        <v>40287</v>
      </c>
      <c r="B13">
        <v>274.02335820000002</v>
      </c>
      <c r="C13" s="12">
        <v>-9.0867571911235068E-5</v>
      </c>
      <c r="D13" s="12">
        <f t="shared" si="0"/>
        <v>-1.1196299393545009E-3</v>
      </c>
      <c r="E13" s="11">
        <f t="shared" si="1"/>
        <v>1.0287623674432658E-3</v>
      </c>
      <c r="F13">
        <f t="shared" si="4"/>
        <v>4.154009856287226E-2</v>
      </c>
      <c r="G13">
        <f t="shared" si="2"/>
        <v>2.4765525432882671E-2</v>
      </c>
      <c r="H13">
        <f t="shared" si="3"/>
        <v>2.2618508889853208</v>
      </c>
    </row>
    <row r="14" spans="1:13" x14ac:dyDescent="0.25">
      <c r="A14" s="13">
        <v>40288</v>
      </c>
      <c r="B14">
        <v>276.48414700000001</v>
      </c>
      <c r="C14" s="12">
        <v>8.9802154683613633E-3</v>
      </c>
      <c r="D14" s="12">
        <f t="shared" si="0"/>
        <v>-1.9629171396843881E-4</v>
      </c>
      <c r="E14" s="11">
        <f t="shared" si="1"/>
        <v>9.1765071823298027E-3</v>
      </c>
      <c r="F14">
        <f t="shared" si="4"/>
        <v>1.8598986399315221E-2</v>
      </c>
      <c r="G14">
        <f t="shared" si="2"/>
        <v>0.49338748818417677</v>
      </c>
      <c r="H14">
        <f t="shared" si="3"/>
        <v>2.9439940544553229</v>
      </c>
    </row>
    <row r="15" spans="1:13" x14ac:dyDescent="0.25">
      <c r="A15" s="13">
        <v>40289</v>
      </c>
      <c r="B15">
        <v>276.11552469999998</v>
      </c>
      <c r="C15" s="12">
        <v>-1.3332493164609494E-3</v>
      </c>
      <c r="D15" s="12">
        <f t="shared" si="0"/>
        <v>1.3558930994062219E-4</v>
      </c>
      <c r="E15" s="11">
        <f t="shared" si="1"/>
        <v>-1.4688386264015715E-3</v>
      </c>
      <c r="F15">
        <f t="shared" si="4"/>
        <v>1.5104651189637733E-2</v>
      </c>
      <c r="G15">
        <f t="shared" si="2"/>
        <v>-9.7244127518101256E-2</v>
      </c>
      <c r="H15">
        <f t="shared" si="3"/>
        <v>3.2690858134145921</v>
      </c>
    </row>
    <row r="16" spans="1:13" x14ac:dyDescent="0.25">
      <c r="A16" s="13">
        <v>40290</v>
      </c>
      <c r="B16">
        <v>272.50904270000001</v>
      </c>
      <c r="C16" s="12">
        <v>-1.3061496646805448E-2</v>
      </c>
      <c r="D16" s="12">
        <f t="shared" si="0"/>
        <v>2.9139323491757395E-6</v>
      </c>
      <c r="E16" s="11">
        <f t="shared" si="1"/>
        <v>-1.3064410579154624E-2</v>
      </c>
      <c r="F16">
        <f t="shared" si="4"/>
        <v>1.4229846503131714E-2</v>
      </c>
      <c r="G16">
        <f t="shared" si="2"/>
        <v>-0.91809919216482061</v>
      </c>
      <c r="H16">
        <f t="shared" si="3"/>
        <v>2.9120220572565265</v>
      </c>
      <c r="J16" s="14"/>
    </row>
    <row r="17" spans="1:8" x14ac:dyDescent="0.25">
      <c r="A17" s="13">
        <v>40291</v>
      </c>
      <c r="B17">
        <v>271.47791310000002</v>
      </c>
      <c r="C17" s="12">
        <v>-3.7838362712063756E-3</v>
      </c>
      <c r="D17" s="12">
        <f t="shared" si="0"/>
        <v>-2.00977299078821E-4</v>
      </c>
      <c r="E17" s="11">
        <f t="shared" si="1"/>
        <v>-3.5828589721275546E-3</v>
      </c>
      <c r="F17">
        <f t="shared" si="4"/>
        <v>1.5846020281916437E-2</v>
      </c>
      <c r="G17">
        <f t="shared" si="2"/>
        <v>-0.22610465646168157</v>
      </c>
      <c r="H17">
        <f t="shared" si="3"/>
        <v>3.2003367054592142</v>
      </c>
    </row>
    <row r="18" spans="1:8" x14ac:dyDescent="0.25">
      <c r="A18" s="13">
        <v>40294</v>
      </c>
      <c r="B18">
        <v>264.82781629999999</v>
      </c>
      <c r="C18" s="12">
        <v>-2.4495903641157168E-2</v>
      </c>
      <c r="D18" s="12">
        <f t="shared" si="0"/>
        <v>-9.0796961646141789E-5</v>
      </c>
      <c r="E18" s="11">
        <f t="shared" si="1"/>
        <v>-2.4405106679511027E-2</v>
      </c>
      <c r="F18">
        <f t="shared" si="4"/>
        <v>1.4396116176791559E-2</v>
      </c>
      <c r="G18">
        <f t="shared" si="2"/>
        <v>-1.6952563024501901</v>
      </c>
      <c r="H18">
        <f t="shared" si="3"/>
        <v>1.8849113200202636</v>
      </c>
    </row>
    <row r="19" spans="1:8" x14ac:dyDescent="0.25">
      <c r="A19" s="13">
        <v>40295</v>
      </c>
      <c r="B19">
        <v>263.54262699999998</v>
      </c>
      <c r="C19" s="12">
        <v>-4.8529241299340997E-3</v>
      </c>
      <c r="D19" s="12">
        <f t="shared" si="0"/>
        <v>-3.8021692205370526E-4</v>
      </c>
      <c r="E19" s="11">
        <f t="shared" si="1"/>
        <v>-4.4727072078803946E-3</v>
      </c>
      <c r="F19">
        <f t="shared" si="4"/>
        <v>1.9391139966662523E-2</v>
      </c>
      <c r="G19">
        <f t="shared" si="2"/>
        <v>-0.2306572597366594</v>
      </c>
      <c r="H19">
        <f t="shared" si="3"/>
        <v>2.997399101043388</v>
      </c>
    </row>
    <row r="20" spans="1:8" x14ac:dyDescent="0.25">
      <c r="A20" s="13">
        <v>40296</v>
      </c>
      <c r="B20">
        <v>263.60738579999997</v>
      </c>
      <c r="C20" s="12">
        <v>2.4572419550183966E-4</v>
      </c>
      <c r="D20" s="12">
        <f t="shared" si="0"/>
        <v>-1.3635266345409761E-4</v>
      </c>
      <c r="E20" s="11">
        <f t="shared" si="1"/>
        <v>3.8207685895593727E-4</v>
      </c>
      <c r="F20">
        <f t="shared" si="4"/>
        <v>1.4811700369288337E-2</v>
      </c>
      <c r="G20">
        <f t="shared" si="2"/>
        <v>2.579561086370363E-2</v>
      </c>
      <c r="H20">
        <f t="shared" si="3"/>
        <v>3.2930666050773207</v>
      </c>
    </row>
    <row r="21" spans="1:8" x14ac:dyDescent="0.25">
      <c r="A21" s="13">
        <v>40297</v>
      </c>
      <c r="B21">
        <v>265.00713769999999</v>
      </c>
      <c r="C21" s="12">
        <v>5.3099874108308853E-3</v>
      </c>
      <c r="D21" s="12">
        <f t="shared" si="0"/>
        <v>-8.7553763814569699E-6</v>
      </c>
      <c r="E21" s="11">
        <f t="shared" si="1"/>
        <v>5.3187427872123426E-3</v>
      </c>
      <c r="F21">
        <f t="shared" si="4"/>
        <v>1.418122547606354E-2</v>
      </c>
      <c r="G21">
        <f t="shared" si="2"/>
        <v>0.3750552303247584</v>
      </c>
      <c r="H21">
        <f t="shared" si="3"/>
        <v>3.2665645926571796</v>
      </c>
    </row>
    <row r="22" spans="1:8" x14ac:dyDescent="0.25">
      <c r="A22" s="13">
        <v>40298</v>
      </c>
      <c r="B22">
        <v>261.86888759999999</v>
      </c>
      <c r="C22" s="12">
        <v>-1.1842134243012836E-2</v>
      </c>
      <c r="D22" s="12">
        <f t="shared" si="0"/>
        <v>8.0943335912305974E-5</v>
      </c>
      <c r="E22" s="11">
        <f t="shared" si="1"/>
        <v>-1.1923077578925143E-2</v>
      </c>
      <c r="F22">
        <f t="shared" si="4"/>
        <v>1.4419747633035215E-2</v>
      </c>
      <c r="G22">
        <f t="shared" si="2"/>
        <v>-0.82685757631497836</v>
      </c>
      <c r="H22">
        <f t="shared" si="3"/>
        <v>2.9783713894955448</v>
      </c>
    </row>
    <row r="23" spans="1:8" x14ac:dyDescent="0.25">
      <c r="A23" s="13">
        <v>40301</v>
      </c>
      <c r="B23">
        <v>264.3097487</v>
      </c>
      <c r="C23" s="12">
        <v>9.3209282033090979E-3</v>
      </c>
      <c r="D23" s="12">
        <f t="shared" si="0"/>
        <v>-1.6546191291334498E-4</v>
      </c>
      <c r="E23" s="11">
        <f t="shared" si="1"/>
        <v>9.4863901162224422E-3</v>
      </c>
      <c r="F23">
        <f t="shared" si="4"/>
        <v>1.5551933820451341E-2</v>
      </c>
      <c r="G23">
        <f t="shared" si="2"/>
        <v>0.60998138403518054</v>
      </c>
      <c r="H23">
        <f t="shared" si="3"/>
        <v>3.0585931090059111</v>
      </c>
    </row>
    <row r="24" spans="1:8" x14ac:dyDescent="0.25">
      <c r="A24" s="13">
        <v>40302</v>
      </c>
      <c r="B24">
        <v>252.2399801</v>
      </c>
      <c r="C24" s="12">
        <v>-4.5665241858708683E-2</v>
      </c>
      <c r="D24" s="12">
        <f t="shared" si="0"/>
        <v>1.1054206317126017E-4</v>
      </c>
      <c r="E24" s="11">
        <f t="shared" si="1"/>
        <v>-4.5775783921879941E-2</v>
      </c>
      <c r="F24">
        <f t="shared" si="4"/>
        <v>1.5034259119446707E-2</v>
      </c>
      <c r="G24">
        <f t="shared" si="2"/>
        <v>-3.0447648639146636</v>
      </c>
      <c r="H24">
        <f t="shared" si="3"/>
        <v>-1.3568113306564276</v>
      </c>
    </row>
    <row r="25" spans="1:8" x14ac:dyDescent="0.25">
      <c r="A25" s="13">
        <v>40303</v>
      </c>
      <c r="B25">
        <v>253.92864259999999</v>
      </c>
      <c r="C25" s="12">
        <v>6.6946663226445935E-3</v>
      </c>
      <c r="D25" s="12">
        <f t="shared" si="0"/>
        <v>-6.6671740821869967E-4</v>
      </c>
      <c r="E25" s="11">
        <f t="shared" si="1"/>
        <v>7.3613837308632935E-3</v>
      </c>
      <c r="F25">
        <f t="shared" si="4"/>
        <v>2.7745674322958991E-2</v>
      </c>
      <c r="G25">
        <f t="shared" si="2"/>
        <v>0.26531644699555545</v>
      </c>
      <c r="H25">
        <f t="shared" si="3"/>
        <v>2.6305403894661676</v>
      </c>
    </row>
    <row r="26" spans="1:8" x14ac:dyDescent="0.25">
      <c r="A26" s="13">
        <v>40304</v>
      </c>
      <c r="B26">
        <v>248.40434149999999</v>
      </c>
      <c r="C26" s="12">
        <v>-2.175532875470898E-2</v>
      </c>
      <c r="D26" s="12">
        <f t="shared" si="0"/>
        <v>-1.6103703163473823E-5</v>
      </c>
      <c r="E26" s="11">
        <f t="shared" si="1"/>
        <v>-2.1739225051545505E-2</v>
      </c>
      <c r="F26">
        <f t="shared" si="4"/>
        <v>1.6071832451134235E-2</v>
      </c>
      <c r="G26">
        <f t="shared" si="2"/>
        <v>-1.3526289001358589</v>
      </c>
      <c r="H26">
        <f t="shared" si="3"/>
        <v>2.2969460724698951</v>
      </c>
    </row>
    <row r="27" spans="1:8" x14ac:dyDescent="0.25">
      <c r="A27" s="13">
        <v>40305</v>
      </c>
      <c r="B27">
        <v>245.64966720000001</v>
      </c>
      <c r="C27" s="12">
        <v>-1.1089477274695558E-2</v>
      </c>
      <c r="D27" s="12">
        <f t="shared" si="0"/>
        <v>-3.1183716952723614E-4</v>
      </c>
      <c r="E27" s="11">
        <f t="shared" si="1"/>
        <v>-1.0777640105168322E-2</v>
      </c>
      <c r="F27">
        <f t="shared" si="4"/>
        <v>1.7802512890688339E-2</v>
      </c>
      <c r="G27">
        <f t="shared" si="2"/>
        <v>-0.60539993265813619</v>
      </c>
      <c r="H27">
        <f t="shared" si="3"/>
        <v>2.9262225855780706</v>
      </c>
    </row>
    <row r="28" spans="1:8" x14ac:dyDescent="0.25">
      <c r="A28" s="13">
        <v>40308</v>
      </c>
      <c r="B28">
        <v>259.85145890000001</v>
      </c>
      <c r="C28" s="12">
        <v>5.7813193324774081E-2</v>
      </c>
      <c r="D28" s="12">
        <f t="shared" si="0"/>
        <v>-2.2363530219558696E-4</v>
      </c>
      <c r="E28" s="11">
        <f t="shared" si="1"/>
        <v>5.8036828626969669E-2</v>
      </c>
      <c r="F28">
        <f t="shared" si="4"/>
        <v>1.5261234722679758E-2</v>
      </c>
      <c r="G28">
        <f t="shared" si="2"/>
        <v>3.8028920779732847</v>
      </c>
      <c r="H28">
        <f t="shared" si="3"/>
        <v>-3.9674932675259371</v>
      </c>
    </row>
    <row r="29" spans="1:8" x14ac:dyDescent="0.25">
      <c r="A29" s="13">
        <v>40309</v>
      </c>
      <c r="B29">
        <v>253.57497369999999</v>
      </c>
      <c r="C29" s="12">
        <v>-2.4154127233187661E-2</v>
      </c>
      <c r="D29" s="12">
        <f t="shared" si="0"/>
        <v>8.4590610139647965E-4</v>
      </c>
      <c r="E29" s="11">
        <f t="shared" si="1"/>
        <v>-2.500003333458414E-2</v>
      </c>
      <c r="F29">
        <f t="shared" si="4"/>
        <v>3.2994256162328782E-2</v>
      </c>
      <c r="G29">
        <f t="shared" si="2"/>
        <v>-0.75770865121450892</v>
      </c>
      <c r="H29">
        <f t="shared" si="3"/>
        <v>2.2054220550847843</v>
      </c>
    </row>
    <row r="30" spans="1:8" x14ac:dyDescent="0.25">
      <c r="A30" s="13">
        <v>40310</v>
      </c>
      <c r="B30">
        <v>251.7518049</v>
      </c>
      <c r="C30" s="12">
        <v>-7.1898609448618478E-3</v>
      </c>
      <c r="D30" s="12">
        <f t="shared" si="0"/>
        <v>-2.1674507765636369E-4</v>
      </c>
      <c r="E30" s="11">
        <f t="shared" si="1"/>
        <v>-6.9731158672054839E-3</v>
      </c>
      <c r="F30">
        <f t="shared" si="4"/>
        <v>1.7883657508770173E-2</v>
      </c>
      <c r="G30">
        <f t="shared" si="2"/>
        <v>-0.38991553398883072</v>
      </c>
      <c r="H30">
        <f t="shared" si="3"/>
        <v>3.0289123764724177</v>
      </c>
    </row>
    <row r="31" spans="1:8" x14ac:dyDescent="0.25">
      <c r="A31" s="13">
        <v>40311</v>
      </c>
      <c r="B31">
        <v>254.48656639999999</v>
      </c>
      <c r="C31" s="12">
        <v>1.0862927084420715E-2</v>
      </c>
      <c r="D31" s="12">
        <f t="shared" si="0"/>
        <v>-1.7081971688780639E-4</v>
      </c>
      <c r="E31" s="11">
        <f t="shared" si="1"/>
        <v>1.1033746801308522E-2</v>
      </c>
      <c r="F31">
        <f t="shared" si="4"/>
        <v>1.4833756225518404E-2</v>
      </c>
      <c r="G31">
        <f t="shared" si="2"/>
        <v>0.74382689276821512</v>
      </c>
      <c r="H31">
        <f t="shared" si="3"/>
        <v>3.0152721128916502</v>
      </c>
    </row>
    <row r="32" spans="1:8" x14ac:dyDescent="0.25">
      <c r="A32" s="13">
        <v>40312</v>
      </c>
      <c r="B32">
        <v>252.8178163</v>
      </c>
      <c r="C32" s="12">
        <v>-6.5573209761377038E-3</v>
      </c>
      <c r="D32" s="12">
        <f t="shared" si="0"/>
        <v>1.4582050255334609E-4</v>
      </c>
      <c r="E32" s="11">
        <f t="shared" si="1"/>
        <v>-6.7031414786910496E-3</v>
      </c>
      <c r="F32">
        <f t="shared" si="4"/>
        <v>1.5330853574683837E-2</v>
      </c>
      <c r="G32">
        <f t="shared" si="2"/>
        <v>-0.43723211144355906</v>
      </c>
      <c r="H32">
        <f t="shared" si="3"/>
        <v>3.163363414786605</v>
      </c>
    </row>
    <row r="33" spans="1:8" x14ac:dyDescent="0.25">
      <c r="A33" s="13">
        <v>40315</v>
      </c>
      <c r="B33">
        <v>253.03699370000001</v>
      </c>
      <c r="C33" s="12">
        <v>8.6693811064297854E-4</v>
      </c>
      <c r="D33" s="12">
        <f t="shared" si="0"/>
        <v>-7.1259937205525673E-5</v>
      </c>
      <c r="E33" s="11">
        <f t="shared" si="1"/>
        <v>9.3819804784850424E-4</v>
      </c>
      <c r="F33">
        <f t="shared" si="4"/>
        <v>1.4638521206669414E-2</v>
      </c>
      <c r="G33">
        <f t="shared" si="2"/>
        <v>6.4091039976159239E-2</v>
      </c>
      <c r="H33">
        <f t="shared" si="3"/>
        <v>3.3031064221169881</v>
      </c>
    </row>
    <row r="34" spans="1:8" x14ac:dyDescent="0.25">
      <c r="A34" s="13">
        <v>40316</v>
      </c>
      <c r="B34">
        <v>248.25491160000001</v>
      </c>
      <c r="C34" s="12">
        <v>-1.8898746898920349E-2</v>
      </c>
      <c r="D34" s="12">
        <f t="shared" si="0"/>
        <v>-3.7399687254326794E-6</v>
      </c>
      <c r="E34" s="11">
        <f t="shared" si="1"/>
        <v>-1.8895006930194917E-2</v>
      </c>
      <c r="F34">
        <f t="shared" si="4"/>
        <v>1.4171370052267014E-2</v>
      </c>
      <c r="G34">
        <f t="shared" si="2"/>
        <v>-1.3333225270743851</v>
      </c>
      <c r="H34">
        <f t="shared" si="3"/>
        <v>2.4487185293247835</v>
      </c>
    </row>
    <row r="35" spans="1:8" x14ac:dyDescent="0.25">
      <c r="A35" s="13">
        <v>40317</v>
      </c>
      <c r="B35">
        <v>246.29226209999999</v>
      </c>
      <c r="C35" s="12">
        <v>-7.9057831619554486E-3</v>
      </c>
      <c r="D35" s="12">
        <f t="shared" si="0"/>
        <v>-2.8360939166090839E-4</v>
      </c>
      <c r="E35" s="11">
        <f t="shared" si="1"/>
        <v>-7.6221737702945403E-3</v>
      </c>
      <c r="F35">
        <f t="shared" si="4"/>
        <v>1.7556349351541076E-2</v>
      </c>
      <c r="G35">
        <f t="shared" si="2"/>
        <v>-0.43415482442683762</v>
      </c>
      <c r="H35">
        <f t="shared" si="3"/>
        <v>3.0291558690953675</v>
      </c>
    </row>
    <row r="36" spans="1:8" x14ac:dyDescent="0.25">
      <c r="A36" s="13">
        <v>40318</v>
      </c>
      <c r="B36">
        <v>236.61850870000001</v>
      </c>
      <c r="C36" s="12">
        <v>-3.9277536847959205E-2</v>
      </c>
      <c r="D36" s="12">
        <f t="shared" si="0"/>
        <v>-1.681416317657751E-4</v>
      </c>
      <c r="E36" s="11">
        <f t="shared" si="1"/>
        <v>-3.9109395216193429E-2</v>
      </c>
      <c r="F36">
        <f t="shared" si="4"/>
        <v>1.4871419615702944E-2</v>
      </c>
      <c r="G36">
        <f t="shared" si="2"/>
        <v>-2.6298360362918722</v>
      </c>
      <c r="H36">
        <f t="shared" si="3"/>
        <v>-0.1686432674674605</v>
      </c>
    </row>
    <row r="37" spans="1:8" x14ac:dyDescent="0.25">
      <c r="A37" s="13">
        <v>40319</v>
      </c>
      <c r="B37">
        <v>235.14403390000001</v>
      </c>
      <c r="C37" s="12">
        <v>-6.2314432125402108E-3</v>
      </c>
      <c r="D37" s="12">
        <f t="shared" si="0"/>
        <v>-6.1437759914614041E-4</v>
      </c>
      <c r="E37" s="11">
        <f t="shared" si="1"/>
        <v>-5.6170656133940709E-3</v>
      </c>
      <c r="F37">
        <f t="shared" si="4"/>
        <v>2.5001262571834246E-2</v>
      </c>
      <c r="G37">
        <f t="shared" si="2"/>
        <v>-0.22467127799066064</v>
      </c>
      <c r="H37">
        <f t="shared" si="3"/>
        <v>2.7446518277341427</v>
      </c>
    </row>
    <row r="38" spans="1:8" x14ac:dyDescent="0.25">
      <c r="A38" s="13">
        <v>40322</v>
      </c>
      <c r="B38">
        <v>237.6894944</v>
      </c>
      <c r="C38" s="12">
        <v>1.0825111986819458E-2</v>
      </c>
      <c r="D38" s="12">
        <f t="shared" si="0"/>
        <v>-1.9519068655459815E-4</v>
      </c>
      <c r="E38" s="11">
        <f t="shared" si="1"/>
        <v>1.1020302673374055E-2</v>
      </c>
      <c r="F38">
        <f t="shared" si="4"/>
        <v>1.5593746644395645E-2</v>
      </c>
      <c r="G38">
        <f t="shared" si="2"/>
        <v>0.70671294876621105</v>
      </c>
      <c r="H38">
        <f t="shared" si="3"/>
        <v>2.9922251720378354</v>
      </c>
    </row>
    <row r="39" spans="1:8" x14ac:dyDescent="0.25">
      <c r="A39" s="13">
        <v>40323</v>
      </c>
      <c r="B39">
        <v>237.64466400000001</v>
      </c>
      <c r="C39" s="12">
        <v>-1.8860909319173835E-4</v>
      </c>
      <c r="D39" s="12">
        <f t="shared" si="0"/>
        <v>1.477116674039484E-4</v>
      </c>
      <c r="E39" s="11">
        <f t="shared" si="1"/>
        <v>-3.3632076059568678E-4</v>
      </c>
      <c r="F39">
        <f t="shared" si="4"/>
        <v>1.5295729971940199E-2</v>
      </c>
      <c r="G39">
        <f t="shared" si="2"/>
        <v>-2.1987885587197373E-2</v>
      </c>
      <c r="H39">
        <f t="shared" si="3"/>
        <v>3.2610013095760397</v>
      </c>
    </row>
    <row r="40" spans="1:8" x14ac:dyDescent="0.25">
      <c r="A40" s="13">
        <v>40324</v>
      </c>
      <c r="B40">
        <v>236.84765039999999</v>
      </c>
      <c r="C40" s="12">
        <v>-3.3538038960555516E-3</v>
      </c>
      <c r="D40" s="12">
        <f t="shared" si="0"/>
        <v>2.4967574063754584E-5</v>
      </c>
      <c r="E40" s="11">
        <f t="shared" si="1"/>
        <v>-3.3787714701193064E-3</v>
      </c>
      <c r="F40">
        <f t="shared" si="4"/>
        <v>1.4230149974265844E-2</v>
      </c>
      <c r="G40">
        <f t="shared" si="2"/>
        <v>-0.23743751655671658</v>
      </c>
      <c r="H40">
        <f t="shared" si="3"/>
        <v>3.3052655072950445</v>
      </c>
    </row>
    <row r="41" spans="1:8" x14ac:dyDescent="0.25">
      <c r="A41" s="13">
        <v>40325</v>
      </c>
      <c r="B41">
        <v>244.31467359999999</v>
      </c>
      <c r="C41" s="12">
        <v>3.1526693160727204E-2</v>
      </c>
      <c r="D41" s="12">
        <f t="shared" si="0"/>
        <v>-5.1209912590561059E-5</v>
      </c>
      <c r="E41" s="11">
        <f t="shared" si="1"/>
        <v>3.1577903073317766E-2</v>
      </c>
      <c r="F41">
        <f t="shared" si="4"/>
        <v>1.4244203974072694E-2</v>
      </c>
      <c r="G41">
        <f t="shared" si="2"/>
        <v>2.2168948949899816</v>
      </c>
      <c r="H41">
        <f t="shared" si="3"/>
        <v>0.87515517274865484</v>
      </c>
    </row>
    <row r="42" spans="1:8" x14ac:dyDescent="0.25">
      <c r="A42" s="13">
        <v>40326</v>
      </c>
      <c r="B42">
        <v>241.90867890000001</v>
      </c>
      <c r="C42" s="12">
        <v>-9.8479336690974195E-3</v>
      </c>
      <c r="D42" s="12">
        <f t="shared" si="0"/>
        <v>4.6821179673008426E-4</v>
      </c>
      <c r="E42" s="11">
        <f t="shared" si="1"/>
        <v>-1.0316145465827504E-2</v>
      </c>
      <c r="F42">
        <f t="shared" si="4"/>
        <v>2.2375371795084625E-2</v>
      </c>
      <c r="G42">
        <f t="shared" si="2"/>
        <v>-0.46104911955446182</v>
      </c>
      <c r="H42">
        <f t="shared" si="3"/>
        <v>2.7745727198935315</v>
      </c>
    </row>
    <row r="43" spans="1:8" x14ac:dyDescent="0.25">
      <c r="A43" s="13">
        <v>40330</v>
      </c>
      <c r="B43">
        <v>240.28477470000001</v>
      </c>
      <c r="C43" s="12">
        <v>-6.7128811061437643E-3</v>
      </c>
      <c r="D43" s="12">
        <f t="shared" si="0"/>
        <v>-6.7924101341685771E-5</v>
      </c>
      <c r="E43" s="11">
        <f t="shared" si="1"/>
        <v>-6.6449570048020788E-3</v>
      </c>
      <c r="F43">
        <f t="shared" si="4"/>
        <v>1.5528572992822313E-2</v>
      </c>
      <c r="G43">
        <f t="shared" si="2"/>
        <v>-0.42791807127889603</v>
      </c>
      <c r="H43">
        <f t="shared" si="3"/>
        <v>3.1545780621083659</v>
      </c>
    </row>
    <row r="44" spans="1:8" x14ac:dyDescent="0.25">
      <c r="A44" s="13">
        <v>40331</v>
      </c>
      <c r="B44">
        <v>245.7642458</v>
      </c>
      <c r="C44" s="12">
        <v>2.2804071156157235E-2</v>
      </c>
      <c r="D44" s="12">
        <f t="shared" si="0"/>
        <v>-1.2683904766163477E-4</v>
      </c>
      <c r="E44" s="11">
        <f t="shared" si="1"/>
        <v>2.293091020381887E-2</v>
      </c>
      <c r="F44">
        <f t="shared" si="4"/>
        <v>1.4641691979329619E-2</v>
      </c>
      <c r="G44">
        <f t="shared" si="2"/>
        <v>1.5661380007304853</v>
      </c>
      <c r="H44">
        <f t="shared" si="3"/>
        <v>2.0785495528976483</v>
      </c>
    </row>
    <row r="45" spans="1:8" x14ac:dyDescent="0.25">
      <c r="A45" s="13">
        <v>40332</v>
      </c>
      <c r="B45">
        <v>251.8564193</v>
      </c>
      <c r="C45" s="12">
        <v>2.4788689177178913E-2</v>
      </c>
      <c r="D45" s="12">
        <f t="shared" si="0"/>
        <v>3.2765224564171975E-4</v>
      </c>
      <c r="E45" s="11">
        <f t="shared" si="1"/>
        <v>2.4461036931537193E-2</v>
      </c>
      <c r="F45">
        <f t="shared" si="4"/>
        <v>1.8732215138771963E-2</v>
      </c>
      <c r="G45">
        <f t="shared" si="2"/>
        <v>1.3058272473556909</v>
      </c>
      <c r="H45">
        <f t="shared" si="3"/>
        <v>2.2059795694603239</v>
      </c>
    </row>
    <row r="46" spans="1:8" x14ac:dyDescent="0.25">
      <c r="A46" s="13">
        <v>40333</v>
      </c>
      <c r="B46">
        <v>248.4292591</v>
      </c>
      <c r="C46" s="12">
        <v>-1.3607595190646027E-2</v>
      </c>
      <c r="D46" s="12">
        <f t="shared" si="0"/>
        <v>4.3352666246037415E-4</v>
      </c>
      <c r="E46" s="11">
        <f t="shared" si="1"/>
        <v>-1.4041121853106402E-2</v>
      </c>
      <c r="F46">
        <f t="shared" si="4"/>
        <v>1.7838368421510709E-2</v>
      </c>
      <c r="G46">
        <f t="shared" si="2"/>
        <v>-0.78713038778673672</v>
      </c>
      <c r="H46">
        <f t="shared" si="3"/>
        <v>2.7976779553126709</v>
      </c>
    </row>
    <row r="47" spans="1:8" x14ac:dyDescent="0.25">
      <c r="A47" s="13">
        <v>40336</v>
      </c>
      <c r="B47">
        <v>241.8538848</v>
      </c>
      <c r="C47" s="12">
        <v>-2.6467793382393912E-2</v>
      </c>
      <c r="D47" s="12">
        <f t="shared" si="0"/>
        <v>-1.4210423421289245E-4</v>
      </c>
      <c r="E47" s="11">
        <f t="shared" si="1"/>
        <v>-2.6325689148181019E-2</v>
      </c>
      <c r="F47">
        <f t="shared" si="4"/>
        <v>1.5765037620678955E-2</v>
      </c>
      <c r="G47">
        <f t="shared" si="2"/>
        <v>-1.6698779781945896</v>
      </c>
      <c r="H47">
        <f t="shared" si="3"/>
        <v>1.8367758354118324</v>
      </c>
    </row>
    <row r="48" spans="1:8" x14ac:dyDescent="0.25">
      <c r="A48" s="13">
        <v>40337</v>
      </c>
      <c r="B48">
        <v>241.48526200000001</v>
      </c>
      <c r="C48" s="12">
        <v>-1.5241549678014499E-3</v>
      </c>
      <c r="D48" s="12">
        <f t="shared" si="0"/>
        <v>-4.3528788953623967E-4</v>
      </c>
      <c r="E48" s="11">
        <f t="shared" si="1"/>
        <v>-1.0888670782652102E-3</v>
      </c>
      <c r="F48">
        <f t="shared" si="4"/>
        <v>1.9358527085765326E-2</v>
      </c>
      <c r="G48">
        <f t="shared" si="2"/>
        <v>-5.6247413526924459E-2</v>
      </c>
      <c r="H48">
        <f t="shared" si="3"/>
        <v>3.024101861339767</v>
      </c>
    </row>
    <row r="49" spans="1:8" x14ac:dyDescent="0.25">
      <c r="A49" s="13">
        <v>40338</v>
      </c>
      <c r="B49">
        <v>236.1253437</v>
      </c>
      <c r="C49" s="12">
        <v>-2.2195633205971843E-2</v>
      </c>
      <c r="D49" s="12">
        <f t="shared" si="0"/>
        <v>-9.107381268792527E-5</v>
      </c>
      <c r="E49" s="11">
        <f t="shared" si="1"/>
        <v>-2.2104559393283919E-2</v>
      </c>
      <c r="F49">
        <f t="shared" si="4"/>
        <v>1.4703689600190273E-2</v>
      </c>
      <c r="G49">
        <f t="shared" si="2"/>
        <v>-1.5033341966765861</v>
      </c>
      <c r="H49">
        <f t="shared" si="3"/>
        <v>2.1707114368274589</v>
      </c>
    </row>
    <row r="50" spans="1:8" x14ac:dyDescent="0.25">
      <c r="A50" s="13">
        <v>40339</v>
      </c>
      <c r="B50">
        <v>242.59610369999999</v>
      </c>
      <c r="C50" s="12">
        <v>2.7403919878338678E-2</v>
      </c>
      <c r="D50" s="12">
        <f t="shared" si="0"/>
        <v>-3.3961876448252115E-4</v>
      </c>
      <c r="E50" s="11">
        <f t="shared" si="1"/>
        <v>2.7743538642821201E-2</v>
      </c>
      <c r="F50">
        <f t="shared" si="4"/>
        <v>1.8418937718447059E-2</v>
      </c>
      <c r="G50">
        <f t="shared" si="2"/>
        <v>1.5062507440391257</v>
      </c>
      <c r="H50">
        <f t="shared" si="3"/>
        <v>1.9410417346623754</v>
      </c>
    </row>
    <row r="51" spans="1:8" x14ac:dyDescent="0.25">
      <c r="A51" s="13">
        <v>40340</v>
      </c>
      <c r="B51">
        <v>243.33832319999999</v>
      </c>
      <c r="C51" s="12">
        <v>3.0594864825934653E-3</v>
      </c>
      <c r="D51" s="12">
        <f t="shared" si="0"/>
        <v>3.5743323503730293E-4</v>
      </c>
      <c r="E51" s="11">
        <f t="shared" si="1"/>
        <v>2.7020532475561625E-3</v>
      </c>
      <c r="F51">
        <f t="shared" si="4"/>
        <v>1.8751722529052176E-2</v>
      </c>
      <c r="G51">
        <f t="shared" si="2"/>
        <v>0.14409626866917705</v>
      </c>
      <c r="H51">
        <f t="shared" si="3"/>
        <v>3.0471492620423648</v>
      </c>
    </row>
    <row r="52" spans="1:8" x14ac:dyDescent="0.25">
      <c r="A52" s="13">
        <v>40343</v>
      </c>
      <c r="B52">
        <v>240.6932382</v>
      </c>
      <c r="C52" s="12">
        <v>-1.0869989425488003E-2</v>
      </c>
      <c r="D52" s="12">
        <f t="shared" si="0"/>
        <v>1.1670102034673427E-4</v>
      </c>
      <c r="E52" s="11">
        <f t="shared" si="1"/>
        <v>-1.0986690445834738E-2</v>
      </c>
      <c r="F52">
        <f t="shared" si="4"/>
        <v>1.4664704627770938E-2</v>
      </c>
      <c r="G52">
        <f t="shared" si="2"/>
        <v>-0.7491927539426162</v>
      </c>
      <c r="H52">
        <f t="shared" si="3"/>
        <v>3.0227282935752307</v>
      </c>
    </row>
    <row r="53" spans="1:8" x14ac:dyDescent="0.25">
      <c r="A53" s="13">
        <v>40344</v>
      </c>
      <c r="B53">
        <v>248.06561070000001</v>
      </c>
      <c r="C53" s="12">
        <v>3.0629744961402139E-2</v>
      </c>
      <c r="D53" s="12">
        <f t="shared" si="0"/>
        <v>-1.5654226126661063E-4</v>
      </c>
      <c r="E53" s="11">
        <f t="shared" si="1"/>
        <v>3.078628722266875E-2</v>
      </c>
      <c r="F53">
        <f t="shared" si="4"/>
        <v>1.5331227913846054E-2</v>
      </c>
      <c r="G53">
        <f t="shared" si="2"/>
        <v>2.0080770696041124</v>
      </c>
      <c r="H53">
        <f t="shared" si="3"/>
        <v>1.242738198615998</v>
      </c>
    </row>
    <row r="54" spans="1:8" x14ac:dyDescent="0.25">
      <c r="A54" s="13">
        <v>40345</v>
      </c>
      <c r="B54">
        <v>249.69949449999999</v>
      </c>
      <c r="C54" s="12">
        <v>6.5864986097405875E-3</v>
      </c>
      <c r="D54" s="12">
        <f t="shared" si="0"/>
        <v>4.3532936728513734E-4</v>
      </c>
      <c r="E54" s="11">
        <f t="shared" si="1"/>
        <v>6.1511692424554504E-3</v>
      </c>
      <c r="F54">
        <f t="shared" si="4"/>
        <v>2.1205721987391353E-2</v>
      </c>
      <c r="G54">
        <f t="shared" si="2"/>
        <v>0.29007120088214189</v>
      </c>
      <c r="H54">
        <f t="shared" si="3"/>
        <v>2.8924750446610834</v>
      </c>
    </row>
    <row r="55" spans="1:8" x14ac:dyDescent="0.25">
      <c r="A55" s="13">
        <v>40346</v>
      </c>
      <c r="B55">
        <v>249.1067199</v>
      </c>
      <c r="C55" s="12">
        <v>-2.373951942461705E-3</v>
      </c>
      <c r="D55" s="12">
        <f t="shared" si="0"/>
        <v>1.7833620846776025E-4</v>
      </c>
      <c r="E55" s="11">
        <f t="shared" si="1"/>
        <v>-2.5522881509294653E-3</v>
      </c>
      <c r="F55">
        <f t="shared" si="4"/>
        <v>1.5111761817450142E-2</v>
      </c>
      <c r="G55">
        <f t="shared" si="2"/>
        <v>-0.16889414892592064</v>
      </c>
      <c r="H55">
        <f t="shared" si="3"/>
        <v>3.259080760085137</v>
      </c>
    </row>
    <row r="56" spans="1:8" x14ac:dyDescent="0.25">
      <c r="A56" s="13">
        <v>40347</v>
      </c>
      <c r="B56">
        <v>249.08180229999999</v>
      </c>
      <c r="C56" s="12">
        <v>-1.0002781141360551E-4</v>
      </c>
      <c r="D56" s="12">
        <f t="shared" si="0"/>
        <v>-1.8978139452842361E-5</v>
      </c>
      <c r="E56" s="11">
        <f t="shared" si="1"/>
        <v>-8.1049671960763144E-5</v>
      </c>
      <c r="F56">
        <f t="shared" si="4"/>
        <v>1.4271571687304337E-2</v>
      </c>
      <c r="G56">
        <f t="shared" si="2"/>
        <v>-5.6790992426477508E-3</v>
      </c>
      <c r="H56">
        <f t="shared" si="3"/>
        <v>3.3305310550050038</v>
      </c>
    </row>
    <row r="57" spans="1:8" x14ac:dyDescent="0.25">
      <c r="A57" s="13">
        <v>40350</v>
      </c>
      <c r="B57">
        <v>243.36821520000001</v>
      </c>
      <c r="C57" s="12">
        <v>-2.2938597068277167E-2</v>
      </c>
      <c r="D57" s="12">
        <f t="shared" si="0"/>
        <v>-7.6138760443296771E-6</v>
      </c>
      <c r="E57" s="11">
        <f t="shared" si="1"/>
        <v>-2.2930983192232836E-2</v>
      </c>
      <c r="F57">
        <f t="shared" si="4"/>
        <v>1.4126499386110332E-2</v>
      </c>
      <c r="G57">
        <f t="shared" si="2"/>
        <v>-1.6232601273305813</v>
      </c>
      <c r="H57">
        <f t="shared" si="3"/>
        <v>2.0232776026589052</v>
      </c>
    </row>
    <row r="58" spans="1:8" x14ac:dyDescent="0.25">
      <c r="A58" s="13">
        <v>40351</v>
      </c>
      <c r="B58">
        <v>242.21753269999999</v>
      </c>
      <c r="C58" s="12">
        <v>-4.7281544101984707E-3</v>
      </c>
      <c r="D58" s="12">
        <f t="shared" si="0"/>
        <v>-3.4719588548438608E-4</v>
      </c>
      <c r="E58" s="11">
        <f t="shared" si="1"/>
        <v>-4.3809585247140846E-3</v>
      </c>
      <c r="F58">
        <f t="shared" si="4"/>
        <v>1.8990404519528548E-2</v>
      </c>
      <c r="G58">
        <f t="shared" si="2"/>
        <v>-0.23069327039394974</v>
      </c>
      <c r="H58">
        <f t="shared" si="3"/>
        <v>3.0182732269646899</v>
      </c>
    </row>
    <row r="59" spans="1:8" x14ac:dyDescent="0.25">
      <c r="A59" s="13">
        <v>40352</v>
      </c>
      <c r="B59">
        <v>240.1253662</v>
      </c>
      <c r="C59" s="12">
        <v>-8.6375518595974698E-3</v>
      </c>
      <c r="D59" s="12">
        <f t="shared" si="0"/>
        <v>-1.3046332911593084E-4</v>
      </c>
      <c r="E59" s="11">
        <f t="shared" si="1"/>
        <v>-8.5070885304815384E-3</v>
      </c>
      <c r="F59">
        <f t="shared" si="4"/>
        <v>1.476172888510472E-2</v>
      </c>
      <c r="G59">
        <f t="shared" si="2"/>
        <v>-0.57629350848365679</v>
      </c>
      <c r="H59">
        <f t="shared" si="3"/>
        <v>3.1307216963673108</v>
      </c>
    </row>
    <row r="60" spans="1:8" x14ac:dyDescent="0.25">
      <c r="A60" s="13">
        <v>40353</v>
      </c>
      <c r="B60">
        <v>236.6633392</v>
      </c>
      <c r="C60" s="12">
        <v>-1.4417581344223662E-2</v>
      </c>
      <c r="D60" s="12">
        <f t="shared" si="0"/>
        <v>-1.4279138169765842E-4</v>
      </c>
      <c r="E60" s="11">
        <f t="shared" si="1"/>
        <v>-1.4274789962526005E-2</v>
      </c>
      <c r="F60">
        <f t="shared" si="4"/>
        <v>1.4875375614750011E-2</v>
      </c>
      <c r="G60">
        <f t="shared" si="2"/>
        <v>-0.95962551348091796</v>
      </c>
      <c r="H60">
        <f t="shared" si="3"/>
        <v>2.8286689801910594</v>
      </c>
    </row>
    <row r="61" spans="1:8" x14ac:dyDescent="0.25">
      <c r="A61" s="13">
        <v>40354</v>
      </c>
      <c r="B61">
        <v>235.4578472</v>
      </c>
      <c r="C61" s="12">
        <v>-5.0936997849981847E-3</v>
      </c>
      <c r="D61" s="12">
        <f t="shared" si="0"/>
        <v>-2.4025948550698798E-4</v>
      </c>
      <c r="E61" s="11">
        <f t="shared" si="1"/>
        <v>-4.8534402994911963E-3</v>
      </c>
      <c r="F61">
        <f t="shared" si="4"/>
        <v>1.6052453451949923E-2</v>
      </c>
      <c r="G61">
        <f t="shared" si="2"/>
        <v>-0.30234881627404059</v>
      </c>
      <c r="H61">
        <f t="shared" si="3"/>
        <v>3.1672476414828088</v>
      </c>
    </row>
    <row r="62" spans="1:8" x14ac:dyDescent="0.25">
      <c r="A62" s="13">
        <v>40357</v>
      </c>
      <c r="B62">
        <v>235.15897240000001</v>
      </c>
      <c r="C62" s="12">
        <v>-1.2693346327341537E-3</v>
      </c>
      <c r="D62" s="12">
        <f t="shared" si="0"/>
        <v>-1.1409331960399899E-4</v>
      </c>
      <c r="E62" s="11">
        <f t="shared" si="1"/>
        <v>-1.1552413131301546E-3</v>
      </c>
      <c r="F62">
        <f t="shared" si="4"/>
        <v>1.4503462335638524E-2</v>
      </c>
      <c r="G62">
        <f t="shared" si="2"/>
        <v>-7.9652795063386114E-2</v>
      </c>
      <c r="H62">
        <f t="shared" si="3"/>
        <v>3.3112570592058854</v>
      </c>
    </row>
    <row r="63" spans="1:8" x14ac:dyDescent="0.25">
      <c r="A63" s="13">
        <v>40358</v>
      </c>
      <c r="B63">
        <v>226.28223310000001</v>
      </c>
      <c r="C63" s="12">
        <v>-3.774782314025793E-2</v>
      </c>
      <c r="D63" s="12">
        <f t="shared" si="0"/>
        <v>-3.228893466977639E-5</v>
      </c>
      <c r="E63" s="11">
        <f t="shared" si="1"/>
        <v>-3.7715534205588153E-2</v>
      </c>
      <c r="F63">
        <f t="shared" si="4"/>
        <v>1.4162852147690206E-2</v>
      </c>
      <c r="G63">
        <f t="shared" si="2"/>
        <v>-2.6629900398797224</v>
      </c>
      <c r="H63">
        <f t="shared" si="3"/>
        <v>-0.20756372131402889</v>
      </c>
    </row>
    <row r="64" spans="1:8" x14ac:dyDescent="0.25">
      <c r="A64" s="13">
        <v>40359</v>
      </c>
      <c r="B64">
        <v>221.6446061</v>
      </c>
      <c r="C64" s="12">
        <v>-2.0494879056415005E-2</v>
      </c>
      <c r="D64" s="12">
        <f t="shared" si="0"/>
        <v>-5.7418569596417838E-4</v>
      </c>
      <c r="E64" s="11">
        <f t="shared" si="1"/>
        <v>-1.9920693360450825E-2</v>
      </c>
      <c r="F64">
        <f t="shared" si="4"/>
        <v>2.5176153360474268E-2</v>
      </c>
      <c r="G64">
        <f t="shared" si="2"/>
        <v>-0.79125246320296327</v>
      </c>
      <c r="H64">
        <f t="shared" si="3"/>
        <v>2.4498792642369662</v>
      </c>
    </row>
    <row r="65" spans="1:8" x14ac:dyDescent="0.25">
      <c r="A65" s="13">
        <v>40360</v>
      </c>
      <c r="B65">
        <v>218.9247986</v>
      </c>
      <c r="C65" s="12">
        <v>-1.2271029500139918E-2</v>
      </c>
      <c r="D65" s="12">
        <f t="shared" si="0"/>
        <v>-4.069891925987229E-4</v>
      </c>
      <c r="E65" s="11">
        <f t="shared" si="1"/>
        <v>-1.1864040307541195E-2</v>
      </c>
      <c r="F65">
        <f t="shared" si="4"/>
        <v>1.6711750992013552E-2</v>
      </c>
      <c r="G65">
        <f t="shared" si="2"/>
        <v>-0.7099220370870144</v>
      </c>
      <c r="H65">
        <f t="shared" si="3"/>
        <v>2.9207099722146364</v>
      </c>
    </row>
    <row r="66" spans="1:8" x14ac:dyDescent="0.25">
      <c r="A66" s="13">
        <v>40361</v>
      </c>
      <c r="B66">
        <v>217.460273</v>
      </c>
      <c r="C66" s="12">
        <v>-6.6896286275720529E-3</v>
      </c>
      <c r="D66" s="12">
        <f t="shared" si="0"/>
        <v>-2.3826657582313486E-4</v>
      </c>
      <c r="E66" s="11">
        <f t="shared" si="1"/>
        <v>-6.4513620517489181E-3</v>
      </c>
      <c r="F66">
        <f t="shared" si="4"/>
        <v>1.5417866656595752E-2</v>
      </c>
      <c r="G66">
        <f t="shared" si="2"/>
        <v>-0.41843415794422051</v>
      </c>
      <c r="H66">
        <f t="shared" si="3"/>
        <v>3.1657461640644624</v>
      </c>
    </row>
    <row r="67" spans="1:8" x14ac:dyDescent="0.25">
      <c r="A67" s="13">
        <v>40365</v>
      </c>
      <c r="B67">
        <v>217.22118219999999</v>
      </c>
      <c r="C67" s="12">
        <v>-1.0994688671250863E-3</v>
      </c>
      <c r="D67" s="12">
        <f t="shared" si="0"/>
        <v>-1.3271464780748726E-4</v>
      </c>
      <c r="E67" s="11">
        <f t="shared" si="1"/>
        <v>-9.6675421931759903E-4</v>
      </c>
      <c r="F67">
        <f t="shared" si="4"/>
        <v>1.4613618673384952E-2</v>
      </c>
      <c r="G67">
        <f t="shared" si="2"/>
        <v>-6.6154334591903632E-2</v>
      </c>
      <c r="H67">
        <f t="shared" si="3"/>
        <v>3.304674667996613</v>
      </c>
    </row>
    <row r="68" spans="1:8" x14ac:dyDescent="0.25">
      <c r="A68" s="13">
        <v>40366</v>
      </c>
      <c r="B68">
        <v>224.2597992</v>
      </c>
      <c r="C68" s="12">
        <v>3.2402995549114522E-2</v>
      </c>
      <c r="D68" s="12">
        <f t="shared" si="0"/>
        <v>-3.38212612784805E-5</v>
      </c>
      <c r="E68" s="11">
        <f t="shared" si="1"/>
        <v>3.2436816810393003E-2</v>
      </c>
      <c r="F68">
        <f t="shared" si="4"/>
        <v>1.4169479807234334E-2</v>
      </c>
      <c r="G68">
        <f t="shared" si="2"/>
        <v>2.2892030795535727</v>
      </c>
      <c r="H68">
        <f t="shared" si="3"/>
        <v>0.7175010338814487</v>
      </c>
    </row>
    <row r="69" spans="1:8" x14ac:dyDescent="0.25">
      <c r="A69" s="13">
        <v>40367</v>
      </c>
      <c r="B69">
        <v>227.42794119999999</v>
      </c>
      <c r="C69" s="12">
        <v>1.4127106201386352E-2</v>
      </c>
      <c r="D69" s="12">
        <f t="shared" si="0"/>
        <v>4.8725916115312218E-4</v>
      </c>
      <c r="E69" s="11">
        <f t="shared" si="1"/>
        <v>1.363984704023323E-2</v>
      </c>
      <c r="F69">
        <f t="shared" si="4"/>
        <v>2.2812724300822849E-2</v>
      </c>
      <c r="G69">
        <f t="shared" si="2"/>
        <v>0.59790522431120796</v>
      </c>
      <c r="H69">
        <f t="shared" si="3"/>
        <v>2.6827529534889361</v>
      </c>
    </row>
    <row r="70" spans="1:8" x14ac:dyDescent="0.25">
      <c r="A70" s="13">
        <v>40368</v>
      </c>
      <c r="B70">
        <v>232.8725306</v>
      </c>
      <c r="C70" s="12">
        <v>2.3939843852396558E-2</v>
      </c>
      <c r="D70" s="12">
        <f t="shared" ref="D70:D133" si="5">+C69*$K$11+C68*$K$10</f>
        <v>2.9694264753605908E-4</v>
      </c>
      <c r="E70" s="11">
        <f t="shared" ref="E70:E133" si="6">C70-D70</f>
        <v>2.3642901204860501E-2</v>
      </c>
      <c r="F70">
        <f t="shared" si="4"/>
        <v>1.5871924343720364E-2</v>
      </c>
      <c r="G70">
        <f t="shared" ref="G70:G133" si="7">E70/F70</f>
        <v>1.4896052106129576</v>
      </c>
      <c r="H70">
        <f t="shared" ref="H70:H133" si="8">1/2*(-LN(PI()*2)-2*LN(F70)-(E70/F70)^2)</f>
        <v>2.1148031201543538</v>
      </c>
    </row>
    <row r="71" spans="1:8" x14ac:dyDescent="0.25">
      <c r="A71" s="13">
        <v>40371</v>
      </c>
      <c r="B71">
        <v>237.02697219999999</v>
      </c>
      <c r="C71" s="12">
        <v>1.7839981337841815E-2</v>
      </c>
      <c r="D71" s="12">
        <f t="shared" si="5"/>
        <v>3.983886037358126E-4</v>
      </c>
      <c r="E71" s="11">
        <f t="shared" si="6"/>
        <v>1.7441592734106004E-2</v>
      </c>
      <c r="F71">
        <f t="shared" ref="F71:F134" si="9">SQRT($K$6+$K$7*G70^2+$K$8*F70^2)</f>
        <v>1.8443795156537265E-2</v>
      </c>
      <c r="G71">
        <f t="shared" si="7"/>
        <v>0.94566181125276494</v>
      </c>
      <c r="H71">
        <f t="shared" si="8"/>
        <v>2.6269506071022417</v>
      </c>
    </row>
    <row r="72" spans="1:8" x14ac:dyDescent="0.25">
      <c r="A72" s="13">
        <v>40372</v>
      </c>
      <c r="B72">
        <v>243.68701770000001</v>
      </c>
      <c r="C72" s="12">
        <v>2.8098260034222555E-2</v>
      </c>
      <c r="D72" s="12">
        <f t="shared" si="5"/>
        <v>3.3134862039448684E-4</v>
      </c>
      <c r="E72" s="11">
        <f t="shared" si="6"/>
        <v>2.7766911413828067E-2</v>
      </c>
      <c r="F72">
        <f t="shared" si="9"/>
        <v>1.6354896101300108E-2</v>
      </c>
      <c r="G72">
        <f t="shared" si="7"/>
        <v>1.6977736356038837</v>
      </c>
      <c r="H72">
        <f t="shared" si="8"/>
        <v>1.7530717786492975</v>
      </c>
    </row>
    <row r="73" spans="1:8" x14ac:dyDescent="0.25">
      <c r="A73" s="13">
        <v>40373</v>
      </c>
      <c r="B73">
        <v>244.75302909999999</v>
      </c>
      <c r="C73" s="12">
        <v>4.374510427602285E-3</v>
      </c>
      <c r="D73" s="12">
        <f t="shared" si="5"/>
        <v>4.7082527731115713E-4</v>
      </c>
      <c r="E73" s="11">
        <f t="shared" si="6"/>
        <v>3.9036851502911281E-3</v>
      </c>
      <c r="F73">
        <f t="shared" si="9"/>
        <v>1.9553291212083861E-2</v>
      </c>
      <c r="G73">
        <f t="shared" si="7"/>
        <v>0.19964338013227487</v>
      </c>
      <c r="H73">
        <f t="shared" si="8"/>
        <v>2.9957443854555916</v>
      </c>
    </row>
    <row r="74" spans="1:8" x14ac:dyDescent="0.25">
      <c r="A74" s="13">
        <v>40374</v>
      </c>
      <c r="B74">
        <v>246.08802270000001</v>
      </c>
      <c r="C74" s="12">
        <v>5.4544517994692399E-3</v>
      </c>
      <c r="D74" s="12">
        <f t="shared" si="5"/>
        <v>1.3837476378392247E-4</v>
      </c>
      <c r="E74" s="11">
        <f t="shared" si="6"/>
        <v>5.3160770356853173E-3</v>
      </c>
      <c r="F74">
        <f t="shared" si="9"/>
        <v>1.4804587583252997E-2</v>
      </c>
      <c r="G74">
        <f t="shared" si="7"/>
        <v>0.35908308865684868</v>
      </c>
      <c r="H74">
        <f t="shared" si="8"/>
        <v>3.229409308917651</v>
      </c>
    </row>
    <row r="75" spans="1:8" x14ac:dyDescent="0.25">
      <c r="A75" s="13">
        <v>40375</v>
      </c>
      <c r="B75">
        <v>228.94724600000001</v>
      </c>
      <c r="C75" s="12">
        <v>-6.9653031106255425E-2</v>
      </c>
      <c r="D75" s="12">
        <f t="shared" si="5"/>
        <v>9.3739174181535939E-5</v>
      </c>
      <c r="E75" s="11">
        <f t="shared" si="6"/>
        <v>-6.9746770280436965E-2</v>
      </c>
      <c r="F75">
        <f t="shared" si="9"/>
        <v>1.4455027607894124E-2</v>
      </c>
      <c r="G75">
        <f t="shared" si="7"/>
        <v>-4.8250873102689287</v>
      </c>
      <c r="H75">
        <f t="shared" si="8"/>
        <v>-8.3229593154681787</v>
      </c>
    </row>
    <row r="76" spans="1:8" x14ac:dyDescent="0.25">
      <c r="A76" s="13">
        <v>40378</v>
      </c>
      <c r="B76">
        <v>232.2199875</v>
      </c>
      <c r="C76" s="12">
        <v>1.4294740632084357E-2</v>
      </c>
      <c r="D76" s="12">
        <f t="shared" si="5"/>
        <v>-1.0394616481539159E-3</v>
      </c>
      <c r="E76" s="11">
        <f t="shared" si="6"/>
        <v>1.5334202280238273E-2</v>
      </c>
      <c r="F76">
        <f t="shared" si="9"/>
        <v>4.0333483185742869E-2</v>
      </c>
      <c r="G76">
        <f t="shared" si="7"/>
        <v>0.38018542087281532</v>
      </c>
      <c r="H76">
        <f t="shared" si="8"/>
        <v>2.2193642963846183</v>
      </c>
    </row>
    <row r="77" spans="1:8" x14ac:dyDescent="0.25">
      <c r="A77" s="13">
        <v>40379</v>
      </c>
      <c r="B77">
        <v>239.89622460000001</v>
      </c>
      <c r="C77" s="12">
        <v>3.3055884562908311E-2</v>
      </c>
      <c r="D77" s="12">
        <f t="shared" si="5"/>
        <v>3.7197022141208019E-5</v>
      </c>
      <c r="E77" s="11">
        <f t="shared" si="6"/>
        <v>3.3018687540767103E-2</v>
      </c>
      <c r="F77">
        <f t="shared" si="9"/>
        <v>1.8580740302651347E-2</v>
      </c>
      <c r="G77">
        <f t="shared" si="7"/>
        <v>1.777038320483687</v>
      </c>
      <c r="H77">
        <f t="shared" si="8"/>
        <v>1.4877585728908931</v>
      </c>
    </row>
    <row r="78" spans="1:8" x14ac:dyDescent="0.25">
      <c r="A78" s="13">
        <v>40380</v>
      </c>
      <c r="B78">
        <v>237.85885210000001</v>
      </c>
      <c r="C78" s="12">
        <v>-8.4927243160958232E-3</v>
      </c>
      <c r="D78" s="12">
        <f t="shared" si="5"/>
        <v>5.3669656895154844E-4</v>
      </c>
      <c r="E78" s="11">
        <f t="shared" si="6"/>
        <v>-9.029420885047372E-3</v>
      </c>
      <c r="F78">
        <f t="shared" si="9"/>
        <v>2.0166473048905266E-2</v>
      </c>
      <c r="G78">
        <f t="shared" si="7"/>
        <v>-0.44774417733583477</v>
      </c>
      <c r="H78">
        <f t="shared" si="8"/>
        <v>2.8845578461665258</v>
      </c>
    </row>
    <row r="79" spans="1:8" x14ac:dyDescent="0.25">
      <c r="A79" s="13">
        <v>40381</v>
      </c>
      <c r="B79">
        <v>241.5002159</v>
      </c>
      <c r="C79" s="12">
        <v>1.530892698695574E-2</v>
      </c>
      <c r="D79" s="12">
        <f t="shared" si="5"/>
        <v>-4.349702308766212E-5</v>
      </c>
      <c r="E79" s="11">
        <f t="shared" si="6"/>
        <v>1.5352424010043402E-2</v>
      </c>
      <c r="F79">
        <f t="shared" si="9"/>
        <v>1.521053760286175E-2</v>
      </c>
      <c r="G79">
        <f t="shared" si="7"/>
        <v>1.0093281651764208</v>
      </c>
      <c r="H79">
        <f t="shared" si="8"/>
        <v>2.7574566222658929</v>
      </c>
    </row>
    <row r="80" spans="1:8" x14ac:dyDescent="0.25">
      <c r="A80" s="13">
        <v>40382</v>
      </c>
      <c r="B80">
        <v>244.115409</v>
      </c>
      <c r="C80" s="12">
        <v>1.0828947254783783E-2</v>
      </c>
      <c r="D80" s="12">
        <f t="shared" si="5"/>
        <v>2.0971648319621029E-4</v>
      </c>
      <c r="E80" s="11">
        <f t="shared" si="6"/>
        <v>1.0619230771587572E-2</v>
      </c>
      <c r="F80">
        <f t="shared" si="9"/>
        <v>1.6268003894232295E-2</v>
      </c>
      <c r="G80">
        <f t="shared" si="7"/>
        <v>0.65276790198904144</v>
      </c>
      <c r="H80">
        <f t="shared" si="8"/>
        <v>2.9865635514190227</v>
      </c>
    </row>
    <row r="81" spans="1:8" x14ac:dyDescent="0.25">
      <c r="A81" s="13">
        <v>40385</v>
      </c>
      <c r="B81">
        <v>243.57245459999999</v>
      </c>
      <c r="C81" s="12">
        <v>-2.224170945308912E-3</v>
      </c>
      <c r="D81" s="12">
        <f t="shared" si="5"/>
        <v>2.0312780401380602E-4</v>
      </c>
      <c r="E81" s="11">
        <f t="shared" si="6"/>
        <v>-2.4272987493227181E-3</v>
      </c>
      <c r="F81">
        <f t="shared" si="9"/>
        <v>1.5216132464458377E-2</v>
      </c>
      <c r="G81">
        <f t="shared" si="7"/>
        <v>-0.15952139973757246</v>
      </c>
      <c r="H81">
        <f t="shared" si="8"/>
        <v>3.2537369959220004</v>
      </c>
    </row>
    <row r="82" spans="1:8" x14ac:dyDescent="0.25">
      <c r="A82" s="13">
        <v>40386</v>
      </c>
      <c r="B82">
        <v>245.3956235</v>
      </c>
      <c r="C82" s="12">
        <v>7.4851193785194781E-3</v>
      </c>
      <c r="D82" s="12">
        <f t="shared" si="5"/>
        <v>-5.8097800905136004E-6</v>
      </c>
      <c r="E82" s="11">
        <f t="shared" si="6"/>
        <v>7.4909291586099918E-3</v>
      </c>
      <c r="F82">
        <f t="shared" si="9"/>
        <v>1.4275624923433075E-2</v>
      </c>
      <c r="G82">
        <f t="shared" si="7"/>
        <v>0.52473563845977922</v>
      </c>
      <c r="H82">
        <f t="shared" si="8"/>
        <v>3.1925894685852798</v>
      </c>
    </row>
    <row r="83" spans="1:8" x14ac:dyDescent="0.25">
      <c r="A83" s="13">
        <v>40387</v>
      </c>
      <c r="B83">
        <v>241.27107430000001</v>
      </c>
      <c r="C83" s="12">
        <v>-1.6807753704702888E-2</v>
      </c>
      <c r="D83" s="12">
        <f t="shared" si="5"/>
        <v>1.0749393998607152E-4</v>
      </c>
      <c r="E83" s="11">
        <f t="shared" si="6"/>
        <v>-1.691524764468896E-2</v>
      </c>
      <c r="F83">
        <f t="shared" si="9"/>
        <v>1.4711930088652032E-2</v>
      </c>
      <c r="G83">
        <f t="shared" si="7"/>
        <v>-1.1497640039586952</v>
      </c>
      <c r="H83">
        <f t="shared" si="8"/>
        <v>2.6391793780820016</v>
      </c>
    </row>
    <row r="84" spans="1:8" x14ac:dyDescent="0.25">
      <c r="A84" s="13">
        <v>40388</v>
      </c>
      <c r="B84">
        <v>241.58987629999999</v>
      </c>
      <c r="C84" s="12">
        <v>1.3213436418970659E-3</v>
      </c>
      <c r="D84" s="12">
        <f t="shared" si="5"/>
        <v>-2.349752652086835E-4</v>
      </c>
      <c r="E84" s="11">
        <f t="shared" si="6"/>
        <v>1.5563189071057493E-3</v>
      </c>
      <c r="F84">
        <f t="shared" si="9"/>
        <v>1.6786748053925923E-2</v>
      </c>
      <c r="G84">
        <f t="shared" si="7"/>
        <v>9.2711161334298603E-2</v>
      </c>
      <c r="H84">
        <f t="shared" si="8"/>
        <v>3.1639292972356068</v>
      </c>
    </row>
    <row r="85" spans="1:8" x14ac:dyDescent="0.25">
      <c r="A85" s="13">
        <v>40389</v>
      </c>
      <c r="B85">
        <v>241.52014370000001</v>
      </c>
      <c r="C85" s="12">
        <v>-2.8864040607967656E-4</v>
      </c>
      <c r="D85" s="12">
        <f t="shared" si="5"/>
        <v>-2.3210549048610067E-5</v>
      </c>
      <c r="E85" s="11">
        <f t="shared" si="6"/>
        <v>-2.6542985703106647E-4</v>
      </c>
      <c r="F85">
        <f t="shared" si="9"/>
        <v>1.4408108781861873E-2</v>
      </c>
      <c r="G85">
        <f t="shared" si="7"/>
        <v>-1.8422255207096415E-2</v>
      </c>
      <c r="H85">
        <f t="shared" si="8"/>
        <v>3.3208558980873915</v>
      </c>
    </row>
    <row r="86" spans="1:8" x14ac:dyDescent="0.25">
      <c r="A86" s="13">
        <v>40392</v>
      </c>
      <c r="B86">
        <v>244.28975600000001</v>
      </c>
      <c r="C86" s="12">
        <v>1.1467417406973102E-2</v>
      </c>
      <c r="D86" s="12">
        <f t="shared" si="5"/>
        <v>-9.697772185552273E-7</v>
      </c>
      <c r="E86" s="11">
        <f t="shared" si="6"/>
        <v>1.1468387184191657E-2</v>
      </c>
      <c r="F86">
        <f t="shared" si="9"/>
        <v>1.4140484737501551E-2</v>
      </c>
      <c r="G86">
        <f t="shared" si="7"/>
        <v>0.81103211078589788</v>
      </c>
      <c r="H86">
        <f t="shared" si="8"/>
        <v>3.0108882622394026</v>
      </c>
    </row>
    <row r="87" spans="1:8" x14ac:dyDescent="0.25">
      <c r="A87" s="13">
        <v>40393</v>
      </c>
      <c r="B87">
        <v>244.0008454</v>
      </c>
      <c r="C87" s="12">
        <v>-1.1826554036920012E-3</v>
      </c>
      <c r="D87" s="12">
        <f t="shared" si="5"/>
        <v>1.7269915950332215E-4</v>
      </c>
      <c r="E87" s="11">
        <f t="shared" si="6"/>
        <v>-1.3553545631953233E-3</v>
      </c>
      <c r="F87">
        <f t="shared" si="9"/>
        <v>1.5476024659025969E-2</v>
      </c>
      <c r="G87">
        <f t="shared" si="7"/>
        <v>-8.7577694728267944E-2</v>
      </c>
      <c r="H87">
        <f t="shared" si="8"/>
        <v>3.2456897892614505</v>
      </c>
    </row>
    <row r="88" spans="1:8" x14ac:dyDescent="0.25">
      <c r="A88" s="13">
        <v>40394</v>
      </c>
      <c r="B88">
        <v>252.21506249999999</v>
      </c>
      <c r="C88" s="12">
        <v>3.3664707540394412E-2</v>
      </c>
      <c r="D88" s="12">
        <f t="shared" si="5"/>
        <v>1.1583653443295042E-5</v>
      </c>
      <c r="E88" s="11">
        <f t="shared" si="6"/>
        <v>3.3653123886951117E-2</v>
      </c>
      <c r="F88">
        <f t="shared" si="9"/>
        <v>1.4264325875391478E-2</v>
      </c>
      <c r="G88">
        <f t="shared" si="7"/>
        <v>2.3592509159517165</v>
      </c>
      <c r="H88">
        <f t="shared" si="8"/>
        <v>0.54802257726475601</v>
      </c>
    </row>
    <row r="89" spans="1:8" x14ac:dyDescent="0.25">
      <c r="A89" s="13">
        <v>40395</v>
      </c>
      <c r="B89">
        <v>253.1017525</v>
      </c>
      <c r="C89" s="12">
        <v>3.5156108093268301E-3</v>
      </c>
      <c r="D89" s="12">
        <f t="shared" si="5"/>
        <v>5.0612835748845735E-4</v>
      </c>
      <c r="E89" s="11">
        <f t="shared" si="6"/>
        <v>3.0094824518383727E-3</v>
      </c>
      <c r="F89">
        <f t="shared" si="9"/>
        <v>2.3251534670019242E-2</v>
      </c>
      <c r="G89">
        <f t="shared" si="7"/>
        <v>0.12943156202583173</v>
      </c>
      <c r="H89">
        <f t="shared" si="8"/>
        <v>2.8340693439856066</v>
      </c>
    </row>
    <row r="90" spans="1:8" x14ac:dyDescent="0.25">
      <c r="A90" s="13">
        <v>40396</v>
      </c>
      <c r="B90">
        <v>249.17645250000001</v>
      </c>
      <c r="C90" s="12">
        <v>-1.5508782381899899E-2</v>
      </c>
      <c r="D90" s="12">
        <f t="shared" si="5"/>
        <v>1.3968979588472479E-4</v>
      </c>
      <c r="E90" s="11">
        <f t="shared" si="6"/>
        <v>-1.5648472177784624E-2</v>
      </c>
      <c r="F90">
        <f t="shared" si="9"/>
        <v>1.52636980580291E-2</v>
      </c>
      <c r="G90">
        <f t="shared" si="7"/>
        <v>-1.0252084467533817</v>
      </c>
      <c r="H90">
        <f t="shared" si="8"/>
        <v>2.7378132329335525</v>
      </c>
    </row>
    <row r="91" spans="1:8" x14ac:dyDescent="0.25">
      <c r="A91" s="13">
        <v>40399</v>
      </c>
      <c r="B91">
        <v>251.73187709999999</v>
      </c>
      <c r="C91" s="12">
        <v>1.0255481905939723E-2</v>
      </c>
      <c r="D91" s="12">
        <f t="shared" si="5"/>
        <v>-2.2553026901295397E-4</v>
      </c>
      <c r="E91" s="11">
        <f t="shared" si="6"/>
        <v>1.0481012174952677E-2</v>
      </c>
      <c r="F91">
        <f t="shared" si="9"/>
        <v>1.6333513522088516E-2</v>
      </c>
      <c r="G91">
        <f t="shared" si="7"/>
        <v>0.6416875438820161</v>
      </c>
      <c r="H91">
        <f t="shared" si="8"/>
        <v>2.9897162524445289</v>
      </c>
    </row>
    <row r="92" spans="1:8" x14ac:dyDescent="0.25">
      <c r="A92" s="13">
        <v>40400</v>
      </c>
      <c r="B92">
        <v>250.9149352</v>
      </c>
      <c r="C92" s="12">
        <v>-3.2452858549791852E-3</v>
      </c>
      <c r="D92" s="12">
        <f t="shared" si="5"/>
        <v>1.1525370399680595E-4</v>
      </c>
      <c r="E92" s="11">
        <f t="shared" si="6"/>
        <v>-3.360539558975991E-3</v>
      </c>
      <c r="F92">
        <f t="shared" si="9"/>
        <v>1.5193981313760237E-2</v>
      </c>
      <c r="G92">
        <f t="shared" si="7"/>
        <v>-0.22117570698422281</v>
      </c>
      <c r="H92">
        <f t="shared" si="8"/>
        <v>3.2434580158605493</v>
      </c>
    </row>
    <row r="93" spans="1:8" x14ac:dyDescent="0.25">
      <c r="A93" s="13">
        <v>40401</v>
      </c>
      <c r="B93">
        <v>244.95227869999999</v>
      </c>
      <c r="C93" s="12">
        <v>-2.3763657174282082E-2</v>
      </c>
      <c r="D93" s="12">
        <f t="shared" si="5"/>
        <v>-2.2727600236517178E-5</v>
      </c>
      <c r="E93" s="11">
        <f t="shared" si="6"/>
        <v>-2.3740929574045565E-2</v>
      </c>
      <c r="F93">
        <f t="shared" si="9"/>
        <v>1.4323654534963868E-2</v>
      </c>
      <c r="G93">
        <f t="shared" si="7"/>
        <v>-1.6574631506292086</v>
      </c>
      <c r="H93">
        <f t="shared" si="8"/>
        <v>1.9533123640017815</v>
      </c>
    </row>
    <row r="94" spans="1:8" x14ac:dyDescent="0.25">
      <c r="A94" s="13">
        <v>40402</v>
      </c>
      <c r="B94">
        <v>245.0867696</v>
      </c>
      <c r="C94" s="12">
        <v>5.4904939326871904E-4</v>
      </c>
      <c r="D94" s="12">
        <f t="shared" si="5"/>
        <v>-3.6775787348161903E-4</v>
      </c>
      <c r="E94" s="11">
        <f t="shared" si="6"/>
        <v>9.1680726675033813E-4</v>
      </c>
      <c r="F94">
        <f t="shared" si="9"/>
        <v>1.91846612221785E-2</v>
      </c>
      <c r="G94">
        <f t="shared" si="7"/>
        <v>4.7788556500047007E-2</v>
      </c>
      <c r="H94">
        <f t="shared" si="8"/>
        <v>3.0335638076421683</v>
      </c>
    </row>
    <row r="95" spans="1:8" x14ac:dyDescent="0.25">
      <c r="A95" s="13">
        <v>40403</v>
      </c>
      <c r="B95">
        <v>242.2673375</v>
      </c>
      <c r="C95" s="12">
        <v>-1.1503811913639916E-2</v>
      </c>
      <c r="D95" s="12">
        <f t="shared" si="5"/>
        <v>-5.2767719333613249E-5</v>
      </c>
      <c r="E95" s="11">
        <f t="shared" si="6"/>
        <v>-1.1451044194306302E-2</v>
      </c>
      <c r="F95">
        <f t="shared" si="9"/>
        <v>1.4679926217027132E-2</v>
      </c>
      <c r="G95">
        <f t="shared" si="7"/>
        <v>-0.7800478030348903</v>
      </c>
      <c r="H95">
        <f t="shared" si="8"/>
        <v>2.9980984611820158</v>
      </c>
    </row>
    <row r="96" spans="1:8" x14ac:dyDescent="0.25">
      <c r="A96" s="13">
        <v>40406</v>
      </c>
      <c r="B96">
        <v>241.88875110000001</v>
      </c>
      <c r="C96" s="12">
        <v>-1.5626803179772386E-3</v>
      </c>
      <c r="D96" s="12">
        <f t="shared" si="5"/>
        <v>-1.7258037099690424E-4</v>
      </c>
      <c r="E96" s="11">
        <f t="shared" si="6"/>
        <v>-1.3900999469803343E-3</v>
      </c>
      <c r="F96">
        <f t="shared" si="9"/>
        <v>1.5426634725812183E-2</v>
      </c>
      <c r="G96">
        <f t="shared" si="7"/>
        <v>-9.0110381926291977E-2</v>
      </c>
      <c r="H96">
        <f t="shared" si="8"/>
        <v>3.2486612621529756</v>
      </c>
    </row>
    <row r="97" spans="1:8" x14ac:dyDescent="0.25">
      <c r="A97" s="13">
        <v>40407</v>
      </c>
      <c r="B97">
        <v>244.34455059999999</v>
      </c>
      <c r="C97" s="12">
        <v>1.0152599030885501E-2</v>
      </c>
      <c r="D97" s="12">
        <f t="shared" si="5"/>
        <v>-5.3199495787487443E-5</v>
      </c>
      <c r="E97" s="11">
        <f t="shared" si="6"/>
        <v>1.0205798526672989E-2</v>
      </c>
      <c r="F97">
        <f t="shared" si="9"/>
        <v>1.4260148018219079E-2</v>
      </c>
      <c r="G97">
        <f t="shared" si="7"/>
        <v>0.71568671753153157</v>
      </c>
      <c r="H97">
        <f t="shared" si="8"/>
        <v>3.0752442120603942</v>
      </c>
    </row>
    <row r="98" spans="1:8" x14ac:dyDescent="0.25">
      <c r="A98" s="13">
        <v>40408</v>
      </c>
      <c r="B98">
        <v>240.17517050000001</v>
      </c>
      <c r="C98" s="12">
        <v>-1.7063528078534507E-2</v>
      </c>
      <c r="D98" s="12">
        <f t="shared" si="5"/>
        <v>1.495387135951811E-4</v>
      </c>
      <c r="E98" s="11">
        <f t="shared" si="6"/>
        <v>-1.7213066792129687E-2</v>
      </c>
      <c r="F98">
        <f t="shared" si="9"/>
        <v>1.5195841480288437E-2</v>
      </c>
      <c r="G98">
        <f t="shared" si="7"/>
        <v>-1.1327485098115777</v>
      </c>
      <c r="H98">
        <f t="shared" si="8"/>
        <v>2.6262353489398906</v>
      </c>
    </row>
    <row r="99" spans="1:8" x14ac:dyDescent="0.25">
      <c r="A99" s="13">
        <v>40409</v>
      </c>
      <c r="B99">
        <v>233.11163640000001</v>
      </c>
      <c r="C99" s="12">
        <v>-2.9409926451993473E-2</v>
      </c>
      <c r="D99" s="12">
        <f t="shared" si="5"/>
        <v>-2.3198842370650155E-4</v>
      </c>
      <c r="E99" s="11">
        <f t="shared" si="6"/>
        <v>-2.917793802828697E-2</v>
      </c>
      <c r="F99">
        <f t="shared" si="9"/>
        <v>1.6757278373995904E-2</v>
      </c>
      <c r="G99">
        <f t="shared" si="7"/>
        <v>-1.7412098419016275</v>
      </c>
      <c r="H99">
        <f t="shared" si="8"/>
        <v>1.6540781953287729</v>
      </c>
    </row>
    <row r="100" spans="1:8" x14ac:dyDescent="0.25">
      <c r="A100" s="13">
        <v>40410</v>
      </c>
      <c r="B100">
        <v>230.14774869999999</v>
      </c>
      <c r="C100" s="12">
        <v>-1.2714456239817373E-2</v>
      </c>
      <c r="D100" s="12">
        <f t="shared" si="5"/>
        <v>-4.8866834263378359E-4</v>
      </c>
      <c r="E100" s="11">
        <f t="shared" si="6"/>
        <v>-1.222578789718359E-2</v>
      </c>
      <c r="F100">
        <f t="shared" si="9"/>
        <v>1.9818332207479278E-2</v>
      </c>
      <c r="G100">
        <f t="shared" si="7"/>
        <v>-0.61689287318383312</v>
      </c>
      <c r="H100">
        <f t="shared" si="8"/>
        <v>2.8119309588722468</v>
      </c>
    </row>
    <row r="101" spans="1:8" x14ac:dyDescent="0.25">
      <c r="A101" s="13">
        <v>40413</v>
      </c>
      <c r="B101">
        <v>231.16891469999999</v>
      </c>
      <c r="C101" s="12">
        <v>4.4370019075490319E-3</v>
      </c>
      <c r="D101" s="12">
        <f t="shared" si="5"/>
        <v>-2.6788467536127008E-4</v>
      </c>
      <c r="E101" s="11">
        <f t="shared" si="6"/>
        <v>4.7048865829103018E-3</v>
      </c>
      <c r="F101">
        <f t="shared" si="9"/>
        <v>1.5526034791210503E-2</v>
      </c>
      <c r="G101">
        <f t="shared" si="7"/>
        <v>0.30303207780867536</v>
      </c>
      <c r="H101">
        <f t="shared" si="8"/>
        <v>3.2003842468705597</v>
      </c>
    </row>
    <row r="102" spans="1:8" x14ac:dyDescent="0.25">
      <c r="A102" s="13">
        <v>40414</v>
      </c>
      <c r="B102">
        <v>224.85258880000001</v>
      </c>
      <c r="C102" s="12">
        <v>-2.7323422390925778E-2</v>
      </c>
      <c r="D102" s="12">
        <f t="shared" si="5"/>
        <v>3.4432424736442399E-5</v>
      </c>
      <c r="E102" s="11">
        <f t="shared" si="6"/>
        <v>-2.7357854815662219E-2</v>
      </c>
      <c r="F102">
        <f t="shared" si="9"/>
        <v>1.4449132902160773E-2</v>
      </c>
      <c r="G102">
        <f t="shared" si="7"/>
        <v>-1.8933907661387093</v>
      </c>
      <c r="H102">
        <f t="shared" si="8"/>
        <v>1.525718043140718</v>
      </c>
    </row>
    <row r="103" spans="1:8" x14ac:dyDescent="0.25">
      <c r="A103" s="13">
        <v>40415</v>
      </c>
      <c r="B103">
        <v>226.46155450000001</v>
      </c>
      <c r="C103" s="12">
        <v>7.1556467665627732E-3</v>
      </c>
      <c r="D103" s="12">
        <f t="shared" si="5"/>
        <v>-4.0185490638504812E-4</v>
      </c>
      <c r="E103" s="11">
        <f t="shared" si="6"/>
        <v>7.5575016729478211E-3</v>
      </c>
      <c r="F103">
        <f t="shared" si="9"/>
        <v>2.048747756436315E-2</v>
      </c>
      <c r="G103">
        <f t="shared" si="7"/>
        <v>0.36888395114553696</v>
      </c>
      <c r="H103">
        <f t="shared" si="8"/>
        <v>2.9009652120907914</v>
      </c>
    </row>
    <row r="104" spans="1:8" x14ac:dyDescent="0.25">
      <c r="A104" s="13">
        <v>40416</v>
      </c>
      <c r="B104">
        <v>224.64834980000001</v>
      </c>
      <c r="C104" s="12">
        <v>-8.0066777957227275E-3</v>
      </c>
      <c r="D104" s="12">
        <f t="shared" si="5"/>
        <v>3.8006422465143992E-5</v>
      </c>
      <c r="E104" s="11">
        <f t="shared" si="6"/>
        <v>-8.0446842181878721E-3</v>
      </c>
      <c r="F104">
        <f t="shared" si="9"/>
        <v>1.5121795373522748E-2</v>
      </c>
      <c r="G104">
        <f t="shared" si="7"/>
        <v>-0.53199266485734731</v>
      </c>
      <c r="H104">
        <f t="shared" si="8"/>
        <v>3.1311715427091946</v>
      </c>
    </row>
    <row r="105" spans="1:8" x14ac:dyDescent="0.25">
      <c r="A105" s="13">
        <v>40417</v>
      </c>
      <c r="B105">
        <v>228.5586959</v>
      </c>
      <c r="C105" s="12">
        <v>1.7406520472913689E-2</v>
      </c>
      <c r="D105" s="12">
        <f t="shared" si="5"/>
        <v>-1.0270859087841956E-4</v>
      </c>
      <c r="E105" s="11">
        <f t="shared" si="6"/>
        <v>1.7509229063792108E-2</v>
      </c>
      <c r="F105">
        <f t="shared" si="9"/>
        <v>1.4808867463676914E-2</v>
      </c>
      <c r="G105">
        <f t="shared" si="7"/>
        <v>1.1823476107635253</v>
      </c>
      <c r="H105">
        <f t="shared" si="8"/>
        <v>2.5946176551376094</v>
      </c>
    </row>
    <row r="106" spans="1:8" x14ac:dyDescent="0.25">
      <c r="A106" s="13">
        <v>40420</v>
      </c>
      <c r="B106">
        <v>225.5001575</v>
      </c>
      <c r="C106" s="12">
        <v>-1.3381850941861284E-2</v>
      </c>
      <c r="D106" s="12">
        <f t="shared" si="5"/>
        <v>2.4269102767905196E-4</v>
      </c>
      <c r="E106" s="11">
        <f t="shared" si="6"/>
        <v>-1.3624541969540336E-2</v>
      </c>
      <c r="F106">
        <f t="shared" si="9"/>
        <v>1.6933008124694962E-2</v>
      </c>
      <c r="G106">
        <f t="shared" si="7"/>
        <v>-0.80461438801711871</v>
      </c>
      <c r="H106">
        <f t="shared" si="8"/>
        <v>2.8358497285780295</v>
      </c>
    </row>
    <row r="107" spans="1:8" x14ac:dyDescent="0.25">
      <c r="A107" s="13">
        <v>40421</v>
      </c>
      <c r="B107">
        <v>224.17013829999999</v>
      </c>
      <c r="C107" s="12">
        <v>-5.8980854592086684E-3</v>
      </c>
      <c r="D107" s="12">
        <f t="shared" si="5"/>
        <v>-1.5766188631091303E-4</v>
      </c>
      <c r="E107" s="11">
        <f t="shared" si="6"/>
        <v>-5.740423572897755E-3</v>
      </c>
      <c r="F107">
        <f t="shared" si="9"/>
        <v>1.5723074353767293E-2</v>
      </c>
      <c r="G107">
        <f t="shared" si="7"/>
        <v>-0.36509549237883832</v>
      </c>
      <c r="H107">
        <f t="shared" si="8"/>
        <v>3.1670400490418955</v>
      </c>
    </row>
    <row r="108" spans="1:8" x14ac:dyDescent="0.25">
      <c r="A108" s="13">
        <v>40422</v>
      </c>
      <c r="B108">
        <v>229.30590470000001</v>
      </c>
      <c r="C108" s="12">
        <v>2.2910127276305481E-2</v>
      </c>
      <c r="D108" s="12">
        <f t="shared" si="5"/>
        <v>-1.2359759396830588E-4</v>
      </c>
      <c r="E108" s="11">
        <f t="shared" si="6"/>
        <v>2.3033724870273786E-2</v>
      </c>
      <c r="F108">
        <f t="shared" si="9"/>
        <v>1.4557148790683653E-2</v>
      </c>
      <c r="G108">
        <f t="shared" si="7"/>
        <v>1.582296451143991</v>
      </c>
      <c r="H108">
        <f t="shared" si="8"/>
        <v>2.0589035173493562</v>
      </c>
    </row>
    <row r="109" spans="1:8" x14ac:dyDescent="0.25">
      <c r="A109" s="13">
        <v>40423</v>
      </c>
      <c r="B109">
        <v>230.7255849</v>
      </c>
      <c r="C109" s="12">
        <v>6.1912064665641253E-3</v>
      </c>
      <c r="D109" s="12">
        <f t="shared" si="5"/>
        <v>3.3135031123564457E-4</v>
      </c>
      <c r="E109" s="11">
        <f t="shared" si="6"/>
        <v>5.8598561553284811E-3</v>
      </c>
      <c r="F109">
        <f t="shared" si="9"/>
        <v>1.8808938508839929E-2</v>
      </c>
      <c r="G109">
        <f t="shared" si="7"/>
        <v>0.31154635082540322</v>
      </c>
      <c r="H109">
        <f t="shared" si="8"/>
        <v>3.0059539719791526</v>
      </c>
    </row>
    <row r="110" spans="1:8" x14ac:dyDescent="0.25">
      <c r="A110" s="13">
        <v>40424</v>
      </c>
      <c r="B110">
        <v>234.27229790000001</v>
      </c>
      <c r="C110" s="12">
        <v>1.5371997004741456E-2</v>
      </c>
      <c r="D110" s="12">
        <f t="shared" si="5"/>
        <v>1.5251834887731298E-4</v>
      </c>
      <c r="E110" s="11">
        <f t="shared" si="6"/>
        <v>1.5219478655864142E-2</v>
      </c>
      <c r="F110">
        <f t="shared" si="9"/>
        <v>1.4830233421707749E-2</v>
      </c>
      <c r="G110">
        <f t="shared" si="7"/>
        <v>1.0262467368576031</v>
      </c>
      <c r="H110">
        <f t="shared" si="8"/>
        <v>2.7655576674641091</v>
      </c>
    </row>
    <row r="111" spans="1:8" x14ac:dyDescent="0.25">
      <c r="A111" s="13">
        <v>40428</v>
      </c>
      <c r="B111">
        <v>231.33329749999999</v>
      </c>
      <c r="C111" s="12">
        <v>-1.2545232305932075E-2</v>
      </c>
      <c r="D111" s="12">
        <f t="shared" si="5"/>
        <v>2.4840767480322976E-4</v>
      </c>
      <c r="E111" s="11">
        <f t="shared" si="6"/>
        <v>-1.2793639980735304E-2</v>
      </c>
      <c r="F111">
        <f t="shared" si="9"/>
        <v>1.629907878895602E-2</v>
      </c>
      <c r="G111">
        <f t="shared" si="7"/>
        <v>-0.78493024951839963</v>
      </c>
      <c r="H111">
        <f t="shared" si="8"/>
        <v>2.8896504072722973</v>
      </c>
    </row>
    <row r="112" spans="1:8" x14ac:dyDescent="0.25">
      <c r="A112" s="13">
        <v>40429</v>
      </c>
      <c r="B112">
        <v>234.41176369999999</v>
      </c>
      <c r="C112" s="12">
        <v>1.3307492839417234E-2</v>
      </c>
      <c r="D112" s="12">
        <f t="shared" si="5"/>
        <v>-1.5023696822733464E-4</v>
      </c>
      <c r="E112" s="11">
        <f t="shared" si="6"/>
        <v>1.3457729807644569E-2</v>
      </c>
      <c r="F112">
        <f t="shared" si="9"/>
        <v>1.5597182249534512E-2</v>
      </c>
      <c r="G112">
        <f t="shared" si="7"/>
        <v>0.86283083651511516</v>
      </c>
      <c r="H112">
        <f t="shared" si="8"/>
        <v>2.8694879466457901</v>
      </c>
    </row>
    <row r="113" spans="1:8" x14ac:dyDescent="0.25">
      <c r="A113" s="13">
        <v>40430</v>
      </c>
      <c r="B113">
        <v>237.2013192</v>
      </c>
      <c r="C113" s="12">
        <v>1.1900236813925824E-2</v>
      </c>
      <c r="D113" s="12">
        <f t="shared" si="5"/>
        <v>1.6903061442447145E-4</v>
      </c>
      <c r="E113" s="11">
        <f t="shared" si="6"/>
        <v>1.1731206199501352E-2</v>
      </c>
      <c r="F113">
        <f t="shared" si="9"/>
        <v>1.5779282053955401E-2</v>
      </c>
      <c r="G113">
        <f t="shared" si="7"/>
        <v>0.74345627129218372</v>
      </c>
      <c r="H113">
        <f t="shared" si="8"/>
        <v>2.9537553149474136</v>
      </c>
    </row>
    <row r="114" spans="1:8" x14ac:dyDescent="0.25">
      <c r="A114" s="13">
        <v>40431</v>
      </c>
      <c r="B114">
        <v>237.1813914</v>
      </c>
      <c r="C114" s="12">
        <v>-8.4012180316728191E-5</v>
      </c>
      <c r="D114" s="12">
        <f t="shared" si="5"/>
        <v>2.1418708205232494E-4</v>
      </c>
      <c r="E114" s="11">
        <f t="shared" si="6"/>
        <v>-2.981992623690531E-4</v>
      </c>
      <c r="F114">
        <f t="shared" si="9"/>
        <v>1.5420257852204028E-2</v>
      </c>
      <c r="G114">
        <f t="shared" si="7"/>
        <v>-1.9338150193541109E-2</v>
      </c>
      <c r="H114">
        <f t="shared" si="8"/>
        <v>3.25294767382282</v>
      </c>
    </row>
    <row r="115" spans="1:8" x14ac:dyDescent="0.25">
      <c r="A115" s="13">
        <v>40434</v>
      </c>
      <c r="B115">
        <v>240.23495489999999</v>
      </c>
      <c r="C115" s="12">
        <v>1.2874380582624356E-2</v>
      </c>
      <c r="D115" s="12">
        <f t="shared" si="5"/>
        <v>2.9312608098446895E-5</v>
      </c>
      <c r="E115" s="11">
        <f t="shared" si="6"/>
        <v>1.284506797452591E-2</v>
      </c>
      <c r="F115">
        <f t="shared" si="9"/>
        <v>1.424283067826561E-2</v>
      </c>
      <c r="G115">
        <f t="shared" si="7"/>
        <v>0.90186201498044416</v>
      </c>
      <c r="H115">
        <f t="shared" si="8"/>
        <v>2.9258855289301127</v>
      </c>
    </row>
    <row r="116" spans="1:8" x14ac:dyDescent="0.25">
      <c r="A116" s="13">
        <v>40435</v>
      </c>
      <c r="B116">
        <v>239.3183884</v>
      </c>
      <c r="C116" s="12">
        <v>-3.8152919935465768E-3</v>
      </c>
      <c r="D116" s="12">
        <f t="shared" si="5"/>
        <v>1.9450490836891993E-4</v>
      </c>
      <c r="E116" s="11">
        <f t="shared" si="6"/>
        <v>-4.0097969019154966E-3</v>
      </c>
      <c r="F116">
        <f t="shared" si="9"/>
        <v>1.5789900816614084E-2</v>
      </c>
      <c r="G116">
        <f t="shared" si="7"/>
        <v>-0.25394693408690705</v>
      </c>
      <c r="H116">
        <f t="shared" si="8"/>
        <v>3.1972016762686333</v>
      </c>
    </row>
    <row r="117" spans="1:8" x14ac:dyDescent="0.25">
      <c r="A117" s="13">
        <v>40436</v>
      </c>
      <c r="B117">
        <v>239.42300280000001</v>
      </c>
      <c r="C117" s="12">
        <v>4.3713481734286574E-4</v>
      </c>
      <c r="D117" s="12">
        <f t="shared" si="5"/>
        <v>-2.4618263635952574E-5</v>
      </c>
      <c r="E117" s="11">
        <f t="shared" si="6"/>
        <v>4.6175308097881835E-4</v>
      </c>
      <c r="F117">
        <f t="shared" si="9"/>
        <v>1.4418617613131995E-2</v>
      </c>
      <c r="G117">
        <f t="shared" si="7"/>
        <v>3.2024781665495383E-2</v>
      </c>
      <c r="H117">
        <f t="shared" si="8"/>
        <v>3.3197836911366485</v>
      </c>
    </row>
    <row r="118" spans="1:8" x14ac:dyDescent="0.25">
      <c r="A118" s="13">
        <v>40437</v>
      </c>
      <c r="B118">
        <v>239.63221609999999</v>
      </c>
      <c r="C118" s="12">
        <v>8.7382288900106353E-4</v>
      </c>
      <c r="D118" s="12">
        <f t="shared" si="5"/>
        <v>-3.1936683786345834E-6</v>
      </c>
      <c r="E118" s="11">
        <f t="shared" si="6"/>
        <v>8.7701655737969816E-4</v>
      </c>
      <c r="F118">
        <f t="shared" si="9"/>
        <v>1.4143001354592495E-2</v>
      </c>
      <c r="G118">
        <f t="shared" si="7"/>
        <v>6.2010639424489249E-2</v>
      </c>
      <c r="H118">
        <f t="shared" si="8"/>
        <v>3.3376741882598893</v>
      </c>
    </row>
    <row r="119" spans="1:8" x14ac:dyDescent="0.25">
      <c r="A119" s="13">
        <v>40438</v>
      </c>
      <c r="B119">
        <v>244.16025440000001</v>
      </c>
      <c r="C119" s="12">
        <v>1.8895782769502212E-2</v>
      </c>
      <c r="D119" s="12">
        <f t="shared" si="5"/>
        <v>1.4339710729872663E-5</v>
      </c>
      <c r="E119" s="11">
        <f t="shared" si="6"/>
        <v>1.8881443058772339E-2</v>
      </c>
      <c r="F119">
        <f t="shared" si="9"/>
        <v>1.4122336890116662E-2</v>
      </c>
      <c r="G119">
        <f t="shared" si="7"/>
        <v>1.3369914062867512</v>
      </c>
      <c r="H119">
        <f t="shared" si="8"/>
        <v>2.4472860150311155</v>
      </c>
    </row>
    <row r="120" spans="1:8" x14ac:dyDescent="0.25">
      <c r="A120" s="13">
        <v>40441</v>
      </c>
      <c r="B120">
        <v>253.19141289999999</v>
      </c>
      <c r="C120" s="12">
        <v>3.6988651253633265E-2</v>
      </c>
      <c r="D120" s="12">
        <f t="shared" si="5"/>
        <v>2.8803826567215914E-4</v>
      </c>
      <c r="E120" s="11">
        <f t="shared" si="6"/>
        <v>3.6700612987961102E-2</v>
      </c>
      <c r="F120">
        <f t="shared" si="9"/>
        <v>1.75696440742397E-2</v>
      </c>
      <c r="G120">
        <f t="shared" si="7"/>
        <v>2.0888649100052565</v>
      </c>
      <c r="H120">
        <f t="shared" si="8"/>
        <v>0.94096579524254764</v>
      </c>
    </row>
    <row r="121" spans="1:8" x14ac:dyDescent="0.25">
      <c r="A121" s="13">
        <v>40442</v>
      </c>
      <c r="B121">
        <v>255.77173970000001</v>
      </c>
      <c r="C121" s="12">
        <v>1.0191209766735376E-2</v>
      </c>
      <c r="D121" s="12">
        <f t="shared" si="5"/>
        <v>6.0800293094227472E-4</v>
      </c>
      <c r="E121" s="11">
        <f t="shared" si="6"/>
        <v>9.5832068357931018E-3</v>
      </c>
      <c r="F121">
        <f t="shared" si="9"/>
        <v>2.1841400671312381E-2</v>
      </c>
      <c r="G121">
        <f t="shared" si="7"/>
        <v>0.43876338244095209</v>
      </c>
      <c r="H121">
        <f t="shared" si="8"/>
        <v>2.8087528107698509</v>
      </c>
    </row>
    <row r="122" spans="1:8" x14ac:dyDescent="0.25">
      <c r="A122" s="13">
        <v>40443</v>
      </c>
      <c r="B122">
        <v>257.03700070000002</v>
      </c>
      <c r="C122" s="12">
        <v>4.9468365875138254E-3</v>
      </c>
      <c r="D122" s="12">
        <f t="shared" si="5"/>
        <v>2.4919849737268076E-4</v>
      </c>
      <c r="E122" s="11">
        <f t="shared" si="6"/>
        <v>4.6976380901411451E-3</v>
      </c>
      <c r="F122">
        <f t="shared" si="9"/>
        <v>1.5415498209194524E-2</v>
      </c>
      <c r="G122">
        <f t="shared" si="7"/>
        <v>0.30473475630773023</v>
      </c>
      <c r="H122">
        <f t="shared" si="8"/>
        <v>3.207011729344551</v>
      </c>
    </row>
    <row r="123" spans="1:8" x14ac:dyDescent="0.25">
      <c r="A123" s="13">
        <v>40444</v>
      </c>
      <c r="B123">
        <v>255.7817039</v>
      </c>
      <c r="C123" s="12">
        <v>-4.8837202293110504E-3</v>
      </c>
      <c r="D123" s="12">
        <f t="shared" si="5"/>
        <v>1.0101040861164898E-4</v>
      </c>
      <c r="E123" s="11">
        <f t="shared" si="6"/>
        <v>-4.9847306379226996E-3</v>
      </c>
      <c r="F123">
        <f t="shared" si="9"/>
        <v>1.4439945057124827E-2</v>
      </c>
      <c r="G123">
        <f t="shared" si="7"/>
        <v>-0.34520426623529143</v>
      </c>
      <c r="H123">
        <f t="shared" si="8"/>
        <v>3.2592354245147526</v>
      </c>
    </row>
    <row r="124" spans="1:8" x14ac:dyDescent="0.25">
      <c r="A124" s="13">
        <v>40445</v>
      </c>
      <c r="B124">
        <v>262.66094229999999</v>
      </c>
      <c r="C124" s="12">
        <v>2.6894958846194417E-2</v>
      </c>
      <c r="D124" s="12">
        <f t="shared" si="5"/>
        <v>-6.1151452214601524E-5</v>
      </c>
      <c r="E124" s="11">
        <f t="shared" si="6"/>
        <v>2.6956110298409018E-2</v>
      </c>
      <c r="F124">
        <f t="shared" si="9"/>
        <v>1.4398732770197114E-2</v>
      </c>
      <c r="G124">
        <f t="shared" si="7"/>
        <v>1.8721168542139697</v>
      </c>
      <c r="H124">
        <f t="shared" si="8"/>
        <v>1.5692657872215592</v>
      </c>
    </row>
    <row r="125" spans="1:8" x14ac:dyDescent="0.25">
      <c r="A125" s="13">
        <v>40448</v>
      </c>
      <c r="B125">
        <v>264.21511390000001</v>
      </c>
      <c r="C125" s="12">
        <v>5.9170259056822161E-3</v>
      </c>
      <c r="D125" s="12">
        <f t="shared" si="5"/>
        <v>3.9422648149660758E-4</v>
      </c>
      <c r="E125" s="11">
        <f t="shared" si="6"/>
        <v>5.5227994241856086E-3</v>
      </c>
      <c r="F125">
        <f t="shared" si="9"/>
        <v>2.0363885871690381E-2</v>
      </c>
      <c r="G125">
        <f t="shared" si="7"/>
        <v>0.27120557731387285</v>
      </c>
      <c r="H125">
        <f t="shared" si="8"/>
        <v>2.9382774815851298</v>
      </c>
    </row>
    <row r="126" spans="1:8" x14ac:dyDescent="0.25">
      <c r="A126" s="13">
        <v>40449</v>
      </c>
      <c r="B126">
        <v>262.60115839999997</v>
      </c>
      <c r="C126" s="12">
        <v>-6.1084904499857373E-3</v>
      </c>
      <c r="D126" s="12">
        <f t="shared" si="5"/>
        <v>1.5861235917857401E-4</v>
      </c>
      <c r="E126" s="11">
        <f t="shared" si="6"/>
        <v>-6.2671028091643112E-3</v>
      </c>
      <c r="F126">
        <f t="shared" si="9"/>
        <v>1.4978375881302616E-2</v>
      </c>
      <c r="G126">
        <f t="shared" si="7"/>
        <v>-0.41841003716480929</v>
      </c>
      <c r="H126">
        <f t="shared" si="8"/>
        <v>3.1946757131047194</v>
      </c>
    </row>
    <row r="127" spans="1:8" x14ac:dyDescent="0.25">
      <c r="A127" s="13">
        <v>40450</v>
      </c>
      <c r="B127">
        <v>262.86019199999998</v>
      </c>
      <c r="C127" s="12">
        <v>9.8641453670000878E-4</v>
      </c>
      <c r="D127" s="12">
        <f t="shared" si="5"/>
        <v>-7.718234475332854E-5</v>
      </c>
      <c r="E127" s="11">
        <f t="shared" si="6"/>
        <v>1.0635968814533374E-3</v>
      </c>
      <c r="F127">
        <f t="shared" si="9"/>
        <v>1.4569563400943761E-2</v>
      </c>
      <c r="G127">
        <f t="shared" si="7"/>
        <v>7.3001287148003455E-2</v>
      </c>
      <c r="H127">
        <f t="shared" si="8"/>
        <v>3.3072174976748325</v>
      </c>
    </row>
    <row r="128" spans="1:8" x14ac:dyDescent="0.25">
      <c r="A128" s="13">
        <v>40451</v>
      </c>
      <c r="B128">
        <v>261.9137485</v>
      </c>
      <c r="C128" s="12">
        <v>-3.6005585052604205E-3</v>
      </c>
      <c r="D128" s="12">
        <f t="shared" si="5"/>
        <v>-7.7944516442631299E-7</v>
      </c>
      <c r="E128" s="11">
        <f t="shared" si="6"/>
        <v>-3.5997790600959942E-3</v>
      </c>
      <c r="F128">
        <f t="shared" si="9"/>
        <v>1.4167177949930039E-2</v>
      </c>
      <c r="G128">
        <f t="shared" si="7"/>
        <v>-0.254092880940609</v>
      </c>
      <c r="H128">
        <f t="shared" si="8"/>
        <v>3.3056072725108065</v>
      </c>
    </row>
    <row r="129" spans="1:8" x14ac:dyDescent="0.25">
      <c r="A129" s="13">
        <v>40452</v>
      </c>
      <c r="B129">
        <v>261.8290624</v>
      </c>
      <c r="C129" s="12">
        <v>-3.2333583282662115E-4</v>
      </c>
      <c r="D129" s="12">
        <f t="shared" si="5"/>
        <v>-5.1922218966016084E-5</v>
      </c>
      <c r="E129" s="11">
        <f t="shared" si="6"/>
        <v>-2.7141361386060506E-4</v>
      </c>
      <c r="F129">
        <f t="shared" si="9"/>
        <v>1.4255774268680032E-2</v>
      </c>
      <c r="G129">
        <f t="shared" si="7"/>
        <v>-1.9038854624466198E-2</v>
      </c>
      <c r="H129">
        <f t="shared" si="8"/>
        <v>3.3314734703090494</v>
      </c>
    </row>
    <row r="130" spans="1:8" x14ac:dyDescent="0.25">
      <c r="A130" s="13">
        <v>40455</v>
      </c>
      <c r="B130">
        <v>260.20015289999998</v>
      </c>
      <c r="C130" s="12">
        <v>-6.2212707980885407E-3</v>
      </c>
      <c r="D130" s="12">
        <f t="shared" si="5"/>
        <v>-1.4143680656102072E-5</v>
      </c>
      <c r="E130" s="11">
        <f t="shared" si="6"/>
        <v>-6.2071271174324386E-3</v>
      </c>
      <c r="F130">
        <f t="shared" si="9"/>
        <v>1.4125681984673613E-2</v>
      </c>
      <c r="G130">
        <f t="shared" si="7"/>
        <v>-0.4394214115939451</v>
      </c>
      <c r="H130">
        <f t="shared" si="8"/>
        <v>3.2442765993261085</v>
      </c>
    </row>
    <row r="131" spans="1:8" x14ac:dyDescent="0.25">
      <c r="A131" s="13">
        <v>40456</v>
      </c>
      <c r="B131">
        <v>268.11050599999999</v>
      </c>
      <c r="C131" s="12">
        <v>3.0401031712844917E-2</v>
      </c>
      <c r="D131" s="12">
        <f t="shared" si="5"/>
        <v>-9.4925660298077083E-5</v>
      </c>
      <c r="E131" s="11">
        <f t="shared" si="6"/>
        <v>3.0495957373142993E-2</v>
      </c>
      <c r="F131">
        <f t="shared" si="9"/>
        <v>1.4525516410159211E-2</v>
      </c>
      <c r="G131">
        <f t="shared" si="7"/>
        <v>2.0994749179322798</v>
      </c>
      <c r="H131">
        <f t="shared" si="8"/>
        <v>1.109012424962986</v>
      </c>
    </row>
    <row r="132" spans="1:8" x14ac:dyDescent="0.25">
      <c r="A132" s="13">
        <v>40457</v>
      </c>
      <c r="B132">
        <v>266.1777634</v>
      </c>
      <c r="C132" s="12">
        <v>-7.2087536920316664E-3</v>
      </c>
      <c r="D132" s="12">
        <f t="shared" si="5"/>
        <v>4.4381722645907447E-4</v>
      </c>
      <c r="E132" s="11">
        <f t="shared" si="6"/>
        <v>-7.652570918490741E-3</v>
      </c>
      <c r="F132">
        <f t="shared" si="9"/>
        <v>2.1688156968191367E-2</v>
      </c>
      <c r="G132">
        <f t="shared" si="7"/>
        <v>-0.35284560738444842</v>
      </c>
      <c r="H132">
        <f t="shared" si="8"/>
        <v>2.849800384722498</v>
      </c>
    </row>
    <row r="133" spans="1:8" x14ac:dyDescent="0.25">
      <c r="A133" s="13">
        <v>40458</v>
      </c>
      <c r="B133">
        <v>264.01586420000001</v>
      </c>
      <c r="C133" s="12">
        <v>-8.1220127947021492E-3</v>
      </c>
      <c r="D133" s="12">
        <f t="shared" si="5"/>
        <v>-3.0900280342238795E-5</v>
      </c>
      <c r="E133" s="11">
        <f t="shared" si="6"/>
        <v>-8.0911125143599098E-3</v>
      </c>
      <c r="F133">
        <f t="shared" si="9"/>
        <v>1.5258710498302078E-2</v>
      </c>
      <c r="G133">
        <f t="shared" si="7"/>
        <v>-0.53026187994458984</v>
      </c>
      <c r="H133">
        <f t="shared" si="8"/>
        <v>3.1230773949076602</v>
      </c>
    </row>
    <row r="134" spans="1:8" x14ac:dyDescent="0.25">
      <c r="A134" s="13">
        <v>40459</v>
      </c>
      <c r="B134">
        <v>267.17401169999999</v>
      </c>
      <c r="C134" s="12">
        <v>1.1961961110062758E-2</v>
      </c>
      <c r="D134" s="12">
        <f t="shared" ref="D134:D197" si="10">+C133*$K$11+C132*$K$10</f>
        <v>-1.4136908961367463E-4</v>
      </c>
      <c r="E134" s="11">
        <f t="shared" ref="E134:E197" si="11">C134-D134</f>
        <v>1.2103330199676432E-2</v>
      </c>
      <c r="F134">
        <f t="shared" si="9"/>
        <v>1.4818563424544467E-2</v>
      </c>
      <c r="G134">
        <f t="shared" ref="G134:G197" si="12">E134/F134</f>
        <v>0.81676812069578175</v>
      </c>
      <c r="H134">
        <f t="shared" ref="H134:H197" si="13">1/2*(-LN(PI()*2)-2*LN(F134)-(E134/F134)^2)</f>
        <v>2.9593809840315841</v>
      </c>
    </row>
    <row r="135" spans="1:8" x14ac:dyDescent="0.25">
      <c r="A135" s="13">
        <v>40462</v>
      </c>
      <c r="B135">
        <v>268.41437000000002</v>
      </c>
      <c r="C135" s="12">
        <v>4.6425110440486694E-3</v>
      </c>
      <c r="D135" s="12">
        <f t="shared" si="10"/>
        <v>1.6004743124950832E-4</v>
      </c>
      <c r="E135" s="11">
        <f t="shared" si="11"/>
        <v>4.4824636127991611E-3</v>
      </c>
      <c r="F135">
        <f t="shared" ref="F135:F198" si="14">SQRT($K$6+$K$7*G134^2+$K$8*F134^2)</f>
        <v>1.5555306284597803E-2</v>
      </c>
      <c r="G135">
        <f t="shared" si="12"/>
        <v>0.28816299279413765</v>
      </c>
      <c r="H135">
        <f t="shared" si="13"/>
        <v>3.2028959699863067</v>
      </c>
    </row>
    <row r="136" spans="1:8" x14ac:dyDescent="0.25">
      <c r="A136" s="13">
        <v>40463</v>
      </c>
      <c r="B136">
        <v>269.68460540000001</v>
      </c>
      <c r="C136" s="12">
        <v>4.7323673468002703E-3</v>
      </c>
      <c r="D136" s="12">
        <f t="shared" si="10"/>
        <v>1.0095836360969859E-4</v>
      </c>
      <c r="E136" s="11">
        <f t="shared" si="11"/>
        <v>4.6314089831905715E-3</v>
      </c>
      <c r="F136">
        <f t="shared" si="14"/>
        <v>1.4433510280198755E-2</v>
      </c>
      <c r="G136">
        <f t="shared" si="12"/>
        <v>0.32087890563561472</v>
      </c>
      <c r="H136">
        <f t="shared" si="13"/>
        <v>3.2677825038732569</v>
      </c>
    </row>
    <row r="137" spans="1:8" x14ac:dyDescent="0.25">
      <c r="A137" s="13">
        <v>40464</v>
      </c>
      <c r="B137">
        <v>270.63605360000003</v>
      </c>
      <c r="C137" s="12">
        <v>3.5280033822799872E-3</v>
      </c>
      <c r="D137" s="12">
        <f t="shared" si="10"/>
        <v>8.3506635632435341E-5</v>
      </c>
      <c r="E137" s="11">
        <f t="shared" si="11"/>
        <v>3.444496746647552E-3</v>
      </c>
      <c r="F137">
        <f t="shared" si="14"/>
        <v>1.4363589810656913E-2</v>
      </c>
      <c r="G137">
        <f t="shared" si="12"/>
        <v>0.23980751274948997</v>
      </c>
      <c r="H137">
        <f t="shared" si="13"/>
        <v>3.295366404998787</v>
      </c>
    </row>
    <row r="138" spans="1:8" x14ac:dyDescent="0.25">
      <c r="A138" s="13">
        <v>40465</v>
      </c>
      <c r="B138">
        <v>269.45547920000001</v>
      </c>
      <c r="C138" s="12">
        <v>-4.362221456808979E-3</v>
      </c>
      <c r="D138" s="12">
        <f t="shared" si="10"/>
        <v>6.5521950648443102E-5</v>
      </c>
      <c r="E138" s="11">
        <f t="shared" si="11"/>
        <v>-4.4277434074574224E-3</v>
      </c>
      <c r="F138">
        <f t="shared" si="14"/>
        <v>1.4259506293364988E-2</v>
      </c>
      <c r="G138">
        <f t="shared" si="12"/>
        <v>-0.31051169068298468</v>
      </c>
      <c r="H138">
        <f t="shared" si="13"/>
        <v>3.2831841981489212</v>
      </c>
    </row>
    <row r="139" spans="1:8" x14ac:dyDescent="0.25">
      <c r="A139" s="13">
        <v>40466</v>
      </c>
      <c r="B139">
        <v>299.60253410000001</v>
      </c>
      <c r="C139" s="12">
        <v>0.11188139498779215</v>
      </c>
      <c r="D139" s="12">
        <f t="shared" si="10"/>
        <v>-5.6910313334101885E-5</v>
      </c>
      <c r="E139" s="11">
        <f t="shared" si="11"/>
        <v>0.11193830530112625</v>
      </c>
      <c r="F139">
        <f t="shared" si="14"/>
        <v>1.4332883037002756E-2</v>
      </c>
      <c r="G139">
        <f t="shared" si="12"/>
        <v>7.8098945628830307</v>
      </c>
      <c r="H139">
        <f t="shared" si="13"/>
        <v>-27.170966206406394</v>
      </c>
    </row>
    <row r="140" spans="1:8" x14ac:dyDescent="0.25">
      <c r="A140" s="13">
        <v>40469</v>
      </c>
      <c r="B140">
        <v>307.70218770000002</v>
      </c>
      <c r="C140" s="12">
        <v>2.7034663189118957E-2</v>
      </c>
      <c r="D140" s="12">
        <f t="shared" si="10"/>
        <v>1.6809589120401029E-3</v>
      </c>
      <c r="E140" s="11">
        <f t="shared" si="11"/>
        <v>2.5353704277078854E-2</v>
      </c>
      <c r="F140">
        <f t="shared" si="14"/>
        <v>6.2750031166505058E-2</v>
      </c>
      <c r="G140">
        <f t="shared" si="12"/>
        <v>0.40404289537010218</v>
      </c>
      <c r="H140">
        <f t="shared" si="13"/>
        <v>1.7680323404387956</v>
      </c>
    </row>
    <row r="141" spans="1:8" x14ac:dyDescent="0.25">
      <c r="A141" s="13">
        <v>40470</v>
      </c>
      <c r="B141">
        <v>302.78063980000002</v>
      </c>
      <c r="C141" s="12">
        <v>-1.5994517090656357E-2</v>
      </c>
      <c r="D141" s="12">
        <f t="shared" si="10"/>
        <v>6.9642243871612867E-4</v>
      </c>
      <c r="E141" s="11">
        <f t="shared" si="11"/>
        <v>-1.6690939529372485E-2</v>
      </c>
      <c r="F141">
        <f t="shared" si="14"/>
        <v>2.3844670847297599E-2</v>
      </c>
      <c r="G141">
        <f t="shared" si="12"/>
        <v>-0.69998615775667661</v>
      </c>
      <c r="H141">
        <f t="shared" si="13"/>
        <v>2.5722656874428438</v>
      </c>
    </row>
    <row r="142" spans="1:8" x14ac:dyDescent="0.25">
      <c r="A142" s="13">
        <v>40471</v>
      </c>
      <c r="B142">
        <v>302.85534730000001</v>
      </c>
      <c r="C142" s="12">
        <v>2.4673803466868094E-4</v>
      </c>
      <c r="D142" s="12">
        <f t="shared" si="10"/>
        <v>-1.7243356293624609E-4</v>
      </c>
      <c r="E142" s="11">
        <f t="shared" si="11"/>
        <v>4.19171597604927E-4</v>
      </c>
      <c r="F142">
        <f t="shared" si="14"/>
        <v>1.6268575337671537E-2</v>
      </c>
      <c r="G142">
        <f t="shared" si="12"/>
        <v>2.5765722499025014E-2</v>
      </c>
      <c r="H142">
        <f t="shared" si="13"/>
        <v>3.1992494559096261</v>
      </c>
    </row>
    <row r="143" spans="1:8" x14ac:dyDescent="0.25">
      <c r="A143" s="13">
        <v>40472</v>
      </c>
      <c r="B143">
        <v>304.85284819999998</v>
      </c>
      <c r="C143" s="12">
        <v>6.5955609428989259E-3</v>
      </c>
      <c r="D143" s="12">
        <f t="shared" si="10"/>
        <v>-3.7373614587070684E-5</v>
      </c>
      <c r="E143" s="11">
        <f t="shared" si="11"/>
        <v>6.6329345574859967E-3</v>
      </c>
      <c r="F143">
        <f t="shared" si="14"/>
        <v>1.4333899539008783E-2</v>
      </c>
      <c r="G143">
        <f t="shared" si="12"/>
        <v>0.4627445964327358</v>
      </c>
      <c r="H143">
        <f t="shared" si="13"/>
        <v>3.2191231360468331</v>
      </c>
    </row>
    <row r="144" spans="1:8" x14ac:dyDescent="0.25">
      <c r="A144" s="13">
        <v>40473</v>
      </c>
      <c r="B144">
        <v>305.1218609</v>
      </c>
      <c r="C144" s="12">
        <v>8.8243459619419262E-4</v>
      </c>
      <c r="D144" s="12">
        <f t="shared" si="10"/>
        <v>1.0038982282232559E-4</v>
      </c>
      <c r="E144" s="11">
        <f t="shared" si="11"/>
        <v>7.8204477337186706E-4</v>
      </c>
      <c r="F144">
        <f t="shared" si="14"/>
        <v>1.4589374002994333E-2</v>
      </c>
      <c r="G144">
        <f t="shared" si="12"/>
        <v>5.3603723724634088E-2</v>
      </c>
      <c r="H144">
        <f t="shared" si="13"/>
        <v>3.3070866104595176</v>
      </c>
    </row>
    <row r="145" spans="1:8" x14ac:dyDescent="0.25">
      <c r="A145" s="13">
        <v>40476</v>
      </c>
      <c r="B145">
        <v>307.09943390000001</v>
      </c>
      <c r="C145" s="12">
        <v>6.4812563549752067E-3</v>
      </c>
      <c r="D145" s="12">
        <f t="shared" si="10"/>
        <v>3.0296937315873005E-5</v>
      </c>
      <c r="E145" s="11">
        <f t="shared" si="11"/>
        <v>6.4509594176593334E-3</v>
      </c>
      <c r="F145">
        <f t="shared" si="14"/>
        <v>1.4163826269522541E-2</v>
      </c>
      <c r="G145">
        <f t="shared" si="12"/>
        <v>0.45545315897727356</v>
      </c>
      <c r="H145">
        <f t="shared" si="13"/>
        <v>3.2344066872284887</v>
      </c>
    </row>
    <row r="146" spans="1:8" x14ac:dyDescent="0.25">
      <c r="A146" s="13">
        <v>40477</v>
      </c>
      <c r="B146">
        <v>308.14551749999998</v>
      </c>
      <c r="C146" s="12">
        <v>3.4063351622477533E-3</v>
      </c>
      <c r="D146" s="12">
        <f t="shared" si="10"/>
        <v>1.0029472492964786E-4</v>
      </c>
      <c r="E146" s="11">
        <f t="shared" si="11"/>
        <v>3.3060404373181054E-3</v>
      </c>
      <c r="F146">
        <f t="shared" si="14"/>
        <v>1.4559311479992841E-2</v>
      </c>
      <c r="G146">
        <f t="shared" si="12"/>
        <v>0.22707395482686185</v>
      </c>
      <c r="H146">
        <f t="shared" si="13"/>
        <v>3.2848047021087332</v>
      </c>
    </row>
    <row r="147" spans="1:8" x14ac:dyDescent="0.25">
      <c r="A147" s="13">
        <v>40478</v>
      </c>
      <c r="B147">
        <v>307.0845109</v>
      </c>
      <c r="C147" s="12">
        <v>-3.4431998511871287E-3</v>
      </c>
      <c r="D147" s="12">
        <f t="shared" si="10"/>
        <v>6.8176352660316889E-5</v>
      </c>
      <c r="E147" s="11">
        <f t="shared" si="11"/>
        <v>-3.5113762038474455E-3</v>
      </c>
      <c r="F147">
        <f t="shared" si="14"/>
        <v>1.4265815010830222E-2</v>
      </c>
      <c r="G147">
        <f t="shared" si="12"/>
        <v>-0.24613919367254541</v>
      </c>
      <c r="H147">
        <f t="shared" si="13"/>
        <v>3.3006583778113394</v>
      </c>
    </row>
    <row r="148" spans="1:8" x14ac:dyDescent="0.25">
      <c r="A148" s="13">
        <v>40479</v>
      </c>
      <c r="B148">
        <v>308.13556870000002</v>
      </c>
      <c r="C148" s="12">
        <v>3.4226988424770344E-3</v>
      </c>
      <c r="D148" s="12">
        <f t="shared" si="10"/>
        <v>-4.3323094392591865E-5</v>
      </c>
      <c r="E148" s="11">
        <f t="shared" si="11"/>
        <v>3.4660219368696263E-3</v>
      </c>
      <c r="F148">
        <f t="shared" si="14"/>
        <v>1.4256680274119837E-2</v>
      </c>
      <c r="G148">
        <f t="shared" si="12"/>
        <v>0.24311563914086637</v>
      </c>
      <c r="H148">
        <f t="shared" si="13"/>
        <v>3.3020385507473136</v>
      </c>
    </row>
    <row r="149" spans="1:8" x14ac:dyDescent="0.25">
      <c r="A149" s="13">
        <v>40480</v>
      </c>
      <c r="B149">
        <v>305.70465639999998</v>
      </c>
      <c r="C149" s="12">
        <v>-7.889099951219114E-3</v>
      </c>
      <c r="D149" s="12">
        <f t="shared" si="10"/>
        <v>4.2918282120371286E-5</v>
      </c>
      <c r="E149" s="11">
        <f t="shared" si="11"/>
        <v>-7.9320182333394856E-3</v>
      </c>
      <c r="F149">
        <f t="shared" si="14"/>
        <v>1.4252621796966056E-2</v>
      </c>
      <c r="G149">
        <f t="shared" si="12"/>
        <v>-0.55653046480388391</v>
      </c>
      <c r="H149">
        <f t="shared" si="13"/>
        <v>3.1770127911066903</v>
      </c>
    </row>
    <row r="150" spans="1:8" x14ac:dyDescent="0.25">
      <c r="A150" s="13">
        <v>40483</v>
      </c>
      <c r="B150">
        <v>306.35224060000002</v>
      </c>
      <c r="C150" s="12">
        <v>2.1183327974982902E-3</v>
      </c>
      <c r="D150" s="12">
        <f t="shared" si="10"/>
        <v>-1.1052383261299419E-4</v>
      </c>
      <c r="E150" s="11">
        <f t="shared" si="11"/>
        <v>2.2288566301112843E-3</v>
      </c>
      <c r="F150">
        <f t="shared" si="14"/>
        <v>1.4781223650262302E-2</v>
      </c>
      <c r="G150">
        <f t="shared" si="12"/>
        <v>0.15078972369596289</v>
      </c>
      <c r="H150">
        <f t="shared" si="13"/>
        <v>3.2840902723467971</v>
      </c>
    </row>
    <row r="151" spans="1:8" x14ac:dyDescent="0.25">
      <c r="A151" s="13">
        <v>40484</v>
      </c>
      <c r="B151">
        <v>306.65113029999998</v>
      </c>
      <c r="C151" s="12">
        <v>9.7564065278121781E-4</v>
      </c>
      <c r="D151" s="12">
        <f t="shared" si="10"/>
        <v>1.1764335223921695E-5</v>
      </c>
      <c r="E151" s="11">
        <f t="shared" si="11"/>
        <v>9.6387631755729612E-4</v>
      </c>
      <c r="F151">
        <f t="shared" si="14"/>
        <v>1.4225788443012801E-2</v>
      </c>
      <c r="G151">
        <f t="shared" si="12"/>
        <v>6.7755563877425554E-2</v>
      </c>
      <c r="H151">
        <f t="shared" si="13"/>
        <v>3.3314649325090566</v>
      </c>
    </row>
    <row r="152" spans="1:8" x14ac:dyDescent="0.25">
      <c r="A152" s="13">
        <v>40485</v>
      </c>
      <c r="B152">
        <v>308.93256689999998</v>
      </c>
      <c r="C152" s="12">
        <v>7.4398440917795572E-3</v>
      </c>
      <c r="D152" s="12">
        <f t="shared" si="10"/>
        <v>2.0200301541626348E-5</v>
      </c>
      <c r="E152" s="11">
        <f t="shared" si="11"/>
        <v>7.4196437902379307E-3</v>
      </c>
      <c r="F152">
        <f t="shared" si="14"/>
        <v>1.4131945942937449E-2</v>
      </c>
      <c r="G152">
        <f t="shared" si="12"/>
        <v>0.52502633538206789</v>
      </c>
      <c r="H152">
        <f t="shared" si="13"/>
        <v>3.202552515018545</v>
      </c>
    </row>
    <row r="153" spans="1:8" x14ac:dyDescent="0.25">
      <c r="A153" s="13">
        <v>40486</v>
      </c>
      <c r="B153">
        <v>310.96995479999998</v>
      </c>
      <c r="C153" s="12">
        <v>6.5949275611965064E-3</v>
      </c>
      <c r="D153" s="12">
        <f t="shared" si="10"/>
        <v>1.1503258941763602E-4</v>
      </c>
      <c r="E153" s="11">
        <f t="shared" si="11"/>
        <v>6.47989497177887E-3</v>
      </c>
      <c r="F153">
        <f t="shared" si="14"/>
        <v>1.4699222789508809E-2</v>
      </c>
      <c r="G153">
        <f t="shared" si="12"/>
        <v>0.44083248921186008</v>
      </c>
      <c r="H153">
        <f t="shared" si="13"/>
        <v>3.203855483080142</v>
      </c>
    </row>
    <row r="154" spans="1:8" x14ac:dyDescent="0.25">
      <c r="A154" s="13">
        <v>40487</v>
      </c>
      <c r="B154">
        <v>311.37342799999999</v>
      </c>
      <c r="C154" s="12">
        <v>1.2974668252421218E-3</v>
      </c>
      <c r="D154" s="12">
        <f t="shared" si="10"/>
        <v>1.1886631799443479E-4</v>
      </c>
      <c r="E154" s="11">
        <f t="shared" si="11"/>
        <v>1.1786005072476869E-3</v>
      </c>
      <c r="F154">
        <f t="shared" si="14"/>
        <v>1.4582739741858615E-2</v>
      </c>
      <c r="G154">
        <f t="shared" si="12"/>
        <v>8.0821610212558764E-2</v>
      </c>
      <c r="H154">
        <f t="shared" si="13"/>
        <v>3.3057120595470906</v>
      </c>
    </row>
    <row r="155" spans="1:8" x14ac:dyDescent="0.25">
      <c r="A155" s="13">
        <v>40490</v>
      </c>
      <c r="B155">
        <v>312.21528749999999</v>
      </c>
      <c r="C155" s="12">
        <v>2.7036973109986207E-3</v>
      </c>
      <c r="D155" s="12">
        <f t="shared" si="10"/>
        <v>3.6572536964357298E-5</v>
      </c>
      <c r="E155" s="11">
        <f t="shared" si="11"/>
        <v>2.6671247740342632E-3</v>
      </c>
      <c r="F155">
        <f t="shared" si="14"/>
        <v>1.4171082604330778E-2</v>
      </c>
      <c r="G155">
        <f t="shared" si="12"/>
        <v>0.18820896388107794</v>
      </c>
      <c r="H155">
        <f t="shared" si="13"/>
        <v>3.3199019867982105</v>
      </c>
    </row>
    <row r="156" spans="1:8" x14ac:dyDescent="0.25">
      <c r="A156" s="13">
        <v>40491</v>
      </c>
      <c r="B156">
        <v>311.2439114</v>
      </c>
      <c r="C156" s="12">
        <v>-3.1112381068143513E-3</v>
      </c>
      <c r="D156" s="12">
        <f t="shared" si="10"/>
        <v>4.4226994376104894E-5</v>
      </c>
      <c r="E156" s="11">
        <f t="shared" si="11"/>
        <v>-3.1554651011904563E-3</v>
      </c>
      <c r="F156">
        <f t="shared" si="14"/>
        <v>1.4193377178695508E-2</v>
      </c>
      <c r="G156">
        <f t="shared" si="12"/>
        <v>-0.2223195411115306</v>
      </c>
      <c r="H156">
        <f t="shared" si="13"/>
        <v>3.3113282966531234</v>
      </c>
    </row>
    <row r="157" spans="1:8" x14ac:dyDescent="0.25">
      <c r="A157" s="13">
        <v>40492</v>
      </c>
      <c r="B157">
        <v>310.27754010000001</v>
      </c>
      <c r="C157" s="12">
        <v>-3.1048681262653144E-3</v>
      </c>
      <c r="D157" s="12">
        <f t="shared" si="10"/>
        <v>-4.0108040011549259E-5</v>
      </c>
      <c r="E157" s="11">
        <f t="shared" si="11"/>
        <v>-3.0647600862537651E-3</v>
      </c>
      <c r="F157">
        <f t="shared" si="14"/>
        <v>1.4225712884033972E-2</v>
      </c>
      <c r="G157">
        <f t="shared" si="12"/>
        <v>-0.21543806705767662</v>
      </c>
      <c r="H157">
        <f t="shared" si="13"/>
        <v>3.3105588717814256</v>
      </c>
    </row>
    <row r="158" spans="1:8" x14ac:dyDescent="0.25">
      <c r="A158" s="13">
        <v>40493</v>
      </c>
      <c r="B158">
        <v>307.44315410000002</v>
      </c>
      <c r="C158" s="12">
        <v>-9.1350021631810829E-3</v>
      </c>
      <c r="D158" s="12">
        <f t="shared" si="10"/>
        <v>-5.4955912244660005E-5</v>
      </c>
      <c r="E158" s="11">
        <f t="shared" si="11"/>
        <v>-9.0800462509364223E-3</v>
      </c>
      <c r="F158">
        <f t="shared" si="14"/>
        <v>1.4222329518687274E-2</v>
      </c>
      <c r="G158">
        <f t="shared" si="12"/>
        <v>-0.63843593547778477</v>
      </c>
      <c r="H158">
        <f t="shared" si="13"/>
        <v>3.1302032930851285</v>
      </c>
    </row>
    <row r="159" spans="1:8" x14ac:dyDescent="0.25">
      <c r="A159" s="13">
        <v>40494</v>
      </c>
      <c r="B159">
        <v>300.5191006</v>
      </c>
      <c r="C159" s="12">
        <v>-2.2521410568627775E-2</v>
      </c>
      <c r="D159" s="12">
        <f t="shared" si="10"/>
        <v>-1.4614335680202678E-4</v>
      </c>
      <c r="E159" s="11">
        <f t="shared" si="11"/>
        <v>-2.2375267211825749E-2</v>
      </c>
      <c r="F159">
        <f t="shared" si="14"/>
        <v>1.4979971195392867E-2</v>
      </c>
      <c r="G159">
        <f t="shared" si="12"/>
        <v>-1.4936789210053572</v>
      </c>
      <c r="H159">
        <f t="shared" si="13"/>
        <v>2.1665643310333458</v>
      </c>
    </row>
    <row r="160" spans="1:8" x14ac:dyDescent="0.25">
      <c r="A160" s="13">
        <v>40497</v>
      </c>
      <c r="B160">
        <v>296.62367760000001</v>
      </c>
      <c r="C160" s="12">
        <v>-1.2962314183100565E-2</v>
      </c>
      <c r="D160" s="12">
        <f t="shared" si="10"/>
        <v>-3.6410569861851231E-4</v>
      </c>
      <c r="E160" s="11">
        <f t="shared" si="11"/>
        <v>-1.2598208484482053E-2</v>
      </c>
      <c r="F160">
        <f t="shared" si="14"/>
        <v>1.839218526838679E-2</v>
      </c>
      <c r="G160">
        <f t="shared" si="12"/>
        <v>-0.68497616246484572</v>
      </c>
      <c r="H160">
        <f t="shared" si="13"/>
        <v>2.8422947134810199</v>
      </c>
    </row>
    <row r="161" spans="1:8" x14ac:dyDescent="0.25">
      <c r="A161" s="13">
        <v>40498</v>
      </c>
      <c r="B161">
        <v>290.77060990000001</v>
      </c>
      <c r="C161" s="12">
        <v>-1.9732301033273947E-2</v>
      </c>
      <c r="D161" s="12">
        <f t="shared" si="10"/>
        <v>-2.5393015919256389E-4</v>
      </c>
      <c r="E161" s="11">
        <f t="shared" si="11"/>
        <v>-1.9478370874081382E-2</v>
      </c>
      <c r="F161">
        <f t="shared" si="14"/>
        <v>1.5532224152589267E-2</v>
      </c>
      <c r="G161">
        <f t="shared" si="12"/>
        <v>-1.2540619220225637</v>
      </c>
      <c r="H161">
        <f t="shared" si="13"/>
        <v>2.4595642502157444</v>
      </c>
    </row>
    <row r="162" spans="1:8" x14ac:dyDescent="0.25">
      <c r="A162" s="13">
        <v>40499</v>
      </c>
      <c r="B162">
        <v>290.68592330000001</v>
      </c>
      <c r="C162" s="12">
        <v>-2.9124883023468051E-4</v>
      </c>
      <c r="D162" s="12">
        <f t="shared" si="10"/>
        <v>-3.3175740579342134E-4</v>
      </c>
      <c r="E162" s="11">
        <f t="shared" si="11"/>
        <v>4.050857555874083E-5</v>
      </c>
      <c r="F162">
        <f t="shared" si="14"/>
        <v>1.7307352311352123E-2</v>
      </c>
      <c r="G162">
        <f t="shared" si="12"/>
        <v>2.3405414548689067E-3</v>
      </c>
      <c r="H162">
        <f t="shared" si="13"/>
        <v>3.1376826063933687</v>
      </c>
    </row>
    <row r="163" spans="1:8" x14ac:dyDescent="0.25">
      <c r="A163" s="13">
        <v>40500</v>
      </c>
      <c r="B163">
        <v>297.16664750000001</v>
      </c>
      <c r="C163" s="12">
        <v>2.2294592481217679E-2</v>
      </c>
      <c r="D163" s="12">
        <f t="shared" si="10"/>
        <v>-5.5116487671777864E-5</v>
      </c>
      <c r="E163" s="11">
        <f t="shared" si="11"/>
        <v>2.2349708968889458E-2</v>
      </c>
      <c r="F163">
        <f t="shared" si="14"/>
        <v>1.4449006494499294E-2</v>
      </c>
      <c r="G163">
        <f t="shared" si="12"/>
        <v>1.5467990119180819</v>
      </c>
      <c r="H163">
        <f t="shared" si="13"/>
        <v>2.1218974966532897</v>
      </c>
    </row>
    <row r="164" spans="1:8" x14ac:dyDescent="0.25">
      <c r="A164" s="13">
        <v>40501</v>
      </c>
      <c r="B164">
        <v>294.312364</v>
      </c>
      <c r="C164" s="12">
        <v>-9.6049927675682101E-3</v>
      </c>
      <c r="D164" s="12">
        <f t="shared" si="10"/>
        <v>3.3644995598047496E-4</v>
      </c>
      <c r="E164" s="11">
        <f t="shared" si="11"/>
        <v>-9.9414427235486845E-3</v>
      </c>
      <c r="F164">
        <f t="shared" si="14"/>
        <v>1.8619014908204504E-2</v>
      </c>
      <c r="G164">
        <f t="shared" si="12"/>
        <v>-0.53394031706628953</v>
      </c>
      <c r="H164">
        <f t="shared" si="13"/>
        <v>2.9220872492709913</v>
      </c>
    </row>
    <row r="165" spans="1:8" x14ac:dyDescent="0.25">
      <c r="A165" s="13">
        <v>40504</v>
      </c>
      <c r="B165">
        <v>294.5066084</v>
      </c>
      <c r="C165" s="12">
        <v>6.5999401914362821E-4</v>
      </c>
      <c r="D165" s="12">
        <f t="shared" si="10"/>
        <v>-8.797593142158138E-5</v>
      </c>
      <c r="E165" s="11">
        <f t="shared" si="11"/>
        <v>7.4796995056520957E-4</v>
      </c>
      <c r="F165">
        <f t="shared" si="14"/>
        <v>1.5191287544294937E-2</v>
      </c>
      <c r="G165">
        <f t="shared" si="12"/>
        <v>4.9236771299619592E-2</v>
      </c>
      <c r="H165">
        <f t="shared" si="13"/>
        <v>3.2668825403115309</v>
      </c>
    </row>
    <row r="166" spans="1:8" x14ac:dyDescent="0.25">
      <c r="A166" s="13">
        <v>40505</v>
      </c>
      <c r="B166">
        <v>290.41694100000001</v>
      </c>
      <c r="C166" s="12">
        <v>-1.3886504694133661E-2</v>
      </c>
      <c r="D166" s="12">
        <f t="shared" si="10"/>
        <v>-1.4702359275684123E-5</v>
      </c>
      <c r="E166" s="11">
        <f t="shared" si="11"/>
        <v>-1.3871802334857977E-2</v>
      </c>
      <c r="F166">
        <f t="shared" si="14"/>
        <v>1.4223570331396668E-2</v>
      </c>
      <c r="G166">
        <f t="shared" si="12"/>
        <v>-0.97526865700082277</v>
      </c>
      <c r="H166">
        <f t="shared" si="13"/>
        <v>2.8583417980958306</v>
      </c>
    </row>
    <row r="167" spans="1:8" x14ac:dyDescent="0.25">
      <c r="A167" s="13">
        <v>40506</v>
      </c>
      <c r="B167">
        <v>296.37462319999997</v>
      </c>
      <c r="C167" s="12">
        <v>2.0514237838487492E-2</v>
      </c>
      <c r="D167" s="12">
        <f t="shared" si="10"/>
        <v>-2.0833269953638852E-4</v>
      </c>
      <c r="E167" s="11">
        <f t="shared" si="11"/>
        <v>2.0722570538023882E-2</v>
      </c>
      <c r="F167">
        <f t="shared" si="14"/>
        <v>1.6053426101446E-2</v>
      </c>
      <c r="G167">
        <f t="shared" si="12"/>
        <v>1.2908503398011288</v>
      </c>
      <c r="H167">
        <f t="shared" si="13"/>
        <v>2.3797471548348006</v>
      </c>
    </row>
    <row r="168" spans="1:8" x14ac:dyDescent="0.25">
      <c r="A168" s="13">
        <v>40508</v>
      </c>
      <c r="B168">
        <v>293.89891069999999</v>
      </c>
      <c r="C168" s="12">
        <v>-8.3533214594061489E-3</v>
      </c>
      <c r="D168" s="12">
        <f t="shared" si="10"/>
        <v>2.7458325629670165E-4</v>
      </c>
      <c r="E168" s="11">
        <f t="shared" si="11"/>
        <v>-8.6279047157028499E-3</v>
      </c>
      <c r="F168">
        <f t="shared" si="14"/>
        <v>1.7517553530955111E-2</v>
      </c>
      <c r="G168">
        <f t="shared" si="12"/>
        <v>-0.49252909091766478</v>
      </c>
      <c r="H168">
        <f t="shared" si="13"/>
        <v>3.0043208559636261</v>
      </c>
    </row>
    <row r="169" spans="1:8" x14ac:dyDescent="0.25">
      <c r="A169" s="13">
        <v>40511</v>
      </c>
      <c r="B169">
        <v>289.96863689999998</v>
      </c>
      <c r="C169" s="12">
        <v>-1.3372876376571141E-2</v>
      </c>
      <c r="D169" s="12">
        <f t="shared" si="10"/>
        <v>-7.3620270178106575E-5</v>
      </c>
      <c r="E169" s="11">
        <f t="shared" si="11"/>
        <v>-1.3299256106393034E-2</v>
      </c>
      <c r="F169">
        <f t="shared" si="14"/>
        <v>1.4978093697071886E-2</v>
      </c>
      <c r="G169">
        <f t="shared" si="12"/>
        <v>-0.88791380100612849</v>
      </c>
      <c r="H169">
        <f t="shared" si="13"/>
        <v>2.8880325733148728</v>
      </c>
    </row>
    <row r="170" spans="1:8" x14ac:dyDescent="0.25">
      <c r="A170" s="13">
        <v>40512</v>
      </c>
      <c r="B170">
        <v>276.8178881</v>
      </c>
      <c r="C170" s="12">
        <v>-4.5352314445424646E-2</v>
      </c>
      <c r="D170" s="12">
        <f t="shared" si="10"/>
        <v>-2.2372819887605088E-4</v>
      </c>
      <c r="E170" s="11">
        <f t="shared" si="11"/>
        <v>-4.5128586246548592E-2</v>
      </c>
      <c r="F170">
        <f t="shared" si="14"/>
        <v>1.5806861791815837E-2</v>
      </c>
      <c r="G170">
        <f t="shared" si="12"/>
        <v>-2.8549997362483661</v>
      </c>
      <c r="H170">
        <f t="shared" si="13"/>
        <v>-0.8471391375889552</v>
      </c>
    </row>
    <row r="171" spans="1:8" x14ac:dyDescent="0.25">
      <c r="A171" s="13">
        <v>40513</v>
      </c>
      <c r="B171">
        <v>281.12175910000002</v>
      </c>
      <c r="C171" s="12">
        <v>1.5547662145465324E-2</v>
      </c>
      <c r="D171" s="12">
        <f t="shared" si="10"/>
        <v>-7.2030690539482984E-4</v>
      </c>
      <c r="E171" s="11">
        <f t="shared" si="11"/>
        <v>1.6267969050860153E-2</v>
      </c>
      <c r="F171">
        <f t="shared" si="14"/>
        <v>2.6523656885151625E-2</v>
      </c>
      <c r="G171">
        <f t="shared" si="12"/>
        <v>0.61333808989088634</v>
      </c>
      <c r="H171">
        <f t="shared" si="13"/>
        <v>2.5226878921135052</v>
      </c>
    </row>
    <row r="172" spans="1:8" x14ac:dyDescent="0.25">
      <c r="A172" s="13">
        <v>40514</v>
      </c>
      <c r="B172">
        <v>284.8428346</v>
      </c>
      <c r="C172" s="12">
        <v>1.323652609429038E-2</v>
      </c>
      <c r="D172" s="12">
        <f t="shared" si="10"/>
        <v>1.1859919248535594E-4</v>
      </c>
      <c r="E172" s="11">
        <f t="shared" si="11"/>
        <v>1.3117926901805023E-2</v>
      </c>
      <c r="F172">
        <f t="shared" si="14"/>
        <v>1.645195370632092E-2</v>
      </c>
      <c r="G172">
        <f t="shared" si="12"/>
        <v>0.79734766678592417</v>
      </c>
      <c r="H172">
        <f t="shared" si="13"/>
        <v>2.870490858412071</v>
      </c>
    </row>
    <row r="173" spans="1:8" x14ac:dyDescent="0.25">
      <c r="A173" s="13">
        <v>40515</v>
      </c>
      <c r="B173">
        <v>285.43063489999997</v>
      </c>
      <c r="C173" s="12">
        <v>2.063595178110722E-3</v>
      </c>
      <c r="D173" s="12">
        <f t="shared" si="10"/>
        <v>2.4015519304722234E-4</v>
      </c>
      <c r="E173" s="11">
        <f t="shared" si="11"/>
        <v>1.8234399850634996E-3</v>
      </c>
      <c r="F173">
        <f t="shared" si="14"/>
        <v>1.5651119516694258E-2</v>
      </c>
      <c r="G173">
        <f t="shared" si="12"/>
        <v>0.11650540289584578</v>
      </c>
      <c r="H173">
        <f t="shared" si="13"/>
        <v>3.2314875422847669</v>
      </c>
    </row>
    <row r="174" spans="1:8" x14ac:dyDescent="0.25">
      <c r="A174" s="13">
        <v>40518</v>
      </c>
      <c r="B174">
        <v>288.10062210000001</v>
      </c>
      <c r="C174" s="12">
        <v>9.3542418841463526E-3</v>
      </c>
      <c r="D174" s="12">
        <f t="shared" si="10"/>
        <v>6.5228695471109704E-5</v>
      </c>
      <c r="E174" s="11">
        <f t="shared" si="11"/>
        <v>9.2890131886752426E-3</v>
      </c>
      <c r="F174">
        <f t="shared" si="14"/>
        <v>1.4295342170841038E-2</v>
      </c>
      <c r="G174">
        <f t="shared" si="12"/>
        <v>0.64979299394613521</v>
      </c>
      <c r="H174">
        <f t="shared" si="13"/>
        <v>3.1177675163987066</v>
      </c>
    </row>
    <row r="175" spans="1:8" x14ac:dyDescent="0.25">
      <c r="A175" s="13">
        <v>40519</v>
      </c>
      <c r="B175">
        <v>292.4742258</v>
      </c>
      <c r="C175" s="12">
        <v>1.5180820048635413E-2</v>
      </c>
      <c r="D175" s="12">
        <f t="shared" si="10"/>
        <v>1.4678324483563608E-4</v>
      </c>
      <c r="E175" s="11">
        <f t="shared" si="11"/>
        <v>1.5034036803799777E-2</v>
      </c>
      <c r="F175">
        <f t="shared" si="14"/>
        <v>1.5016534677974071E-2</v>
      </c>
      <c r="G175">
        <f t="shared" si="12"/>
        <v>1.0011655236178676</v>
      </c>
      <c r="H175">
        <f t="shared" si="13"/>
        <v>2.7784986370694194</v>
      </c>
    </row>
    <row r="176" spans="1:8" x14ac:dyDescent="0.25">
      <c r="A176" s="13">
        <v>40520</v>
      </c>
      <c r="B176">
        <v>294.16789349999999</v>
      </c>
      <c r="C176" s="12">
        <v>5.790827192951209E-3</v>
      </c>
      <c r="D176" s="12">
        <f t="shared" si="10"/>
        <v>2.5364509523712921E-4</v>
      </c>
      <c r="E176" s="11">
        <f t="shared" si="11"/>
        <v>5.5371820977140798E-3</v>
      </c>
      <c r="F176">
        <f t="shared" si="14"/>
        <v>1.6219692730564908E-2</v>
      </c>
      <c r="G176">
        <f t="shared" si="12"/>
        <v>0.34138637455687659</v>
      </c>
      <c r="H176">
        <f t="shared" si="13"/>
        <v>3.1443183127646872</v>
      </c>
    </row>
    <row r="177" spans="1:8" x14ac:dyDescent="0.25">
      <c r="A177" s="13">
        <v>40521</v>
      </c>
      <c r="B177">
        <v>294.6461046</v>
      </c>
      <c r="C177" s="12">
        <v>1.6256400190730602E-3</v>
      </c>
      <c r="D177" s="12">
        <f t="shared" si="10"/>
        <v>1.2659864624963877E-4</v>
      </c>
      <c r="E177" s="11">
        <f t="shared" si="11"/>
        <v>1.4990413728234214E-3</v>
      </c>
      <c r="F177">
        <f t="shared" si="14"/>
        <v>1.4574270103124077E-2</v>
      </c>
      <c r="G177">
        <f t="shared" si="12"/>
        <v>0.10285533081358864</v>
      </c>
      <c r="H177">
        <f t="shared" si="13"/>
        <v>3.304269483944386</v>
      </c>
    </row>
    <row r="178" spans="1:8" x14ac:dyDescent="0.25">
      <c r="A178" s="13">
        <v>40522</v>
      </c>
      <c r="B178">
        <v>294.99977339999998</v>
      </c>
      <c r="C178" s="12">
        <v>1.2003172432233367E-3</v>
      </c>
      <c r="D178" s="12">
        <f t="shared" si="10"/>
        <v>3.9469535012245265E-5</v>
      </c>
      <c r="E178" s="11">
        <f t="shared" si="11"/>
        <v>1.1608477082110913E-3</v>
      </c>
      <c r="F178">
        <f t="shared" si="14"/>
        <v>1.4178993284276777E-2</v>
      </c>
      <c r="G178">
        <f t="shared" si="12"/>
        <v>8.187095408941103E-2</v>
      </c>
      <c r="H178">
        <f t="shared" si="13"/>
        <v>3.3337037960991069</v>
      </c>
    </row>
    <row r="179" spans="1:8" x14ac:dyDescent="0.25">
      <c r="A179" s="13">
        <v>40525</v>
      </c>
      <c r="B179">
        <v>296.2002761</v>
      </c>
      <c r="C179" s="12">
        <v>4.0695038038969233E-3</v>
      </c>
      <c r="D179" s="12">
        <f t="shared" si="10"/>
        <v>2.2332255652856919E-5</v>
      </c>
      <c r="E179" s="11">
        <f t="shared" si="11"/>
        <v>4.047171548244066E-3</v>
      </c>
      <c r="F179">
        <f t="shared" si="14"/>
        <v>1.4132003537516235E-2</v>
      </c>
      <c r="G179">
        <f t="shared" si="12"/>
        <v>0.28638342309355064</v>
      </c>
      <c r="H179">
        <f t="shared" si="13"/>
        <v>3.2993670334496321</v>
      </c>
    </row>
    <row r="180" spans="1:8" x14ac:dyDescent="0.25">
      <c r="A180" s="13">
        <v>40526</v>
      </c>
      <c r="B180">
        <v>296.34474660000001</v>
      </c>
      <c r="C180" s="12">
        <v>4.8774600045020655E-4</v>
      </c>
      <c r="D180" s="12">
        <f t="shared" si="10"/>
        <v>6.4634701554525971E-5</v>
      </c>
      <c r="E180" s="11">
        <f t="shared" si="11"/>
        <v>4.2311129889568055E-4</v>
      </c>
      <c r="F180">
        <f t="shared" si="14"/>
        <v>1.4289887942670099E-2</v>
      </c>
      <c r="G180">
        <f t="shared" si="12"/>
        <v>2.9609140435052368E-2</v>
      </c>
      <c r="H180">
        <f t="shared" si="13"/>
        <v>3.3288262449283779</v>
      </c>
    </row>
    <row r="181" spans="1:8" x14ac:dyDescent="0.25">
      <c r="A181" s="13">
        <v>40527</v>
      </c>
      <c r="B181">
        <v>294.04835559999998</v>
      </c>
      <c r="C181" s="12">
        <v>-7.7490525016785661E-3</v>
      </c>
      <c r="D181" s="12">
        <f t="shared" si="10"/>
        <v>1.7835506822229351E-5</v>
      </c>
      <c r="E181" s="11">
        <f t="shared" si="11"/>
        <v>-7.7668880085007951E-3</v>
      </c>
      <c r="F181">
        <f t="shared" si="14"/>
        <v>1.4130110870574843E-2</v>
      </c>
      <c r="G181">
        <f t="shared" si="12"/>
        <v>-0.54966928990450459</v>
      </c>
      <c r="H181">
        <f t="shared" si="13"/>
        <v>3.1894405385130242</v>
      </c>
    </row>
    <row r="182" spans="1:8" x14ac:dyDescent="0.25">
      <c r="A182" s="13">
        <v>40528</v>
      </c>
      <c r="B182">
        <v>294.75071889999998</v>
      </c>
      <c r="C182" s="12">
        <v>2.3885979520845702E-3</v>
      </c>
      <c r="D182" s="12">
        <f t="shared" si="10"/>
        <v>-1.1594840456393556E-4</v>
      </c>
      <c r="E182" s="11">
        <f t="shared" si="11"/>
        <v>2.5045463566485057E-3</v>
      </c>
      <c r="F182">
        <f t="shared" si="14"/>
        <v>1.4754156290875377E-2</v>
      </c>
      <c r="G182">
        <f t="shared" si="12"/>
        <v>0.1697519198842585</v>
      </c>
      <c r="H182">
        <f t="shared" si="13"/>
        <v>3.2828840631004241</v>
      </c>
    </row>
    <row r="183" spans="1:8" x14ac:dyDescent="0.25">
      <c r="A183" s="13">
        <v>40529</v>
      </c>
      <c r="B183">
        <v>294.29741009999998</v>
      </c>
      <c r="C183" s="12">
        <v>-1.5379395907556548E-3</v>
      </c>
      <c r="D183" s="12">
        <f t="shared" si="10"/>
        <v>1.6211925649586448E-5</v>
      </c>
      <c r="E183" s="11">
        <f t="shared" si="11"/>
        <v>-1.5541515164052412E-3</v>
      </c>
      <c r="F183">
        <f t="shared" si="14"/>
        <v>1.4236174765934027E-2</v>
      </c>
      <c r="G183">
        <f t="shared" si="12"/>
        <v>-0.10916917935878362</v>
      </c>
      <c r="H183">
        <f t="shared" si="13"/>
        <v>3.3270715470069012</v>
      </c>
    </row>
    <row r="184" spans="1:8" x14ac:dyDescent="0.25">
      <c r="A184" s="13">
        <v>40532</v>
      </c>
      <c r="B184">
        <v>296.4194536</v>
      </c>
      <c r="C184" s="12">
        <v>7.210540858239245E-3</v>
      </c>
      <c r="D184" s="12">
        <f t="shared" si="10"/>
        <v>-1.7122208129851586E-5</v>
      </c>
      <c r="E184" s="11">
        <f t="shared" si="11"/>
        <v>7.2276630663690965E-3</v>
      </c>
      <c r="F184">
        <f t="shared" si="14"/>
        <v>1.4148828064521694E-2</v>
      </c>
      <c r="G184">
        <f t="shared" si="12"/>
        <v>0.51083121749797233</v>
      </c>
      <c r="H184">
        <f t="shared" si="13"/>
        <v>3.2087106810282302</v>
      </c>
    </row>
    <row r="185" spans="1:8" x14ac:dyDescent="0.25">
      <c r="A185" s="13">
        <v>40533</v>
      </c>
      <c r="B185">
        <v>300.40951189999998</v>
      </c>
      <c r="C185" s="12">
        <v>1.3460851680080044E-2</v>
      </c>
      <c r="D185" s="12">
        <f t="shared" si="10"/>
        <v>1.0510462397530896E-4</v>
      </c>
      <c r="E185" s="11">
        <f t="shared" si="11"/>
        <v>1.3355747056104735E-2</v>
      </c>
      <c r="F185">
        <f t="shared" si="14"/>
        <v>1.4670104387577923E-2</v>
      </c>
      <c r="G185">
        <f t="shared" si="12"/>
        <v>0.91040572740667514</v>
      </c>
      <c r="H185">
        <f t="shared" si="13"/>
        <v>2.888585743682802</v>
      </c>
    </row>
    <row r="186" spans="1:8" x14ac:dyDescent="0.25">
      <c r="A186" s="13">
        <v>40534</v>
      </c>
      <c r="B186">
        <v>301.61498849999998</v>
      </c>
      <c r="C186" s="12">
        <v>4.0127777325549285E-3</v>
      </c>
      <c r="D186" s="12">
        <f t="shared" si="10"/>
        <v>2.2212188356926049E-4</v>
      </c>
      <c r="E186" s="11">
        <f t="shared" si="11"/>
        <v>3.7906558489856682E-3</v>
      </c>
      <c r="F186">
        <f t="shared" si="14"/>
        <v>1.5857415182634543E-2</v>
      </c>
      <c r="G186">
        <f t="shared" si="12"/>
        <v>0.23904626355099889</v>
      </c>
      <c r="H186">
        <f t="shared" si="13"/>
        <v>3.196607961929407</v>
      </c>
    </row>
    <row r="187" spans="1:8" x14ac:dyDescent="0.25">
      <c r="A187" s="13">
        <v>40535</v>
      </c>
      <c r="B187">
        <v>300.9873326</v>
      </c>
      <c r="C187" s="12">
        <v>-2.0809837837352241E-3</v>
      </c>
      <c r="D187" s="12">
        <f t="shared" si="10"/>
        <v>9.5285957660121959E-5</v>
      </c>
      <c r="E187" s="11">
        <f t="shared" si="11"/>
        <v>-2.1762697413953459E-3</v>
      </c>
      <c r="F187">
        <f t="shared" si="14"/>
        <v>1.4410128339983726E-2</v>
      </c>
      <c r="G187">
        <f t="shared" si="12"/>
        <v>-0.15102361964097563</v>
      </c>
      <c r="H187">
        <f t="shared" si="13"/>
        <v>3.3094813626470341</v>
      </c>
    </row>
    <row r="188" spans="1:8" x14ac:dyDescent="0.25">
      <c r="A188" s="13">
        <v>40539</v>
      </c>
      <c r="B188">
        <v>300.06579169999998</v>
      </c>
      <c r="C188" s="12">
        <v>-3.0617265252976811E-3</v>
      </c>
      <c r="D188" s="12">
        <f t="shared" si="10"/>
        <v>-2.1161479715694143E-5</v>
      </c>
      <c r="E188" s="11">
        <f t="shared" si="11"/>
        <v>-3.0405650455819868E-3</v>
      </c>
      <c r="F188">
        <f t="shared" si="14"/>
        <v>1.4189285647539428E-2</v>
      </c>
      <c r="G188">
        <f t="shared" si="12"/>
        <v>-0.21428598458790299</v>
      </c>
      <c r="H188">
        <f t="shared" si="13"/>
        <v>3.313370356240704</v>
      </c>
    </row>
    <row r="189" spans="1:8" x14ac:dyDescent="0.25">
      <c r="A189" s="13">
        <v>40540</v>
      </c>
      <c r="B189">
        <v>298.34224749999998</v>
      </c>
      <c r="C189" s="12">
        <v>-5.7438876662193605E-3</v>
      </c>
      <c r="D189" s="12">
        <f t="shared" si="10"/>
        <v>-5.1655685705942865E-5</v>
      </c>
      <c r="E189" s="11">
        <f t="shared" si="11"/>
        <v>-5.6922319805134177E-3</v>
      </c>
      <c r="F189">
        <f t="shared" si="14"/>
        <v>1.4217763407558983E-2</v>
      </c>
      <c r="G189">
        <f t="shared" si="12"/>
        <v>-0.4003605783373142</v>
      </c>
      <c r="H189">
        <f t="shared" si="13"/>
        <v>3.2541803224114427</v>
      </c>
    </row>
    <row r="190" spans="1:8" x14ac:dyDescent="0.25">
      <c r="A190" s="13">
        <v>40541</v>
      </c>
      <c r="B190">
        <v>299.3783818</v>
      </c>
      <c r="C190" s="12">
        <v>3.4729720939037367E-3</v>
      </c>
      <c r="D190" s="12">
        <f t="shared" si="10"/>
        <v>-9.4742980767492931E-5</v>
      </c>
      <c r="E190" s="11">
        <f t="shared" si="11"/>
        <v>3.5677150746712297E-3</v>
      </c>
      <c r="F190">
        <f t="shared" si="14"/>
        <v>1.4464832129446679E-2</v>
      </c>
      <c r="G190">
        <f t="shared" si="12"/>
        <v>0.24664752710183749</v>
      </c>
      <c r="H190">
        <f t="shared" si="13"/>
        <v>3.2866789113962955</v>
      </c>
    </row>
    <row r="191" spans="1:8" x14ac:dyDescent="0.25">
      <c r="A191" s="13">
        <v>40542</v>
      </c>
      <c r="B191">
        <v>298.31237049999999</v>
      </c>
      <c r="C191" s="12">
        <v>-3.5607490881294224E-3</v>
      </c>
      <c r="D191" s="12">
        <f t="shared" si="10"/>
        <v>3.7765947438520143E-5</v>
      </c>
      <c r="E191" s="11">
        <f t="shared" si="11"/>
        <v>-3.5985150355679423E-3</v>
      </c>
      <c r="F191">
        <f t="shared" si="14"/>
        <v>1.4276485929227489E-2</v>
      </c>
      <c r="G191">
        <f t="shared" si="12"/>
        <v>-0.25205887873295868</v>
      </c>
      <c r="H191">
        <f t="shared" si="13"/>
        <v>3.2984360633628835</v>
      </c>
    </row>
    <row r="192" spans="1:8" x14ac:dyDescent="0.25">
      <c r="A192" s="13">
        <v>40543</v>
      </c>
      <c r="B192">
        <v>295.87648380000002</v>
      </c>
      <c r="C192" s="12">
        <v>-8.1655571169146901E-3</v>
      </c>
      <c r="D192" s="12">
        <f t="shared" si="10"/>
        <v>-4.4929733362975452E-5</v>
      </c>
      <c r="E192" s="11">
        <f t="shared" si="11"/>
        <v>-8.1206273835517147E-3</v>
      </c>
      <c r="F192">
        <f t="shared" si="14"/>
        <v>1.426404385360285E-2</v>
      </c>
      <c r="G192">
        <f t="shared" si="12"/>
        <v>-0.56930751664091284</v>
      </c>
      <c r="H192">
        <f t="shared" si="13"/>
        <v>3.1690192665441033</v>
      </c>
    </row>
    <row r="193" spans="1:8" x14ac:dyDescent="0.25">
      <c r="A193" s="13">
        <v>40546</v>
      </c>
      <c r="B193">
        <v>301.04711650000002</v>
      </c>
      <c r="C193" s="12">
        <v>1.7475646031724246E-2</v>
      </c>
      <c r="D193" s="12">
        <f t="shared" si="10"/>
        <v>-1.3265241682358837E-4</v>
      </c>
      <c r="E193" s="11">
        <f t="shared" si="11"/>
        <v>1.7608298448547836E-2</v>
      </c>
      <c r="F193">
        <f t="shared" si="14"/>
        <v>1.4812070080501276E-2</v>
      </c>
      <c r="G193">
        <f t="shared" si="12"/>
        <v>1.1887803901041176</v>
      </c>
      <c r="H193">
        <f t="shared" si="13"/>
        <v>2.5867749434564526</v>
      </c>
    </row>
    <row r="194" spans="1:8" x14ac:dyDescent="0.25">
      <c r="A194" s="13">
        <v>40547</v>
      </c>
      <c r="B194">
        <v>299.93627470000001</v>
      </c>
      <c r="C194" s="12">
        <v>-3.6899267228158728E-3</v>
      </c>
      <c r="D194" s="12">
        <f t="shared" si="10"/>
        <v>2.4332821399620022E-4</v>
      </c>
      <c r="E194" s="11">
        <f t="shared" si="11"/>
        <v>-3.933254936812073E-3</v>
      </c>
      <c r="F194">
        <f t="shared" si="14"/>
        <v>1.6960855256423765E-2</v>
      </c>
      <c r="G194">
        <f t="shared" si="12"/>
        <v>-0.23190192224076611</v>
      </c>
      <c r="H194">
        <f t="shared" si="13"/>
        <v>3.1310194380604925</v>
      </c>
    </row>
    <row r="195" spans="1:8" x14ac:dyDescent="0.25">
      <c r="A195" s="13">
        <v>40548</v>
      </c>
      <c r="B195">
        <v>303.39831659999999</v>
      </c>
      <c r="C195" s="12">
        <v>1.154259151702397E-2</v>
      </c>
      <c r="D195" s="12">
        <f t="shared" si="10"/>
        <v>-1.0897035365857054E-5</v>
      </c>
      <c r="E195" s="11">
        <f t="shared" si="11"/>
        <v>1.1553488552389827E-2</v>
      </c>
      <c r="F195">
        <f t="shared" si="14"/>
        <v>1.4523341115893089E-2</v>
      </c>
      <c r="G195">
        <f t="shared" si="12"/>
        <v>0.79551175312867151</v>
      </c>
      <c r="H195">
        <f t="shared" si="13"/>
        <v>2.9966401837674947</v>
      </c>
    </row>
    <row r="196" spans="1:8" x14ac:dyDescent="0.25">
      <c r="A196" s="13">
        <v>40549</v>
      </c>
      <c r="B196">
        <v>305.60504680000003</v>
      </c>
      <c r="C196" s="12">
        <v>7.2733765458210531E-3</v>
      </c>
      <c r="D196" s="12">
        <f t="shared" si="10"/>
        <v>1.6509493583656321E-4</v>
      </c>
      <c r="E196" s="11">
        <f t="shared" si="11"/>
        <v>7.1082816099844902E-3</v>
      </c>
      <c r="F196">
        <f t="shared" si="14"/>
        <v>1.546073997596574E-2</v>
      </c>
      <c r="G196">
        <f t="shared" si="12"/>
        <v>0.45976335033346155</v>
      </c>
      <c r="H196">
        <f t="shared" si="13"/>
        <v>3.1448216707040642</v>
      </c>
    </row>
    <row r="197" spans="1:8" x14ac:dyDescent="0.25">
      <c r="A197" s="13">
        <v>40550</v>
      </c>
      <c r="B197">
        <v>307.06955740000001</v>
      </c>
      <c r="C197" s="12">
        <v>4.7921675879862846E-3</v>
      </c>
      <c r="D197" s="12">
        <f t="shared" si="10"/>
        <v>1.3967158054831359E-4</v>
      </c>
      <c r="E197" s="11">
        <f t="shared" si="11"/>
        <v>4.6524960074379711E-3</v>
      </c>
      <c r="F197">
        <f t="shared" si="14"/>
        <v>1.4693854796041638E-2</v>
      </c>
      <c r="G197">
        <f t="shared" si="12"/>
        <v>0.31662869083824768</v>
      </c>
      <c r="H197">
        <f t="shared" si="13"/>
        <v>3.2512605165509392</v>
      </c>
    </row>
    <row r="198" spans="1:8" x14ac:dyDescent="0.25">
      <c r="A198" s="13">
        <v>40553</v>
      </c>
      <c r="B198">
        <v>305.9587156</v>
      </c>
      <c r="C198" s="12">
        <v>-3.6175575638485169E-3</v>
      </c>
      <c r="D198" s="12">
        <f t="shared" ref="D198:D261" si="15">+C197*$K$11+C196*$K$10</f>
        <v>9.117234319531219E-5</v>
      </c>
      <c r="E198" s="11">
        <f t="shared" ref="E198:E261" si="16">C198-D198</f>
        <v>-3.708729907043829E-3</v>
      </c>
      <c r="F198">
        <f t="shared" si="14"/>
        <v>1.4383176834443404E-2</v>
      </c>
      <c r="G198">
        <f t="shared" ref="G198:G261" si="17">E198/F198</f>
        <v>-0.25785193005223511</v>
      </c>
      <c r="H198">
        <f t="shared" ref="H198:H261" si="18">1/2*(-LN(PI()*2)-2*LN(F198)-(E198/F198)^2)</f>
        <v>3.2895136886312208</v>
      </c>
    </row>
    <row r="199" spans="1:8" x14ac:dyDescent="0.25">
      <c r="A199" s="13">
        <v>40554</v>
      </c>
      <c r="B199">
        <v>306.85535379999999</v>
      </c>
      <c r="C199" s="12">
        <v>2.9305855799584002E-3</v>
      </c>
      <c r="D199" s="12">
        <f t="shared" si="15"/>
        <v>-4.23986487461514E-5</v>
      </c>
      <c r="E199" s="11">
        <f t="shared" si="16"/>
        <v>2.9729842287045515E-3</v>
      </c>
      <c r="F199">
        <f t="shared" ref="F199:F262" si="19">SQRT($K$6+$K$7*G198^2+$K$8*F198^2)</f>
        <v>1.4280685043400916E-2</v>
      </c>
      <c r="G199">
        <f t="shared" si="17"/>
        <v>0.2081821859153993</v>
      </c>
      <c r="H199">
        <f t="shared" si="18"/>
        <v>3.308238906523445</v>
      </c>
    </row>
    <row r="200" spans="1:8" x14ac:dyDescent="0.25">
      <c r="A200" s="13">
        <v>40555</v>
      </c>
      <c r="B200">
        <v>307.28376050000003</v>
      </c>
      <c r="C200" s="12">
        <v>1.3961193594793642E-3</v>
      </c>
      <c r="D200" s="12">
        <f t="shared" si="15"/>
        <v>3.5027134861658938E-5</v>
      </c>
      <c r="E200" s="11">
        <f t="shared" si="16"/>
        <v>1.3610922246177052E-3</v>
      </c>
      <c r="F200">
        <f t="shared" si="19"/>
        <v>1.4221004308510402E-2</v>
      </c>
      <c r="G200">
        <f t="shared" si="17"/>
        <v>9.5709993126376791E-2</v>
      </c>
      <c r="H200">
        <f t="shared" si="18"/>
        <v>3.3295164960266517</v>
      </c>
    </row>
    <row r="201" spans="1:8" x14ac:dyDescent="0.25">
      <c r="A201" s="13">
        <v>40556</v>
      </c>
      <c r="B201">
        <v>307.19409960000002</v>
      </c>
      <c r="C201" s="12">
        <v>-2.9178535127960536E-4</v>
      </c>
      <c r="D201" s="12">
        <f t="shared" si="15"/>
        <v>2.8647371362027777E-5</v>
      </c>
      <c r="E201" s="11">
        <f t="shared" si="16"/>
        <v>-3.2043272264163316E-4</v>
      </c>
      <c r="F201">
        <f t="shared" si="19"/>
        <v>1.4141387585030411E-2</v>
      </c>
      <c r="G201">
        <f t="shared" si="17"/>
        <v>-2.2659213653180136E-2</v>
      </c>
      <c r="H201">
        <f t="shared" si="18"/>
        <v>3.3394542382444845</v>
      </c>
    </row>
    <row r="202" spans="1:8" x14ac:dyDescent="0.25">
      <c r="A202" s="13">
        <v>40557</v>
      </c>
      <c r="B202">
        <v>310.92512429999999</v>
      </c>
      <c r="C202" s="12">
        <v>1.2145495974233089E-2</v>
      </c>
      <c r="D202" s="12">
        <f t="shared" si="15"/>
        <v>-8.2517205638058547E-7</v>
      </c>
      <c r="E202" s="11">
        <f t="shared" si="16"/>
        <v>1.214632114628947E-2</v>
      </c>
      <c r="F202">
        <f t="shared" si="19"/>
        <v>1.4114950494381159E-2</v>
      </c>
      <c r="G202">
        <f t="shared" si="17"/>
        <v>0.86052878124685206</v>
      </c>
      <c r="H202">
        <f t="shared" si="18"/>
        <v>2.9713272997066875</v>
      </c>
    </row>
    <row r="203" spans="1:8" x14ac:dyDescent="0.25">
      <c r="A203" s="13">
        <v>40561</v>
      </c>
      <c r="B203">
        <v>318.62127370000002</v>
      </c>
      <c r="C203" s="12">
        <v>2.475242043346193E-2</v>
      </c>
      <c r="D203" s="12">
        <f t="shared" si="15"/>
        <v>1.8294679478158423E-4</v>
      </c>
      <c r="E203" s="11">
        <f t="shared" si="16"/>
        <v>2.4569473638680346E-2</v>
      </c>
      <c r="F203">
        <f t="shared" si="19"/>
        <v>1.5636758382232635E-2</v>
      </c>
      <c r="G203">
        <f t="shared" si="17"/>
        <v>1.5712638795133884</v>
      </c>
      <c r="H203">
        <f t="shared" si="18"/>
        <v>2.0047572071739657</v>
      </c>
    </row>
    <row r="204" spans="1:8" x14ac:dyDescent="0.25">
      <c r="A204" s="13">
        <v>40562</v>
      </c>
      <c r="B204">
        <v>314.69597420000002</v>
      </c>
      <c r="C204" s="12">
        <v>-1.2319640350493044E-2</v>
      </c>
      <c r="D204" s="12">
        <f t="shared" si="15"/>
        <v>4.055858790639162E-4</v>
      </c>
      <c r="E204" s="11">
        <f t="shared" si="16"/>
        <v>-1.2725226229556959E-2</v>
      </c>
      <c r="F204">
        <f t="shared" si="19"/>
        <v>1.8835558898368569E-2</v>
      </c>
      <c r="G204">
        <f t="shared" si="17"/>
        <v>-0.67559589275894261</v>
      </c>
      <c r="H204">
        <f t="shared" si="18"/>
        <v>2.824855326523724</v>
      </c>
    </row>
    <row r="205" spans="1:8" x14ac:dyDescent="0.25">
      <c r="A205" s="13">
        <v>40563</v>
      </c>
      <c r="B205">
        <v>312.21528749999999</v>
      </c>
      <c r="C205" s="12">
        <v>-7.8828040501829344E-3</v>
      </c>
      <c r="D205" s="12">
        <f t="shared" si="15"/>
        <v>-1.2271754595438681E-4</v>
      </c>
      <c r="E205" s="11">
        <f t="shared" si="16"/>
        <v>-7.7600865042285472E-3</v>
      </c>
      <c r="F205">
        <f t="shared" si="19"/>
        <v>1.5558113217034259E-2</v>
      </c>
      <c r="G205">
        <f t="shared" si="17"/>
        <v>-0.49878069377539869</v>
      </c>
      <c r="H205">
        <f t="shared" si="18"/>
        <v>3.1198434026834532</v>
      </c>
    </row>
    <row r="206" spans="1:8" x14ac:dyDescent="0.25">
      <c r="A206" s="13">
        <v>40564</v>
      </c>
      <c r="B206">
        <v>304.77316680000001</v>
      </c>
      <c r="C206" s="12">
        <v>-2.3836503201336567E-2</v>
      </c>
      <c r="D206" s="12">
        <f t="shared" si="15"/>
        <v>-1.5088596632083727E-4</v>
      </c>
      <c r="E206" s="11">
        <f t="shared" si="16"/>
        <v>-2.3685617235015732E-2</v>
      </c>
      <c r="F206">
        <f t="shared" si="19"/>
        <v>1.4781464784953034E-2</v>
      </c>
      <c r="G206">
        <f t="shared" si="17"/>
        <v>-1.6023863385397896</v>
      </c>
      <c r="H206">
        <f t="shared" si="18"/>
        <v>2.0116217403154399</v>
      </c>
    </row>
    <row r="207" spans="1:8" x14ac:dyDescent="0.25">
      <c r="A207" s="13">
        <v>40567</v>
      </c>
      <c r="B207">
        <v>304.39956969999997</v>
      </c>
      <c r="C207" s="12">
        <v>-1.2258201859522977E-3</v>
      </c>
      <c r="D207" s="12">
        <f t="shared" si="15"/>
        <v>-3.8077793379050331E-4</v>
      </c>
      <c r="E207" s="11">
        <f t="shared" si="16"/>
        <v>-8.4504225216179433E-4</v>
      </c>
      <c r="F207">
        <f t="shared" si="19"/>
        <v>1.8929599288027909E-2</v>
      </c>
      <c r="G207">
        <f t="shared" si="17"/>
        <v>-4.4641317510415779E-2</v>
      </c>
      <c r="H207">
        <f t="shared" si="18"/>
        <v>3.0470935252572469</v>
      </c>
    </row>
    <row r="208" spans="1:8" x14ac:dyDescent="0.25">
      <c r="A208" s="13">
        <v>40568</v>
      </c>
      <c r="B208">
        <v>308.79807599999998</v>
      </c>
      <c r="C208" s="12">
        <v>1.4449778310577033E-2</v>
      </c>
      <c r="D208" s="12">
        <f t="shared" si="15"/>
        <v>-7.9799256398383495E-5</v>
      </c>
      <c r="E208" s="11">
        <f t="shared" si="16"/>
        <v>1.4529577566975416E-2</v>
      </c>
      <c r="F208">
        <f t="shared" si="19"/>
        <v>1.4647446840755878E-2</v>
      </c>
      <c r="G208">
        <f t="shared" si="17"/>
        <v>0.99195291336012936</v>
      </c>
      <c r="H208">
        <f t="shared" si="18"/>
        <v>2.812565411422089</v>
      </c>
    </row>
    <row r="209" spans="1:8" x14ac:dyDescent="0.25">
      <c r="A209" s="13">
        <v>40569</v>
      </c>
      <c r="B209">
        <v>307.09943390000001</v>
      </c>
      <c r="C209" s="12">
        <v>-5.5008182758236046E-3</v>
      </c>
      <c r="D209" s="12">
        <f t="shared" si="15"/>
        <v>2.1539787279679072E-4</v>
      </c>
      <c r="E209" s="11">
        <f t="shared" si="16"/>
        <v>-5.7162161486203952E-3</v>
      </c>
      <c r="F209">
        <f t="shared" si="19"/>
        <v>1.6152414540636578E-2</v>
      </c>
      <c r="G209">
        <f t="shared" si="17"/>
        <v>-0.35389236291821391</v>
      </c>
      <c r="H209">
        <f t="shared" si="18"/>
        <v>3.1441272978578021</v>
      </c>
    </row>
    <row r="210" spans="1:8" x14ac:dyDescent="0.25">
      <c r="A210" s="13">
        <v>40570</v>
      </c>
      <c r="B210">
        <v>307.24390440000002</v>
      </c>
      <c r="C210" s="12">
        <v>4.7043557900883215E-4</v>
      </c>
      <c r="D210" s="12">
        <f t="shared" si="15"/>
        <v>-4.6062573547994926E-5</v>
      </c>
      <c r="E210" s="11">
        <f t="shared" si="16"/>
        <v>5.1649815255682709E-4</v>
      </c>
      <c r="F210">
        <f t="shared" si="19"/>
        <v>1.4585362412044011E-2</v>
      </c>
      <c r="G210">
        <f t="shared" si="17"/>
        <v>3.5412089049657314E-2</v>
      </c>
      <c r="H210">
        <f t="shared" si="18"/>
        <v>3.3081712864692756</v>
      </c>
    </row>
    <row r="211" spans="1:8" x14ac:dyDescent="0.25">
      <c r="A211" s="13">
        <v>40571</v>
      </c>
      <c r="B211">
        <v>299.37337710000003</v>
      </c>
      <c r="C211" s="12">
        <v>-2.5616544990111123E-2</v>
      </c>
      <c r="D211" s="12">
        <f t="shared" si="15"/>
        <v>-7.0217590693509985E-6</v>
      </c>
      <c r="E211" s="11">
        <f t="shared" si="16"/>
        <v>-2.5609523231041771E-2</v>
      </c>
      <c r="F211">
        <f t="shared" si="19"/>
        <v>1.415992533860734E-2</v>
      </c>
      <c r="G211">
        <f t="shared" si="17"/>
        <v>-1.8085916852412249</v>
      </c>
      <c r="H211">
        <f t="shared" si="18"/>
        <v>1.7028989882611658</v>
      </c>
    </row>
    <row r="212" spans="1:8" x14ac:dyDescent="0.25">
      <c r="A212" s="13">
        <v>40574</v>
      </c>
      <c r="B212">
        <v>299.05956429999998</v>
      </c>
      <c r="C212" s="12">
        <v>-1.0482321542414352E-3</v>
      </c>
      <c r="D212" s="12">
        <f t="shared" si="15"/>
        <v>-3.8623290201034578E-4</v>
      </c>
      <c r="E212" s="11">
        <f t="shared" si="16"/>
        <v>-6.6199925223108945E-4</v>
      </c>
      <c r="F212">
        <f t="shared" si="19"/>
        <v>1.9992583083145828E-2</v>
      </c>
      <c r="G212">
        <f t="shared" si="17"/>
        <v>-3.3112242148898151E-2</v>
      </c>
      <c r="H212">
        <f t="shared" si="18"/>
        <v>2.992907176556443</v>
      </c>
    </row>
    <row r="213" spans="1:8" x14ac:dyDescent="0.25">
      <c r="A213" s="13">
        <v>40575</v>
      </c>
      <c r="B213">
        <v>304.37964190000002</v>
      </c>
      <c r="C213" s="12">
        <v>1.7789357823925878E-2</v>
      </c>
      <c r="D213" s="12">
        <f t="shared" si="15"/>
        <v>-8.1687951200403049E-5</v>
      </c>
      <c r="E213" s="11">
        <f t="shared" si="16"/>
        <v>1.7871045775126281E-2</v>
      </c>
      <c r="F213">
        <f t="shared" si="19"/>
        <v>1.4780757137093538E-2</v>
      </c>
      <c r="G213">
        <f t="shared" si="17"/>
        <v>1.2090751244587739</v>
      </c>
      <c r="H213">
        <f t="shared" si="18"/>
        <v>2.5645592761393865</v>
      </c>
    </row>
    <row r="214" spans="1:8" x14ac:dyDescent="0.25">
      <c r="A214" s="13">
        <v>40576</v>
      </c>
      <c r="B214">
        <v>304.85785290000001</v>
      </c>
      <c r="C214" s="12">
        <v>1.5711004751004509E-3</v>
      </c>
      <c r="D214" s="12">
        <f t="shared" si="15"/>
        <v>2.6636432241747195E-4</v>
      </c>
      <c r="E214" s="11">
        <f t="shared" si="16"/>
        <v>1.304736152682979E-3</v>
      </c>
      <c r="F214">
        <f t="shared" si="19"/>
        <v>1.7045929641880991E-2</v>
      </c>
      <c r="G214">
        <f t="shared" si="17"/>
        <v>7.6542387543200224E-2</v>
      </c>
      <c r="H214">
        <f t="shared" si="18"/>
        <v>3.1499759326847037</v>
      </c>
    </row>
    <row r="215" spans="1:8" x14ac:dyDescent="0.25">
      <c r="A215" s="13">
        <v>40577</v>
      </c>
      <c r="B215">
        <v>303.93628169999999</v>
      </c>
      <c r="C215" s="12">
        <v>-3.0229537839797649E-3</v>
      </c>
      <c r="D215" s="12">
        <f t="shared" si="15"/>
        <v>6.9480519417151182E-5</v>
      </c>
      <c r="E215" s="11">
        <f t="shared" si="16"/>
        <v>-3.0924343033969159E-3</v>
      </c>
      <c r="F215">
        <f t="shared" si="19"/>
        <v>1.443152805969097E-2</v>
      </c>
      <c r="G215">
        <f t="shared" si="17"/>
        <v>-0.21428322008633754</v>
      </c>
      <c r="H215">
        <f t="shared" si="18"/>
        <v>3.2964428347503629</v>
      </c>
    </row>
    <row r="216" spans="1:8" x14ac:dyDescent="0.25">
      <c r="A216" s="13">
        <v>40578</v>
      </c>
      <c r="B216">
        <v>304.34973450000001</v>
      </c>
      <c r="C216" s="12">
        <v>1.3603272294029356E-3</v>
      </c>
      <c r="D216" s="12">
        <f t="shared" si="15"/>
        <v>-4.1683509518905177E-5</v>
      </c>
      <c r="E216" s="11">
        <f t="shared" si="16"/>
        <v>1.4020107389218408E-3</v>
      </c>
      <c r="F216">
        <f t="shared" si="19"/>
        <v>1.4241184590842509E-2</v>
      </c>
      <c r="G216">
        <f t="shared" si="17"/>
        <v>9.8447620700273339E-2</v>
      </c>
      <c r="H216">
        <f t="shared" si="18"/>
        <v>3.3278326886835905</v>
      </c>
    </row>
    <row r="217" spans="1:8" x14ac:dyDescent="0.25">
      <c r="A217" s="13">
        <v>40581</v>
      </c>
      <c r="B217">
        <v>305.99857170000001</v>
      </c>
      <c r="C217" s="12">
        <v>5.4175739719595217E-3</v>
      </c>
      <c r="D217" s="12">
        <f t="shared" si="15"/>
        <v>1.2805602785091112E-5</v>
      </c>
      <c r="E217" s="11">
        <f t="shared" si="16"/>
        <v>5.4047683691744305E-3</v>
      </c>
      <c r="F217">
        <f t="shared" si="19"/>
        <v>1.4144491552718257E-2</v>
      </c>
      <c r="G217">
        <f t="shared" si="17"/>
        <v>0.38211118081057882</v>
      </c>
      <c r="H217">
        <f t="shared" si="18"/>
        <v>3.2664870097913896</v>
      </c>
    </row>
    <row r="218" spans="1:8" x14ac:dyDescent="0.25">
      <c r="A218" s="13">
        <v>40582</v>
      </c>
      <c r="B218">
        <v>308.0359287</v>
      </c>
      <c r="C218" s="12">
        <v>6.6580604892412243E-3</v>
      </c>
      <c r="D218" s="12">
        <f t="shared" si="15"/>
        <v>8.5435045255583309E-5</v>
      </c>
      <c r="E218" s="11">
        <f t="shared" si="16"/>
        <v>6.5726254439856411E-3</v>
      </c>
      <c r="F218">
        <f t="shared" si="19"/>
        <v>1.4427628941272107E-2</v>
      </c>
      <c r="G218">
        <f t="shared" si="17"/>
        <v>0.45555825359382457</v>
      </c>
      <c r="H218">
        <f t="shared" si="18"/>
        <v>3.2159050398182272</v>
      </c>
    </row>
    <row r="219" spans="1:8" x14ac:dyDescent="0.25">
      <c r="A219" s="13">
        <v>40583</v>
      </c>
      <c r="B219">
        <v>307.09943390000001</v>
      </c>
      <c r="C219" s="12">
        <v>-3.0402128866988676E-3</v>
      </c>
      <c r="D219" s="12">
        <f t="shared" si="15"/>
        <v>1.1462400717447345E-4</v>
      </c>
      <c r="E219" s="11">
        <f t="shared" si="16"/>
        <v>-3.1548368938733411E-3</v>
      </c>
      <c r="F219">
        <f t="shared" si="19"/>
        <v>1.4584396415931445E-2</v>
      </c>
      <c r="G219">
        <f t="shared" si="17"/>
        <v>-0.21631590392229849</v>
      </c>
      <c r="H219">
        <f t="shared" si="18"/>
        <v>3.2854682420615124</v>
      </c>
    </row>
    <row r="220" spans="1:8" x14ac:dyDescent="0.25">
      <c r="A220" s="13">
        <v>40584</v>
      </c>
      <c r="B220">
        <v>307.06955740000001</v>
      </c>
      <c r="C220" s="12">
        <v>-9.7286079692726624E-5</v>
      </c>
      <c r="D220" s="12">
        <f t="shared" si="15"/>
        <v>-2.887120748250327E-5</v>
      </c>
      <c r="E220" s="11">
        <f t="shared" si="16"/>
        <v>-6.8414872210223357E-5</v>
      </c>
      <c r="F220">
        <f t="shared" si="19"/>
        <v>1.4258031240742453E-2</v>
      </c>
      <c r="G220">
        <f t="shared" si="17"/>
        <v>-4.7983393397769561E-3</v>
      </c>
      <c r="H220">
        <f t="shared" si="18"/>
        <v>3.3314848899515073</v>
      </c>
    </row>
    <row r="221" spans="1:8" x14ac:dyDescent="0.25">
      <c r="A221" s="13">
        <v>40585</v>
      </c>
      <c r="B221">
        <v>311.08451789999998</v>
      </c>
      <c r="C221" s="12">
        <v>1.3075084791847047E-2</v>
      </c>
      <c r="D221" s="12">
        <f t="shared" si="15"/>
        <v>-9.2846796324154189E-6</v>
      </c>
      <c r="E221" s="11">
        <f t="shared" si="16"/>
        <v>1.3084369471479462E-2</v>
      </c>
      <c r="F221">
        <f t="shared" si="19"/>
        <v>1.4125164666562448E-2</v>
      </c>
      <c r="G221">
        <f t="shared" si="17"/>
        <v>0.9263162434101182</v>
      </c>
      <c r="H221">
        <f t="shared" si="18"/>
        <v>2.9118279196004639</v>
      </c>
    </row>
    <row r="222" spans="1:8" x14ac:dyDescent="0.25">
      <c r="A222" s="13">
        <v>40588</v>
      </c>
      <c r="B222">
        <v>312.90269740000002</v>
      </c>
      <c r="C222" s="12">
        <v>5.8446479827212183E-3</v>
      </c>
      <c r="D222" s="12">
        <f t="shared" si="15"/>
        <v>1.9750638069017146E-4</v>
      </c>
      <c r="E222" s="11">
        <f t="shared" si="16"/>
        <v>5.647141602031047E-3</v>
      </c>
      <c r="F222">
        <f t="shared" si="19"/>
        <v>1.5866307989551697E-2</v>
      </c>
      <c r="G222">
        <f t="shared" si="17"/>
        <v>0.35592033167072079</v>
      </c>
      <c r="H222">
        <f t="shared" si="18"/>
        <v>3.1612792379159376</v>
      </c>
    </row>
    <row r="223" spans="1:8" x14ac:dyDescent="0.25">
      <c r="A223" s="13">
        <v>40589</v>
      </c>
      <c r="B223">
        <v>310.91017040000003</v>
      </c>
      <c r="C223" s="12">
        <v>-6.3678805473921241E-3</v>
      </c>
      <c r="D223" s="12">
        <f t="shared" si="15"/>
        <v>1.2200098937632128E-4</v>
      </c>
      <c r="E223" s="11">
        <f t="shared" si="16"/>
        <v>-6.4898815367684451E-3</v>
      </c>
      <c r="F223">
        <f t="shared" si="19"/>
        <v>1.4558166633967038E-2</v>
      </c>
      <c r="G223">
        <f t="shared" si="17"/>
        <v>-0.44578975498372769</v>
      </c>
      <c r="H223">
        <f t="shared" si="18"/>
        <v>3.2113003761098047</v>
      </c>
    </row>
    <row r="224" spans="1:8" x14ac:dyDescent="0.25">
      <c r="A224" s="13">
        <v>40590</v>
      </c>
      <c r="B224">
        <v>310.94502169999998</v>
      </c>
      <c r="C224" s="12">
        <v>1.1209443536408514E-4</v>
      </c>
      <c r="D224" s="12">
        <f t="shared" si="15"/>
        <v>-8.1291544748336234E-5</v>
      </c>
      <c r="E224" s="11">
        <f t="shared" si="16"/>
        <v>1.9338598011242136E-4</v>
      </c>
      <c r="F224">
        <f t="shared" si="19"/>
        <v>1.4578369114530474E-2</v>
      </c>
      <c r="G224">
        <f t="shared" si="17"/>
        <v>1.3265268466804748E-2</v>
      </c>
      <c r="H224">
        <f t="shared" si="18"/>
        <v>3.3091898994937039</v>
      </c>
    </row>
    <row r="225" spans="1:8" x14ac:dyDescent="0.25">
      <c r="A225" s="13">
        <v>40591</v>
      </c>
      <c r="B225">
        <v>311.4630889</v>
      </c>
      <c r="C225" s="12">
        <v>1.6661054650999318E-3</v>
      </c>
      <c r="D225" s="12">
        <f t="shared" si="15"/>
        <v>-1.4669877271261604E-5</v>
      </c>
      <c r="E225" s="11">
        <f t="shared" si="16"/>
        <v>1.6807753423711935E-3</v>
      </c>
      <c r="F225">
        <f t="shared" si="19"/>
        <v>1.4156899781023814E-2</v>
      </c>
      <c r="G225">
        <f t="shared" si="17"/>
        <v>0.11872481746491825</v>
      </c>
      <c r="H225">
        <f t="shared" si="18"/>
        <v>3.3315668323602465</v>
      </c>
    </row>
    <row r="226" spans="1:8" x14ac:dyDescent="0.25">
      <c r="A226" s="13">
        <v>40592</v>
      </c>
      <c r="B226">
        <v>313.86409429999998</v>
      </c>
      <c r="C226" s="12">
        <v>7.7087959555004471E-3</v>
      </c>
      <c r="D226" s="12">
        <f t="shared" si="15"/>
        <v>2.5487382504403712E-5</v>
      </c>
      <c r="E226" s="11">
        <f t="shared" si="16"/>
        <v>7.6833085729960436E-3</v>
      </c>
      <c r="F226">
        <f t="shared" si="19"/>
        <v>1.4145895870734218E-2</v>
      </c>
      <c r="G226">
        <f t="shared" si="17"/>
        <v>0.54314754210029792</v>
      </c>
      <c r="H226">
        <f t="shared" si="18"/>
        <v>3.191887581985533</v>
      </c>
    </row>
    <row r="227" spans="1:8" x14ac:dyDescent="0.25">
      <c r="A227" s="13">
        <v>40596</v>
      </c>
      <c r="B227">
        <v>303.96618910000001</v>
      </c>
      <c r="C227" s="12">
        <v>-3.1535640360758399E-2</v>
      </c>
      <c r="D227" s="12">
        <f t="shared" si="15"/>
        <v>1.2087487347519878E-4</v>
      </c>
      <c r="E227" s="11">
        <f t="shared" si="16"/>
        <v>-3.1656515234233601E-2</v>
      </c>
      <c r="F227">
        <f t="shared" si="19"/>
        <v>1.4740803350245578E-2</v>
      </c>
      <c r="G227">
        <f t="shared" si="17"/>
        <v>-2.147543419586166</v>
      </c>
      <c r="H227">
        <f t="shared" si="18"/>
        <v>0.99222598962398489</v>
      </c>
    </row>
    <row r="228" spans="1:8" x14ac:dyDescent="0.25">
      <c r="A228" s="13">
        <v>40597</v>
      </c>
      <c r="B228">
        <v>304.51910709999999</v>
      </c>
      <c r="C228" s="12">
        <v>1.8190115211071944E-3</v>
      </c>
      <c r="D228" s="12">
        <f t="shared" si="15"/>
        <v>-4.5715491637788859E-4</v>
      </c>
      <c r="E228" s="11">
        <f t="shared" si="16"/>
        <v>2.2761664374850829E-3</v>
      </c>
      <c r="F228">
        <f t="shared" si="19"/>
        <v>2.1988462197567529E-2</v>
      </c>
      <c r="G228">
        <f t="shared" si="17"/>
        <v>0.10351639951141665</v>
      </c>
      <c r="H228">
        <f t="shared" si="18"/>
        <v>2.8929410530700332</v>
      </c>
    </row>
    <row r="229" spans="1:8" x14ac:dyDescent="0.25">
      <c r="A229" s="13">
        <v>40598</v>
      </c>
      <c r="B229">
        <v>303.27377439999998</v>
      </c>
      <c r="C229" s="12">
        <v>-4.0895059487714436E-3</v>
      </c>
      <c r="D229" s="12">
        <f t="shared" si="15"/>
        <v>-5.3533727741845698E-5</v>
      </c>
      <c r="E229" s="11">
        <f t="shared" si="16"/>
        <v>-4.0359722210295979E-3</v>
      </c>
      <c r="F229">
        <f t="shared" si="19"/>
        <v>1.5070383698003358E-2</v>
      </c>
      <c r="G229">
        <f t="shared" si="17"/>
        <v>-0.26780819267158507</v>
      </c>
      <c r="H229">
        <f t="shared" si="18"/>
        <v>3.240224658383513</v>
      </c>
    </row>
    <row r="230" spans="1:8" x14ac:dyDescent="0.25">
      <c r="A230" s="13">
        <v>40599</v>
      </c>
      <c r="B230">
        <v>303.88150250000001</v>
      </c>
      <c r="C230" s="12">
        <v>2.003892691355702E-3</v>
      </c>
      <c r="D230" s="12">
        <f t="shared" si="15"/>
        <v>-5.7177639746902729E-5</v>
      </c>
      <c r="E230" s="11">
        <f t="shared" si="16"/>
        <v>2.0610703311026049E-3</v>
      </c>
      <c r="F230">
        <f t="shared" si="19"/>
        <v>1.4359832969982715E-2</v>
      </c>
      <c r="G230">
        <f t="shared" si="17"/>
        <v>0.1435302440781166</v>
      </c>
      <c r="H230">
        <f t="shared" si="18"/>
        <v>3.314081348359275</v>
      </c>
    </row>
    <row r="231" spans="1:8" x14ac:dyDescent="0.25">
      <c r="A231" s="13">
        <v>40602</v>
      </c>
      <c r="B231">
        <v>305.5552419</v>
      </c>
      <c r="C231" s="12">
        <v>5.5078686469243188E-3</v>
      </c>
      <c r="D231" s="12">
        <f t="shared" si="15"/>
        <v>1.9798312727219699E-5</v>
      </c>
      <c r="E231" s="11">
        <f t="shared" si="16"/>
        <v>5.4880703341970991E-3</v>
      </c>
      <c r="F231">
        <f t="shared" si="19"/>
        <v>1.4179613518917361E-2</v>
      </c>
      <c r="G231">
        <f t="shared" si="17"/>
        <v>0.38703948643419184</v>
      </c>
      <c r="H231">
        <f t="shared" si="18"/>
        <v>3.2621116983807852</v>
      </c>
    </row>
    <row r="232" spans="1:8" x14ac:dyDescent="0.25">
      <c r="A232" s="13">
        <v>40603</v>
      </c>
      <c r="B232">
        <v>299.25881399999997</v>
      </c>
      <c r="C232" s="12">
        <v>-2.0606512461863402E-2</v>
      </c>
      <c r="D232" s="12">
        <f t="shared" si="15"/>
        <v>8.8454667488471617E-5</v>
      </c>
      <c r="E232" s="11">
        <f t="shared" si="16"/>
        <v>-2.0694967129351875E-2</v>
      </c>
      <c r="F232">
        <f t="shared" si="19"/>
        <v>1.4438989582686733E-2</v>
      </c>
      <c r="G232">
        <f t="shared" si="17"/>
        <v>-1.4332697596905573</v>
      </c>
      <c r="H232">
        <f t="shared" si="18"/>
        <v>2.2917534862374787</v>
      </c>
    </row>
    <row r="233" spans="1:8" x14ac:dyDescent="0.25">
      <c r="A233" s="13">
        <v>40604</v>
      </c>
      <c r="B233">
        <v>299.2737674</v>
      </c>
      <c r="C233" s="12">
        <v>4.9968118900567404E-5</v>
      </c>
      <c r="D233" s="12">
        <f t="shared" si="15"/>
        <v>-2.9751173265733148E-4</v>
      </c>
      <c r="E233" s="11">
        <f t="shared" si="16"/>
        <v>3.4747985155789889E-4</v>
      </c>
      <c r="F233">
        <f t="shared" si="19"/>
        <v>1.8052888272375743E-2</v>
      </c>
      <c r="G233">
        <f t="shared" si="17"/>
        <v>1.924788135367831E-2</v>
      </c>
      <c r="H233">
        <f t="shared" si="18"/>
        <v>3.0953258182412515</v>
      </c>
    </row>
    <row r="234" spans="1:8" x14ac:dyDescent="0.25">
      <c r="A234" s="13">
        <v>40605</v>
      </c>
      <c r="B234">
        <v>303.64239679999997</v>
      </c>
      <c r="C234" s="12">
        <v>1.4597435110846213E-2</v>
      </c>
      <c r="D234" s="12">
        <f t="shared" si="15"/>
        <v>-5.2202390469701412E-5</v>
      </c>
      <c r="E234" s="11">
        <f t="shared" si="16"/>
        <v>1.4649637501315914E-2</v>
      </c>
      <c r="F234">
        <f t="shared" si="19"/>
        <v>1.4537223153862723E-2</v>
      </c>
      <c r="G234">
        <f t="shared" si="17"/>
        <v>1.0077328624774753</v>
      </c>
      <c r="H234">
        <f t="shared" si="18"/>
        <v>2.8043415106418887</v>
      </c>
    </row>
    <row r="235" spans="1:8" x14ac:dyDescent="0.25">
      <c r="A235" s="13">
        <v>40606</v>
      </c>
      <c r="B235">
        <v>299.18908140000002</v>
      </c>
      <c r="C235" s="12">
        <v>-1.4666316189478668E-2</v>
      </c>
      <c r="D235" s="12">
        <f t="shared" si="15"/>
        <v>2.2090987296110126E-4</v>
      </c>
      <c r="E235" s="11">
        <f t="shared" si="16"/>
        <v>-1.4887226062439769E-2</v>
      </c>
      <c r="F235">
        <f t="shared" si="19"/>
        <v>1.6202621394994177E-2</v>
      </c>
      <c r="G235">
        <f t="shared" si="17"/>
        <v>-0.91881589401571762</v>
      </c>
      <c r="H235">
        <f t="shared" si="18"/>
        <v>2.7815323785759163</v>
      </c>
    </row>
    <row r="236" spans="1:8" x14ac:dyDescent="0.25">
      <c r="A236" s="13">
        <v>40609</v>
      </c>
      <c r="B236">
        <v>294.72581680000002</v>
      </c>
      <c r="C236" s="12">
        <v>-1.4917872601215909E-2</v>
      </c>
      <c r="D236" s="12">
        <f t="shared" si="15"/>
        <v>-1.8430827350940693E-4</v>
      </c>
      <c r="E236" s="11">
        <f t="shared" si="16"/>
        <v>-1.4733564327706502E-2</v>
      </c>
      <c r="F236">
        <f t="shared" si="19"/>
        <v>1.6029642917044635E-2</v>
      </c>
      <c r="G236">
        <f t="shared" si="17"/>
        <v>-0.91914488700431451</v>
      </c>
      <c r="H236">
        <f t="shared" si="18"/>
        <v>2.791963393668393</v>
      </c>
    </row>
    <row r="237" spans="1:8" x14ac:dyDescent="0.25">
      <c r="A237" s="13">
        <v>40610</v>
      </c>
      <c r="B237">
        <v>295.04957819999998</v>
      </c>
      <c r="C237" s="12">
        <v>1.098517271120647E-3</v>
      </c>
      <c r="D237" s="12">
        <f t="shared" si="15"/>
        <v>-2.6331997823014487E-4</v>
      </c>
      <c r="E237" s="11">
        <f t="shared" si="16"/>
        <v>1.3618372493507918E-3</v>
      </c>
      <c r="F237">
        <f t="shared" si="19"/>
        <v>1.6014069827051829E-2</v>
      </c>
      <c r="G237">
        <f t="shared" si="17"/>
        <v>8.5040046912390949E-2</v>
      </c>
      <c r="H237">
        <f t="shared" si="18"/>
        <v>3.2117331409716869</v>
      </c>
    </row>
    <row r="238" spans="1:8" x14ac:dyDescent="0.25">
      <c r="A238" s="13">
        <v>40611</v>
      </c>
      <c r="B238">
        <v>294.780596</v>
      </c>
      <c r="C238" s="12">
        <v>-9.1165085420885639E-4</v>
      </c>
      <c r="D238" s="12">
        <f t="shared" si="15"/>
        <v>-2.172378553813032E-5</v>
      </c>
      <c r="E238" s="11">
        <f t="shared" si="16"/>
        <v>-8.8992706867072611E-4</v>
      </c>
      <c r="F238">
        <f t="shared" si="19"/>
        <v>1.432037718835376E-2</v>
      </c>
      <c r="G238">
        <f t="shared" si="17"/>
        <v>-6.2144108145033447E-2</v>
      </c>
      <c r="H238">
        <f t="shared" si="18"/>
        <v>3.3252022995344466</v>
      </c>
    </row>
    <row r="239" spans="1:8" x14ac:dyDescent="0.25">
      <c r="A239" s="13">
        <v>40612</v>
      </c>
      <c r="B239">
        <v>289.0669934</v>
      </c>
      <c r="C239" s="12">
        <v>-1.9382560037974783E-2</v>
      </c>
      <c r="D239" s="12">
        <f t="shared" si="15"/>
        <v>-1.096526487011566E-5</v>
      </c>
      <c r="E239" s="11">
        <f t="shared" si="16"/>
        <v>-1.9371594773104666E-2</v>
      </c>
      <c r="F239">
        <f t="shared" si="19"/>
        <v>1.4139548843149115E-2</v>
      </c>
      <c r="G239">
        <f t="shared" si="17"/>
        <v>-1.3700291988093085</v>
      </c>
      <c r="H239">
        <f t="shared" si="18"/>
        <v>2.4013509894481184</v>
      </c>
    </row>
    <row r="240" spans="1:8" x14ac:dyDescent="0.25">
      <c r="A240" s="13">
        <v>40613</v>
      </c>
      <c r="B240">
        <v>287.27869090000002</v>
      </c>
      <c r="C240" s="12">
        <v>-6.1864638330582089E-3</v>
      </c>
      <c r="D240" s="12">
        <f t="shared" si="15"/>
        <v>-2.9549783024852085E-4</v>
      </c>
      <c r="E240" s="11">
        <f t="shared" si="16"/>
        <v>-5.8909660028096883E-3</v>
      </c>
      <c r="F240">
        <f t="shared" si="19"/>
        <v>1.7726246848666374E-2</v>
      </c>
      <c r="G240">
        <f t="shared" si="17"/>
        <v>-0.33233013469249373</v>
      </c>
      <c r="H240">
        <f t="shared" si="18"/>
        <v>3.0585486725494899</v>
      </c>
    </row>
    <row r="241" spans="1:8" x14ac:dyDescent="0.25">
      <c r="A241" s="13">
        <v>40616</v>
      </c>
      <c r="B241">
        <v>283.9312425</v>
      </c>
      <c r="C241" s="12">
        <v>-1.1652268358342099E-2</v>
      </c>
      <c r="D241" s="12">
        <f t="shared" si="15"/>
        <v>-1.4338087214545758E-4</v>
      </c>
      <c r="E241" s="11">
        <f t="shared" si="16"/>
        <v>-1.1508887486196643E-2</v>
      </c>
      <c r="F241">
        <f t="shared" si="19"/>
        <v>1.4729311618349929E-2</v>
      </c>
      <c r="G241">
        <f t="shared" si="17"/>
        <v>-0.78135949489036216</v>
      </c>
      <c r="H241">
        <f t="shared" si="18"/>
        <v>2.9937159195768763</v>
      </c>
    </row>
    <row r="242" spans="1:8" x14ac:dyDescent="0.25">
      <c r="A242" s="13">
        <v>40617</v>
      </c>
      <c r="B242">
        <v>283.71703939999998</v>
      </c>
      <c r="C242" s="12">
        <v>-7.5441891534711036E-4</v>
      </c>
      <c r="D242" s="12">
        <f t="shared" si="15"/>
        <v>-1.9213580092051599E-4</v>
      </c>
      <c r="E242" s="11">
        <f t="shared" si="16"/>
        <v>-5.622831144265944E-4</v>
      </c>
      <c r="F242">
        <f t="shared" si="19"/>
        <v>1.5435226398500052E-2</v>
      </c>
      <c r="G242">
        <f t="shared" si="17"/>
        <v>-3.6428562815329704E-2</v>
      </c>
      <c r="H242">
        <f t="shared" si="18"/>
        <v>3.251500899971274</v>
      </c>
    </row>
    <row r="243" spans="1:8" x14ac:dyDescent="0.25">
      <c r="A243" s="13">
        <v>40618</v>
      </c>
      <c r="B243">
        <v>277.51030229999998</v>
      </c>
      <c r="C243" s="12">
        <v>-2.1876504538204333E-2</v>
      </c>
      <c r="D243" s="12">
        <f t="shared" si="15"/>
        <v>-4.1356333840960235E-5</v>
      </c>
      <c r="E243" s="11">
        <f t="shared" si="16"/>
        <v>-2.1835148204363372E-2</v>
      </c>
      <c r="F243">
        <f t="shared" si="19"/>
        <v>1.4246439526060336E-2</v>
      </c>
      <c r="G243">
        <f t="shared" si="17"/>
        <v>-1.5326740526586571</v>
      </c>
      <c r="H243">
        <f t="shared" si="18"/>
        <v>2.1577648522562418</v>
      </c>
    </row>
    <row r="244" spans="1:8" x14ac:dyDescent="0.25">
      <c r="A244" s="13">
        <v>40619</v>
      </c>
      <c r="B244">
        <v>279.6323458</v>
      </c>
      <c r="C244" s="12">
        <v>7.6467197160341449E-3</v>
      </c>
      <c r="D244" s="12">
        <f t="shared" si="15"/>
        <v>-3.3281384779210665E-4</v>
      </c>
      <c r="E244" s="11">
        <f t="shared" si="16"/>
        <v>7.9795335638262518E-3</v>
      </c>
      <c r="F244">
        <f t="shared" si="19"/>
        <v>1.8532221493434638E-2</v>
      </c>
      <c r="G244">
        <f t="shared" si="17"/>
        <v>0.43057620300152039</v>
      </c>
      <c r="H244">
        <f t="shared" si="18"/>
        <v>2.9766078930544282</v>
      </c>
    </row>
    <row r="245" spans="1:8" x14ac:dyDescent="0.25">
      <c r="A245" s="13">
        <v>40620</v>
      </c>
      <c r="B245">
        <v>279.48290100000003</v>
      </c>
      <c r="C245" s="12">
        <v>-5.3443316642221017E-4</v>
      </c>
      <c r="D245" s="12">
        <f t="shared" si="15"/>
        <v>5.9432162641143767E-5</v>
      </c>
      <c r="E245" s="11">
        <f t="shared" si="16"/>
        <v>-5.9386532906335388E-4</v>
      </c>
      <c r="F245">
        <f t="shared" si="19"/>
        <v>1.4978505483476446E-2</v>
      </c>
      <c r="G245">
        <f t="shared" si="17"/>
        <v>-3.9647836008637645E-2</v>
      </c>
      <c r="H245">
        <f t="shared" si="18"/>
        <v>3.2814145646735926</v>
      </c>
    </row>
    <row r="246" spans="1:8" x14ac:dyDescent="0.25">
      <c r="A246" s="13">
        <v>40623</v>
      </c>
      <c r="B246">
        <v>287.17410690000003</v>
      </c>
      <c r="C246" s="12">
        <v>2.7519414863952596E-2</v>
      </c>
      <c r="D246" s="12">
        <f t="shared" si="15"/>
        <v>1.1568721121226463E-5</v>
      </c>
      <c r="E246" s="11">
        <f t="shared" si="16"/>
        <v>2.7507846142831371E-2</v>
      </c>
      <c r="F246">
        <f t="shared" si="19"/>
        <v>1.4200017169547345E-2</v>
      </c>
      <c r="G246">
        <f t="shared" si="17"/>
        <v>1.9371699213028655</v>
      </c>
      <c r="H246">
        <f t="shared" si="18"/>
        <v>1.4592599200476528</v>
      </c>
    </row>
    <row r="247" spans="1:8" x14ac:dyDescent="0.25">
      <c r="A247" s="13">
        <v>40624</v>
      </c>
      <c r="B247">
        <v>287.58255500000001</v>
      </c>
      <c r="C247" s="12">
        <v>1.4223012806033886E-3</v>
      </c>
      <c r="D247" s="12">
        <f t="shared" si="15"/>
        <v>4.1484871774472362E-4</v>
      </c>
      <c r="E247" s="11">
        <f t="shared" si="16"/>
        <v>1.0074525628586649E-3</v>
      </c>
      <c r="F247">
        <f t="shared" si="19"/>
        <v>2.072021683370039E-2</v>
      </c>
      <c r="G247">
        <f t="shared" si="17"/>
        <v>4.8621719113484084E-2</v>
      </c>
      <c r="H247">
        <f t="shared" si="18"/>
        <v>2.956524827709234</v>
      </c>
    </row>
    <row r="248" spans="1:8" x14ac:dyDescent="0.25">
      <c r="A248" s="13">
        <v>40625</v>
      </c>
      <c r="B248">
        <v>289.993539</v>
      </c>
      <c r="C248" s="12">
        <v>8.3836239649515143E-3</v>
      </c>
      <c r="D248" s="12">
        <f t="shared" si="15"/>
        <v>9.2235945652011707E-5</v>
      </c>
      <c r="E248" s="11">
        <f t="shared" si="16"/>
        <v>8.2913880192995032E-3</v>
      </c>
      <c r="F248">
        <f t="shared" si="19"/>
        <v>1.4879407622249655E-2</v>
      </c>
      <c r="G248">
        <f t="shared" si="17"/>
        <v>0.55723912065565873</v>
      </c>
      <c r="H248">
        <f t="shared" si="18"/>
        <v>3.1335808087031092</v>
      </c>
    </row>
    <row r="249" spans="1:8" x14ac:dyDescent="0.25">
      <c r="A249" s="13">
        <v>40626</v>
      </c>
      <c r="B249">
        <v>292.34971400000001</v>
      </c>
      <c r="C249" s="12">
        <v>8.1249223969779294E-3</v>
      </c>
      <c r="D249" s="12">
        <f t="shared" si="15"/>
        <v>1.3045485782836312E-4</v>
      </c>
      <c r="E249" s="11">
        <f t="shared" si="16"/>
        <v>7.9944675391495669E-3</v>
      </c>
      <c r="F249">
        <f t="shared" si="19"/>
        <v>1.4842121474785842E-2</v>
      </c>
      <c r="G249">
        <f t="shared" si="17"/>
        <v>0.53863374940912345</v>
      </c>
      <c r="H249">
        <f t="shared" si="18"/>
        <v>3.1462844037323174</v>
      </c>
    </row>
    <row r="250" spans="1:8" x14ac:dyDescent="0.25">
      <c r="A250" s="13">
        <v>40627</v>
      </c>
      <c r="B250">
        <v>288.7880624</v>
      </c>
      <c r="C250" s="12">
        <v>-1.218284619221488E-2</v>
      </c>
      <c r="D250" s="12">
        <f t="shared" si="15"/>
        <v>1.4443247907813806E-4</v>
      </c>
      <c r="E250" s="11">
        <f t="shared" si="16"/>
        <v>-1.2327278671293018E-2</v>
      </c>
      <c r="F250">
        <f t="shared" si="19"/>
        <v>1.4796369099801648E-2</v>
      </c>
      <c r="G250">
        <f t="shared" si="17"/>
        <v>-0.83312862690470946</v>
      </c>
      <c r="H250">
        <f t="shared" si="18"/>
        <v>2.9473832717164106</v>
      </c>
    </row>
    <row r="251" spans="1:8" x14ac:dyDescent="0.25">
      <c r="A251" s="13">
        <v>40630</v>
      </c>
      <c r="B251">
        <v>286.60623500000003</v>
      </c>
      <c r="C251" s="12">
        <v>-7.5551163087134166E-3</v>
      </c>
      <c r="D251" s="12">
        <f t="shared" si="15"/>
        <v>-1.6338076865164163E-4</v>
      </c>
      <c r="E251" s="11">
        <f t="shared" si="16"/>
        <v>-7.3917355400617748E-3</v>
      </c>
      <c r="F251">
        <f t="shared" si="19"/>
        <v>1.5606362219881624E-2</v>
      </c>
      <c r="G251">
        <f t="shared" si="17"/>
        <v>-0.47363603611898236</v>
      </c>
      <c r="H251">
        <f t="shared" si="18"/>
        <v>3.1289725327008546</v>
      </c>
    </row>
    <row r="252" spans="1:8" x14ac:dyDescent="0.25">
      <c r="A252" s="13">
        <v>40631</v>
      </c>
      <c r="B252">
        <v>289.77933589999998</v>
      </c>
      <c r="C252" s="12">
        <v>1.1071290546069035E-2</v>
      </c>
      <c r="D252" s="12">
        <f t="shared" si="15"/>
        <v>-1.455782388173287E-4</v>
      </c>
      <c r="E252" s="11">
        <f t="shared" si="16"/>
        <v>1.1216868784886364E-2</v>
      </c>
      <c r="F252">
        <f t="shared" si="19"/>
        <v>1.473559880519505E-2</v>
      </c>
      <c r="G252">
        <f t="shared" si="17"/>
        <v>0.7612088882965411</v>
      </c>
      <c r="H252">
        <f t="shared" si="18"/>
        <v>3.0088310063132409</v>
      </c>
    </row>
    <row r="253" spans="1:8" x14ac:dyDescent="0.25">
      <c r="A253" s="13">
        <v>40632</v>
      </c>
      <c r="B253">
        <v>289.83411510000002</v>
      </c>
      <c r="C253" s="12">
        <v>1.8903763386002304E-4</v>
      </c>
      <c r="D253" s="12">
        <f t="shared" si="15"/>
        <v>1.4803323637520719E-4</v>
      </c>
      <c r="E253" s="11">
        <f t="shared" si="16"/>
        <v>4.1004397484815843E-5</v>
      </c>
      <c r="F253">
        <f t="shared" si="19"/>
        <v>1.5373976888392643E-2</v>
      </c>
      <c r="G253">
        <f t="shared" si="17"/>
        <v>2.6671301630337542E-3</v>
      </c>
      <c r="H253">
        <f t="shared" si="18"/>
        <v>3.2561369213517506</v>
      </c>
    </row>
    <row r="254" spans="1:8" x14ac:dyDescent="0.25">
      <c r="A254" s="13">
        <v>40633</v>
      </c>
      <c r="B254">
        <v>292.28495570000001</v>
      </c>
      <c r="C254" s="12">
        <v>8.4560114641936135E-3</v>
      </c>
      <c r="D254" s="12">
        <f t="shared" si="15"/>
        <v>3.1312029720538829E-5</v>
      </c>
      <c r="E254" s="11">
        <f t="shared" si="16"/>
        <v>8.4246994344730746E-3</v>
      </c>
      <c r="F254">
        <f t="shared" si="19"/>
        <v>1.4237229886652877E-2</v>
      </c>
      <c r="G254">
        <f t="shared" si="17"/>
        <v>0.59173726220232381</v>
      </c>
      <c r="H254">
        <f t="shared" si="18"/>
        <v>3.1578798954094625</v>
      </c>
    </row>
    <row r="255" spans="1:8" x14ac:dyDescent="0.25">
      <c r="A255" s="13">
        <v>40634</v>
      </c>
      <c r="B255">
        <v>294.79554940000003</v>
      </c>
      <c r="C255" s="12">
        <v>8.5895413056320535E-3</v>
      </c>
      <c r="D255" s="12">
        <f t="shared" si="15"/>
        <v>1.2838024323958298E-4</v>
      </c>
      <c r="E255" s="11">
        <f t="shared" si="16"/>
        <v>8.4611610623924714E-3</v>
      </c>
      <c r="F255">
        <f t="shared" si="19"/>
        <v>1.4863372217518949E-2</v>
      </c>
      <c r="G255">
        <f t="shared" si="17"/>
        <v>0.56926254275053345</v>
      </c>
      <c r="H255">
        <f t="shared" si="18"/>
        <v>3.1278868784054557</v>
      </c>
    </row>
    <row r="256" spans="1:8" x14ac:dyDescent="0.25">
      <c r="A256" s="13">
        <v>40637</v>
      </c>
      <c r="B256">
        <v>292.74323900000002</v>
      </c>
      <c r="C256" s="12">
        <v>-6.9618093087805422E-3</v>
      </c>
      <c r="D256" s="12">
        <f t="shared" si="15"/>
        <v>1.5164572267668667E-4</v>
      </c>
      <c r="E256" s="11">
        <f t="shared" si="16"/>
        <v>-7.1134550314572286E-3</v>
      </c>
      <c r="F256">
        <f t="shared" si="19"/>
        <v>1.4868514947148158E-2</v>
      </c>
      <c r="G256">
        <f t="shared" si="17"/>
        <v>-0.478424042800698</v>
      </c>
      <c r="H256">
        <f t="shared" si="18"/>
        <v>3.1751260769830334</v>
      </c>
    </row>
    <row r="257" spans="1:8" x14ac:dyDescent="0.25">
      <c r="A257" s="13">
        <v>40638</v>
      </c>
      <c r="B257">
        <v>283.48293840000002</v>
      </c>
      <c r="C257" s="12">
        <v>-3.1632841911679477E-2</v>
      </c>
      <c r="D257" s="12">
        <f t="shared" si="15"/>
        <v>-8.3220227431318603E-5</v>
      </c>
      <c r="E257" s="11">
        <f t="shared" si="16"/>
        <v>-3.1549621684248158E-2</v>
      </c>
      <c r="F257">
        <f t="shared" si="19"/>
        <v>1.4671579493752548E-2</v>
      </c>
      <c r="G257">
        <f t="shared" si="17"/>
        <v>-2.1503902628672407</v>
      </c>
      <c r="H257">
        <f t="shared" si="18"/>
        <v>0.99081534981547703</v>
      </c>
    </row>
    <row r="258" spans="1:8" x14ac:dyDescent="0.25">
      <c r="A258" s="13">
        <v>40639</v>
      </c>
      <c r="B258">
        <v>286.0184347</v>
      </c>
      <c r="C258" s="12">
        <v>8.9440878322712969E-3</v>
      </c>
      <c r="D258" s="12">
        <f t="shared" si="15"/>
        <v>-4.9632809012040613E-4</v>
      </c>
      <c r="E258" s="11">
        <f t="shared" si="16"/>
        <v>9.4404159223917036E-3</v>
      </c>
      <c r="F258">
        <f t="shared" si="19"/>
        <v>2.2001057295838067E-2</v>
      </c>
      <c r="G258">
        <f t="shared" si="17"/>
        <v>0.42908919309880367</v>
      </c>
      <c r="H258">
        <f t="shared" si="18"/>
        <v>2.8056674668551187</v>
      </c>
    </row>
    <row r="259" spans="1:8" x14ac:dyDescent="0.25">
      <c r="A259" s="13">
        <v>40640</v>
      </c>
      <c r="B259">
        <v>288.91754859999998</v>
      </c>
      <c r="C259" s="12">
        <v>1.0136108545034217E-2</v>
      </c>
      <c r="D259" s="12">
        <f t="shared" si="15"/>
        <v>5.3980927928154259E-5</v>
      </c>
      <c r="E259" s="11">
        <f t="shared" si="16"/>
        <v>1.0082127617106062E-2</v>
      </c>
      <c r="F259">
        <f t="shared" si="19"/>
        <v>1.5420638544226067E-2</v>
      </c>
      <c r="G259">
        <f t="shared" si="17"/>
        <v>0.6538074015671097</v>
      </c>
      <c r="H259">
        <f t="shared" si="18"/>
        <v>3.0393779091962965</v>
      </c>
    </row>
    <row r="260" spans="1:8" x14ac:dyDescent="0.25">
      <c r="A260" s="13">
        <v>40641</v>
      </c>
      <c r="B260">
        <v>288.00098209999999</v>
      </c>
      <c r="C260" s="12">
        <v>-3.1724154674624971E-3</v>
      </c>
      <c r="D260" s="12">
        <f t="shared" si="15"/>
        <v>1.7629139112327106E-4</v>
      </c>
      <c r="E260" s="11">
        <f t="shared" si="16"/>
        <v>-3.3487068585857684E-3</v>
      </c>
      <c r="F260">
        <f t="shared" si="19"/>
        <v>1.5133808223061736E-2</v>
      </c>
      <c r="G260">
        <f t="shared" si="17"/>
        <v>-0.22127324525513831</v>
      </c>
      <c r="H260">
        <f t="shared" si="18"/>
        <v>3.2474046249792266</v>
      </c>
    </row>
    <row r="261" spans="1:8" x14ac:dyDescent="0.25">
      <c r="A261" s="13">
        <v>40644</v>
      </c>
      <c r="B261">
        <v>287.60745709999998</v>
      </c>
      <c r="C261" s="12">
        <v>-1.3664015904757409E-3</v>
      </c>
      <c r="D261" s="12">
        <f t="shared" si="15"/>
        <v>-2.193224542648801E-5</v>
      </c>
      <c r="E261" s="11">
        <f t="shared" si="16"/>
        <v>-1.3444693450492529E-3</v>
      </c>
      <c r="F261">
        <f t="shared" si="19"/>
        <v>1.4317620638598162E-2</v>
      </c>
      <c r="G261">
        <f t="shared" si="17"/>
        <v>-9.3903126712602286E-2</v>
      </c>
      <c r="H261">
        <f t="shared" si="18"/>
        <v>3.3229168559697624</v>
      </c>
    </row>
    <row r="262" spans="1:8" x14ac:dyDescent="0.25">
      <c r="A262" s="13">
        <v>40645</v>
      </c>
      <c r="B262">
        <v>284.24008090000001</v>
      </c>
      <c r="C262" s="12">
        <v>-1.1708236754199075E-2</v>
      </c>
      <c r="D262" s="12">
        <f t="shared" ref="D262:D325" si="20">+C261*$K$11+C260*$K$10</f>
        <v>-2.8819395603409914E-5</v>
      </c>
      <c r="E262" s="11">
        <f t="shared" ref="E262:E325" si="21">C262-D262</f>
        <v>-1.1679417358595665E-2</v>
      </c>
      <c r="F262">
        <f t="shared" si="19"/>
        <v>1.4150016168430694E-2</v>
      </c>
      <c r="G262">
        <f t="shared" ref="G262:G325" si="22">E262/F262</f>
        <v>-0.82539957690316679</v>
      </c>
      <c r="H262">
        <f t="shared" ref="H262:H325" si="23">1/2*(-LN(PI()*2)-2*LN(F262)-(E262/F262)^2)</f>
        <v>2.9984587482676281</v>
      </c>
    </row>
    <row r="263" spans="1:8" x14ac:dyDescent="0.25">
      <c r="A263" s="13">
        <v>40646</v>
      </c>
      <c r="B263">
        <v>287.06451820000001</v>
      </c>
      <c r="C263" s="12">
        <v>9.9368016328200692E-3</v>
      </c>
      <c r="D263" s="12">
        <f t="shared" si="20"/>
        <v>-1.8059488391376874E-4</v>
      </c>
      <c r="E263" s="11">
        <f t="shared" si="21"/>
        <v>1.0117396516733839E-2</v>
      </c>
      <c r="F263">
        <f t="shared" ref="F263:F326" si="24">SQRT($K$6+$K$7*G262^2+$K$8*F262^2)</f>
        <v>1.5523339910586484E-2</v>
      </c>
      <c r="G263">
        <f t="shared" si="22"/>
        <v>0.65175384775502188</v>
      </c>
      <c r="H263">
        <f t="shared" si="23"/>
        <v>3.0340805147185561</v>
      </c>
    </row>
    <row r="264" spans="1:8" x14ac:dyDescent="0.25">
      <c r="A264" s="13">
        <v>40647</v>
      </c>
      <c r="B264">
        <v>288.1753291</v>
      </c>
      <c r="C264" s="12">
        <v>3.8695513711175522E-3</v>
      </c>
      <c r="D264" s="12">
        <f t="shared" si="20"/>
        <v>1.2020106107966003E-4</v>
      </c>
      <c r="E264" s="11">
        <f t="shared" si="21"/>
        <v>3.7493503100378923E-3</v>
      </c>
      <c r="F264">
        <f t="shared" si="24"/>
        <v>1.5138474553019672E-2</v>
      </c>
      <c r="G264">
        <f t="shared" si="22"/>
        <v>0.24767028519990539</v>
      </c>
      <c r="H264">
        <f t="shared" si="23"/>
        <v>3.240906973834214</v>
      </c>
    </row>
    <row r="265" spans="1:8" x14ac:dyDescent="0.25">
      <c r="A265" s="13">
        <v>40648</v>
      </c>
      <c r="B265">
        <v>264.35958440000002</v>
      </c>
      <c r="C265" s="12">
        <v>-8.2643246298629736E-2</v>
      </c>
      <c r="D265" s="12">
        <f t="shared" si="20"/>
        <v>8.406299868262829E-5</v>
      </c>
      <c r="E265" s="11">
        <f t="shared" si="21"/>
        <v>-8.2727309297312368E-2</v>
      </c>
      <c r="F265">
        <f t="shared" si="24"/>
        <v>1.4344561039288011E-2</v>
      </c>
      <c r="G265">
        <f t="shared" si="22"/>
        <v>-5.7671551656918822</v>
      </c>
      <c r="H265">
        <f t="shared" si="23"/>
        <v>-13.304593455512183</v>
      </c>
    </row>
    <row r="266" spans="1:8" x14ac:dyDescent="0.25">
      <c r="A266" s="13">
        <v>40651</v>
      </c>
      <c r="B266">
        <v>262.43675960000002</v>
      </c>
      <c r="C266" s="12">
        <v>-7.2735202862574955E-3</v>
      </c>
      <c r="D266" s="12">
        <f t="shared" si="20"/>
        <v>-1.2400075745191026E-3</v>
      </c>
      <c r="E266" s="11">
        <f t="shared" si="21"/>
        <v>-6.0335127117383926E-3</v>
      </c>
      <c r="F266">
        <f t="shared" si="24"/>
        <v>4.7307398028757101E-2</v>
      </c>
      <c r="G266">
        <f t="shared" si="22"/>
        <v>-0.12753846043425926</v>
      </c>
      <c r="H266">
        <f t="shared" si="23"/>
        <v>2.124017026537198</v>
      </c>
    </row>
    <row r="267" spans="1:8" x14ac:dyDescent="0.25">
      <c r="A267" s="13">
        <v>40652</v>
      </c>
      <c r="B267">
        <v>259.7916745</v>
      </c>
      <c r="C267" s="12">
        <v>-1.0078942843340988E-2</v>
      </c>
      <c r="D267" s="12">
        <f t="shared" si="20"/>
        <v>-3.2240038431745582E-4</v>
      </c>
      <c r="E267" s="11">
        <f t="shared" si="21"/>
        <v>-9.7565424590235327E-3</v>
      </c>
      <c r="F267">
        <f t="shared" si="24"/>
        <v>1.9903492645965581E-2</v>
      </c>
      <c r="G267">
        <f t="shared" si="22"/>
        <v>-0.49019248192106496</v>
      </c>
      <c r="H267">
        <f t="shared" si="23"/>
        <v>2.8777771849335858</v>
      </c>
    </row>
    <row r="268" spans="1:8" x14ac:dyDescent="0.25">
      <c r="A268" s="13">
        <v>40653</v>
      </c>
      <c r="B268">
        <v>261.88384159999998</v>
      </c>
      <c r="C268" s="12">
        <v>8.0532492198859273E-3</v>
      </c>
      <c r="D268" s="12">
        <f t="shared" si="20"/>
        <v>-1.711334681304828E-4</v>
      </c>
      <c r="E268" s="11">
        <f t="shared" si="21"/>
        <v>8.22438268801641E-3</v>
      </c>
      <c r="F268">
        <f t="shared" si="24"/>
        <v>1.5257363299024081E-2</v>
      </c>
      <c r="G268">
        <f t="shared" si="22"/>
        <v>0.53904351143965179</v>
      </c>
      <c r="H268">
        <f t="shared" si="23"/>
        <v>3.1184705663605574</v>
      </c>
    </row>
    <row r="269" spans="1:8" x14ac:dyDescent="0.25">
      <c r="A269" s="13">
        <v>40654</v>
      </c>
      <c r="B269">
        <v>261.57002879999999</v>
      </c>
      <c r="C269" s="12">
        <v>-1.1982900437182975E-3</v>
      </c>
      <c r="D269" s="12">
        <f t="shared" si="20"/>
        <v>9.5900182008970612E-5</v>
      </c>
      <c r="E269" s="11">
        <f t="shared" si="21"/>
        <v>-1.2941902257272682E-3</v>
      </c>
      <c r="F269">
        <f t="shared" si="24"/>
        <v>1.4837834043626361E-2</v>
      </c>
      <c r="G269">
        <f t="shared" si="22"/>
        <v>-8.7222314383762212E-2</v>
      </c>
      <c r="H269">
        <f t="shared" si="23"/>
        <v>3.2878326065608459</v>
      </c>
    </row>
    <row r="270" spans="1:8" x14ac:dyDescent="0.25">
      <c r="A270" s="13">
        <v>40658</v>
      </c>
      <c r="B270">
        <v>261.54512620000003</v>
      </c>
      <c r="C270" s="12">
        <v>-9.5204332523191049E-5</v>
      </c>
      <c r="D270" s="12">
        <f t="shared" si="20"/>
        <v>2.5728709441332823E-6</v>
      </c>
      <c r="E270" s="11">
        <f t="shared" si="21"/>
        <v>-9.7777203467324324E-5</v>
      </c>
      <c r="F270">
        <f t="shared" si="24"/>
        <v>1.4198841280235039E-2</v>
      </c>
      <c r="G270">
        <f t="shared" si="22"/>
        <v>-6.8862804744096546E-3</v>
      </c>
      <c r="H270">
        <f t="shared" si="23"/>
        <v>3.335632674053771</v>
      </c>
    </row>
    <row r="271" spans="1:8" x14ac:dyDescent="0.25">
      <c r="A271" s="13">
        <v>40659</v>
      </c>
      <c r="B271">
        <v>265.41561610000002</v>
      </c>
      <c r="C271" s="12">
        <v>1.4798554865978586E-2</v>
      </c>
      <c r="D271" s="12">
        <f t="shared" si="20"/>
        <v>-4.5195053632988448E-6</v>
      </c>
      <c r="E271" s="11">
        <f t="shared" si="21"/>
        <v>1.4803074371341885E-2</v>
      </c>
      <c r="F271">
        <f t="shared" si="24"/>
        <v>1.4119483808573304E-2</v>
      </c>
      <c r="G271">
        <f t="shared" si="22"/>
        <v>1.0484146992932919</v>
      </c>
      <c r="H271">
        <f t="shared" si="23"/>
        <v>2.7916743809999671</v>
      </c>
    </row>
    <row r="272" spans="1:8" x14ac:dyDescent="0.25">
      <c r="A272" s="13">
        <v>40660</v>
      </c>
      <c r="B272">
        <v>267.87640549999998</v>
      </c>
      <c r="C272" s="12">
        <v>9.2714567294820416E-3</v>
      </c>
      <c r="D272" s="12">
        <f t="shared" si="20"/>
        <v>2.235786548088631E-4</v>
      </c>
      <c r="E272" s="11">
        <f t="shared" si="21"/>
        <v>9.0478780746731779E-3</v>
      </c>
      <c r="F272">
        <f t="shared" si="24"/>
        <v>1.6324828409296659E-2</v>
      </c>
      <c r="G272">
        <f t="shared" si="22"/>
        <v>0.55424031713072064</v>
      </c>
      <c r="H272">
        <f t="shared" si="23"/>
        <v>3.0425384170196068</v>
      </c>
    </row>
    <row r="273" spans="1:8" x14ac:dyDescent="0.25">
      <c r="A273" s="13">
        <v>40661</v>
      </c>
      <c r="B273">
        <v>267.98098950000002</v>
      </c>
      <c r="C273" s="12">
        <v>3.9041885680379806E-4</v>
      </c>
      <c r="D273" s="12">
        <f t="shared" si="20"/>
        <v>1.7825962498105218E-4</v>
      </c>
      <c r="E273" s="11">
        <f t="shared" si="21"/>
        <v>2.1215923182274588E-4</v>
      </c>
      <c r="F273">
        <f t="shared" si="24"/>
        <v>1.4980685046380768E-2</v>
      </c>
      <c r="G273">
        <f t="shared" si="22"/>
        <v>1.4162184917838728E-2</v>
      </c>
      <c r="H273">
        <f t="shared" si="23"/>
        <v>3.2819547542601568</v>
      </c>
    </row>
    <row r="274" spans="1:8" x14ac:dyDescent="0.25">
      <c r="A274" s="13">
        <v>40662</v>
      </c>
      <c r="B274">
        <v>271.03455300000002</v>
      </c>
      <c r="C274" s="12">
        <v>1.1394701936496832E-2</v>
      </c>
      <c r="D274" s="12">
        <f t="shared" si="20"/>
        <v>2.9732334254110084E-5</v>
      </c>
      <c r="E274" s="11">
        <f t="shared" si="21"/>
        <v>1.1364969602242722E-2</v>
      </c>
      <c r="F274">
        <f t="shared" si="24"/>
        <v>1.4197278797590817E-2</v>
      </c>
      <c r="G274">
        <f t="shared" si="22"/>
        <v>0.800503375630778</v>
      </c>
      <c r="H274">
        <f t="shared" si="23"/>
        <v>3.0153636063087279</v>
      </c>
    </row>
    <row r="275" spans="1:8" x14ac:dyDescent="0.25">
      <c r="A275" s="13">
        <v>40665</v>
      </c>
      <c r="B275">
        <v>268.2749048</v>
      </c>
      <c r="C275" s="12">
        <v>-1.0181905478302666E-2</v>
      </c>
      <c r="D275" s="12">
        <f t="shared" si="20"/>
        <v>1.7334452437015328E-4</v>
      </c>
      <c r="E275" s="11">
        <f t="shared" si="21"/>
        <v>-1.035525000267282E-2</v>
      </c>
      <c r="F275">
        <f t="shared" si="24"/>
        <v>1.5447403986829113E-2</v>
      </c>
      <c r="G275">
        <f t="shared" si="22"/>
        <v>-0.67035535624639553</v>
      </c>
      <c r="H275">
        <f t="shared" si="23"/>
        <v>3.0266876314701205</v>
      </c>
    </row>
    <row r="276" spans="1:8" x14ac:dyDescent="0.25">
      <c r="A276" s="13">
        <v>40666</v>
      </c>
      <c r="B276">
        <v>265.94860679999999</v>
      </c>
      <c r="C276" s="12">
        <v>-8.6713216867386755E-3</v>
      </c>
      <c r="D276" s="12">
        <f t="shared" si="20"/>
        <v>-1.2471395241880784E-4</v>
      </c>
      <c r="E276" s="11">
        <f t="shared" si="21"/>
        <v>-8.5466077343198683E-3</v>
      </c>
      <c r="F276">
        <f t="shared" si="24"/>
        <v>1.51807247594671E-2</v>
      </c>
      <c r="G276">
        <f t="shared" si="22"/>
        <v>-0.56299075767051099</v>
      </c>
      <c r="H276">
        <f t="shared" si="23"/>
        <v>3.1103109339730768</v>
      </c>
    </row>
    <row r="277" spans="1:8" x14ac:dyDescent="0.25">
      <c r="A277" s="13">
        <v>40667</v>
      </c>
      <c r="B277">
        <v>266.8950802</v>
      </c>
      <c r="C277" s="12">
        <v>3.5588582748686814E-3</v>
      </c>
      <c r="D277" s="12">
        <f t="shared" si="20"/>
        <v>-1.5731812211191947E-4</v>
      </c>
      <c r="E277" s="11">
        <f t="shared" si="21"/>
        <v>3.716176396980601E-3</v>
      </c>
      <c r="F277">
        <f t="shared" si="24"/>
        <v>1.4884700051958228E-2</v>
      </c>
      <c r="G277">
        <f t="shared" si="22"/>
        <v>0.24966417757888923</v>
      </c>
      <c r="H277">
        <f t="shared" si="23"/>
        <v>3.2573168017570153</v>
      </c>
    </row>
    <row r="278" spans="1:8" x14ac:dyDescent="0.25">
      <c r="A278" s="13">
        <v>40668</v>
      </c>
      <c r="B278">
        <v>266.13790729999999</v>
      </c>
      <c r="C278" s="12">
        <v>-2.8369683676170432E-3</v>
      </c>
      <c r="D278" s="12">
        <f t="shared" si="20"/>
        <v>3.1541527077532114E-5</v>
      </c>
      <c r="E278" s="11">
        <f t="shared" si="21"/>
        <v>-2.8685098946945754E-3</v>
      </c>
      <c r="F278">
        <f t="shared" si="24"/>
        <v>1.4321125414159221E-2</v>
      </c>
      <c r="G278">
        <f t="shared" si="22"/>
        <v>-0.20029919519163589</v>
      </c>
      <c r="H278">
        <f t="shared" si="23"/>
        <v>3.307021113161571</v>
      </c>
    </row>
    <row r="279" spans="1:8" x14ac:dyDescent="0.25">
      <c r="A279" s="13">
        <v>40669</v>
      </c>
      <c r="B279">
        <v>266.65100059999997</v>
      </c>
      <c r="C279" s="12">
        <v>1.927922651851377E-3</v>
      </c>
      <c r="D279" s="12">
        <f t="shared" si="20"/>
        <v>-3.3762060463886237E-5</v>
      </c>
      <c r="E279" s="11">
        <f t="shared" si="21"/>
        <v>1.9616847123152632E-3</v>
      </c>
      <c r="F279">
        <f t="shared" si="24"/>
        <v>1.4217976127483392E-2</v>
      </c>
      <c r="G279">
        <f t="shared" si="22"/>
        <v>0.13797214840748823</v>
      </c>
      <c r="H279">
        <f t="shared" si="23"/>
        <v>3.3247915004382809</v>
      </c>
    </row>
    <row r="280" spans="1:8" x14ac:dyDescent="0.25">
      <c r="A280" s="13">
        <v>40672</v>
      </c>
      <c r="B280">
        <v>267.83654940000002</v>
      </c>
      <c r="C280" s="12">
        <v>4.4460691965617638E-3</v>
      </c>
      <c r="D280" s="12">
        <f t="shared" si="20"/>
        <v>2.1868276015117857E-5</v>
      </c>
      <c r="E280" s="11">
        <f t="shared" si="21"/>
        <v>4.4242009205466455E-3</v>
      </c>
      <c r="F280">
        <f t="shared" si="24"/>
        <v>1.4162477712606923E-2</v>
      </c>
      <c r="G280">
        <f t="shared" si="22"/>
        <v>0.31238890611692771</v>
      </c>
      <c r="H280">
        <f t="shared" si="23"/>
        <v>3.2894272787827088</v>
      </c>
    </row>
    <row r="281" spans="1:8" x14ac:dyDescent="0.25">
      <c r="A281" s="13">
        <v>40673</v>
      </c>
      <c r="B281">
        <v>270.3172361</v>
      </c>
      <c r="C281" s="12">
        <v>9.2619424255471205E-3</v>
      </c>
      <c r="D281" s="12">
        <f t="shared" si="20"/>
        <v>7.2200055482149968E-5</v>
      </c>
      <c r="E281" s="11">
        <f t="shared" si="21"/>
        <v>9.1897423700649707E-3</v>
      </c>
      <c r="F281">
        <f t="shared" si="24"/>
        <v>1.4326131394635301E-2</v>
      </c>
      <c r="G281">
        <f t="shared" si="22"/>
        <v>0.64146712862805721</v>
      </c>
      <c r="H281">
        <f t="shared" si="23"/>
        <v>3.1209914673119958</v>
      </c>
    </row>
    <row r="282" spans="1:8" x14ac:dyDescent="0.25">
      <c r="A282" s="13">
        <v>40674</v>
      </c>
      <c r="B282">
        <v>266.72570760000002</v>
      </c>
      <c r="C282" s="12">
        <v>-1.32863466341131E-2</v>
      </c>
      <c r="D282" s="12">
        <f t="shared" si="20"/>
        <v>1.5151013498968115E-4</v>
      </c>
      <c r="E282" s="11">
        <f t="shared" si="21"/>
        <v>-1.3437856769102781E-2</v>
      </c>
      <c r="F282">
        <f t="shared" si="24"/>
        <v>1.4997406860066485E-2</v>
      </c>
      <c r="G282">
        <f t="shared" si="22"/>
        <v>-0.89601201690964927</v>
      </c>
      <c r="H282">
        <f t="shared" si="23"/>
        <v>2.8795206683923502</v>
      </c>
    </row>
    <row r="283" spans="1:8" x14ac:dyDescent="0.25">
      <c r="A283" s="13">
        <v>40675</v>
      </c>
      <c r="B283">
        <v>266.52645790000003</v>
      </c>
      <c r="C283" s="12">
        <v>-7.4702098194001643E-4</v>
      </c>
      <c r="D283" s="12">
        <f t="shared" si="20"/>
        <v>-1.7714874513667618E-4</v>
      </c>
      <c r="E283" s="11">
        <f t="shared" si="21"/>
        <v>-5.698722368033403E-4</v>
      </c>
      <c r="F283">
        <f t="shared" si="24"/>
        <v>1.583659859130062E-2</v>
      </c>
      <c r="G283">
        <f t="shared" si="22"/>
        <v>-3.5984509774490539E-2</v>
      </c>
      <c r="H283">
        <f t="shared" si="23"/>
        <v>3.2258456753759646</v>
      </c>
    </row>
    <row r="284" spans="1:8" x14ac:dyDescent="0.25">
      <c r="A284" s="13">
        <v>40676</v>
      </c>
      <c r="B284">
        <v>263.78670720000002</v>
      </c>
      <c r="C284" s="12">
        <v>-1.027946989423445E-2</v>
      </c>
      <c r="D284" s="12">
        <f t="shared" si="20"/>
        <v>-4.544397648968221E-5</v>
      </c>
      <c r="E284" s="11">
        <f t="shared" si="21"/>
        <v>-1.0234025917744768E-2</v>
      </c>
      <c r="F284">
        <f t="shared" si="24"/>
        <v>1.4288663021661145E-2</v>
      </c>
      <c r="G284">
        <f t="shared" si="22"/>
        <v>-0.71623397530128041</v>
      </c>
      <c r="H284">
        <f t="shared" si="23"/>
        <v>3.0728547649403946</v>
      </c>
    </row>
    <row r="285" spans="1:8" x14ac:dyDescent="0.25">
      <c r="A285" s="13">
        <v>40679</v>
      </c>
      <c r="B285">
        <v>258.24247780000002</v>
      </c>
      <c r="C285" s="12">
        <v>-2.1017849833488533E-2</v>
      </c>
      <c r="D285" s="12">
        <f t="shared" si="20"/>
        <v>-1.5739345976975314E-4</v>
      </c>
      <c r="E285" s="11">
        <f t="shared" si="21"/>
        <v>-2.0860456373718781E-2</v>
      </c>
      <c r="F285">
        <f t="shared" si="24"/>
        <v>1.5199996448730926E-2</v>
      </c>
      <c r="G285">
        <f t="shared" si="22"/>
        <v>-1.3723987662813208</v>
      </c>
      <c r="H285">
        <f t="shared" si="23"/>
        <v>2.3257823647161384</v>
      </c>
    </row>
    <row r="286" spans="1:8" x14ac:dyDescent="0.25">
      <c r="A286" s="13">
        <v>40680</v>
      </c>
      <c r="B286">
        <v>264.24001600000003</v>
      </c>
      <c r="C286" s="12">
        <v>2.3224444913531705E-2</v>
      </c>
      <c r="D286" s="12">
        <f t="shared" si="20"/>
        <v>-3.4430608075014887E-4</v>
      </c>
      <c r="E286" s="11">
        <f t="shared" si="21"/>
        <v>2.3568750994281854E-2</v>
      </c>
      <c r="F286">
        <f t="shared" si="24"/>
        <v>1.7821602998194758E-2</v>
      </c>
      <c r="G286">
        <f t="shared" si="22"/>
        <v>1.3224821020123305</v>
      </c>
      <c r="H286">
        <f t="shared" si="23"/>
        <v>2.2339259177037167</v>
      </c>
    </row>
    <row r="287" spans="1:8" x14ac:dyDescent="0.25">
      <c r="A287" s="13">
        <v>40681</v>
      </c>
      <c r="B287">
        <v>263.91622419999999</v>
      </c>
      <c r="C287" s="12">
        <v>-1.2253700438772386E-3</v>
      </c>
      <c r="D287" s="12">
        <f t="shared" si="20"/>
        <v>2.972469053706189E-4</v>
      </c>
      <c r="E287" s="11">
        <f t="shared" si="21"/>
        <v>-1.5226169492478575E-3</v>
      </c>
      <c r="F287">
        <f t="shared" si="24"/>
        <v>1.7823846483290506E-2</v>
      </c>
      <c r="G287">
        <f t="shared" si="22"/>
        <v>-8.5425833906013493E-2</v>
      </c>
      <c r="H287">
        <f t="shared" si="23"/>
        <v>3.1046307084417268</v>
      </c>
    </row>
    <row r="288" spans="1:8" x14ac:dyDescent="0.25">
      <c r="A288" s="13">
        <v>40682</v>
      </c>
      <c r="B288">
        <v>264.63354099999998</v>
      </c>
      <c r="C288" s="12">
        <v>2.7179715918350666E-3</v>
      </c>
      <c r="D288" s="12">
        <f t="shared" si="20"/>
        <v>4.115282961410408E-5</v>
      </c>
      <c r="E288" s="11">
        <f t="shared" si="21"/>
        <v>2.6768187622209626E-3</v>
      </c>
      <c r="F288">
        <f t="shared" si="24"/>
        <v>1.4524643950682668E-2</v>
      </c>
      <c r="G288">
        <f t="shared" si="22"/>
        <v>0.18429496594270389</v>
      </c>
      <c r="H288">
        <f t="shared" si="23"/>
        <v>3.2959876389658014</v>
      </c>
    </row>
    <row r="289" spans="1:8" x14ac:dyDescent="0.25">
      <c r="A289" s="13">
        <v>40683</v>
      </c>
      <c r="B289">
        <v>261.0370077</v>
      </c>
      <c r="C289" s="12">
        <v>-1.3590617751662815E-2</v>
      </c>
      <c r="D289" s="12">
        <f t="shared" si="20"/>
        <v>3.7959270323019022E-5</v>
      </c>
      <c r="E289" s="11">
        <f t="shared" si="21"/>
        <v>-1.3628577021985834E-2</v>
      </c>
      <c r="F289">
        <f t="shared" si="24"/>
        <v>1.4224559846022824E-2</v>
      </c>
      <c r="G289">
        <f t="shared" si="22"/>
        <v>-0.95810184424064082</v>
      </c>
      <c r="H289">
        <f t="shared" si="23"/>
        <v>2.874867136558239</v>
      </c>
    </row>
    <row r="290" spans="1:8" x14ac:dyDescent="0.25">
      <c r="A290" s="13">
        <v>40686</v>
      </c>
      <c r="B290">
        <v>258.22755469999998</v>
      </c>
      <c r="C290" s="12">
        <v>-1.0762661680633445E-2</v>
      </c>
      <c r="D290" s="12">
        <f t="shared" si="20"/>
        <v>-1.9856856286993945E-4</v>
      </c>
      <c r="E290" s="11">
        <f t="shared" si="21"/>
        <v>-1.0564093117763506E-2</v>
      </c>
      <c r="F290">
        <f t="shared" si="24"/>
        <v>1.5990036563601699E-2</v>
      </c>
      <c r="G290">
        <f t="shared" si="22"/>
        <v>-0.66066722710382475</v>
      </c>
      <c r="H290">
        <f t="shared" si="23"/>
        <v>2.9986103397954222</v>
      </c>
    </row>
    <row r="291" spans="1:8" x14ac:dyDescent="0.25">
      <c r="A291" s="13">
        <v>40687</v>
      </c>
      <c r="B291">
        <v>258.16279600000001</v>
      </c>
      <c r="C291" s="12">
        <v>-2.5078152513668961E-4</v>
      </c>
      <c r="D291" s="12">
        <f t="shared" si="20"/>
        <v>-1.9770925115463229E-4</v>
      </c>
      <c r="E291" s="11">
        <f t="shared" si="21"/>
        <v>-5.307227398205732E-5</v>
      </c>
      <c r="F291">
        <f t="shared" si="24"/>
        <v>1.5208693773193093E-2</v>
      </c>
      <c r="G291">
        <f t="shared" si="22"/>
        <v>-3.4896010645965357E-3</v>
      </c>
      <c r="H291">
        <f t="shared" si="23"/>
        <v>3.2669434340108059</v>
      </c>
    </row>
    <row r="292" spans="1:8" x14ac:dyDescent="0.25">
      <c r="A292" s="13">
        <v>40688</v>
      </c>
      <c r="B292">
        <v>258.86515930000002</v>
      </c>
      <c r="C292" s="12">
        <v>2.7206216809023687E-3</v>
      </c>
      <c r="D292" s="12">
        <f t="shared" si="20"/>
        <v>-3.1452718713428489E-5</v>
      </c>
      <c r="E292" s="11">
        <f t="shared" si="21"/>
        <v>2.7520743996157972E-3</v>
      </c>
      <c r="F292">
        <f t="shared" si="24"/>
        <v>1.4220162216620397E-2</v>
      </c>
      <c r="G292">
        <f t="shared" si="22"/>
        <v>0.19353326338283242</v>
      </c>
      <c r="H292">
        <f t="shared" si="23"/>
        <v>3.3154283518110663</v>
      </c>
    </row>
    <row r="293" spans="1:8" x14ac:dyDescent="0.25">
      <c r="A293" s="13">
        <v>40689</v>
      </c>
      <c r="B293">
        <v>258.09803770000002</v>
      </c>
      <c r="C293" s="12">
        <v>-2.963402267320836E-3</v>
      </c>
      <c r="D293" s="12">
        <f t="shared" si="20"/>
        <v>4.0504016409583176E-5</v>
      </c>
      <c r="E293" s="11">
        <f t="shared" si="21"/>
        <v>-3.0039062837304191E-3</v>
      </c>
      <c r="F293">
        <f t="shared" si="24"/>
        <v>1.4202481746443601E-2</v>
      </c>
      <c r="G293">
        <f t="shared" si="22"/>
        <v>-0.21150573099540282</v>
      </c>
      <c r="H293">
        <f t="shared" si="23"/>
        <v>3.31303268844264</v>
      </c>
    </row>
    <row r="294" spans="1:8" x14ac:dyDescent="0.25">
      <c r="A294" s="13">
        <v>40690</v>
      </c>
      <c r="B294">
        <v>259.47786180000003</v>
      </c>
      <c r="C294" s="12">
        <v>5.346123946916137E-3</v>
      </c>
      <c r="D294" s="12">
        <f t="shared" si="20"/>
        <v>-3.7828575900074954E-5</v>
      </c>
      <c r="E294" s="11">
        <f t="shared" si="21"/>
        <v>5.3839525228162122E-3</v>
      </c>
      <c r="F294">
        <f t="shared" si="24"/>
        <v>1.421647894538681E-2</v>
      </c>
      <c r="G294">
        <f t="shared" si="22"/>
        <v>0.3787120948512559</v>
      </c>
      <c r="H294">
        <f t="shared" si="23"/>
        <v>3.2627035395121737</v>
      </c>
    </row>
    <row r="295" spans="1:8" x14ac:dyDescent="0.25">
      <c r="A295" s="13">
        <v>40694</v>
      </c>
      <c r="B295">
        <v>263.52269919999998</v>
      </c>
      <c r="C295" s="12">
        <v>1.5588371863175077E-2</v>
      </c>
      <c r="D295" s="12">
        <f t="shared" si="20"/>
        <v>7.3242526917262251E-5</v>
      </c>
      <c r="E295" s="11">
        <f t="shared" si="21"/>
        <v>1.5515129336257814E-2</v>
      </c>
      <c r="F295">
        <f t="shared" si="24"/>
        <v>1.4428939536341634E-2</v>
      </c>
      <c r="G295">
        <f t="shared" si="22"/>
        <v>1.0752785606440747</v>
      </c>
      <c r="H295">
        <f t="shared" si="23"/>
        <v>2.7414688744068405</v>
      </c>
    </row>
    <row r="296" spans="1:8" x14ac:dyDescent="0.25">
      <c r="A296" s="13">
        <v>40695</v>
      </c>
      <c r="B296">
        <v>261.81908279999999</v>
      </c>
      <c r="C296" s="12">
        <v>-6.4647804730743053E-3</v>
      </c>
      <c r="D296" s="12">
        <f t="shared" si="20"/>
        <v>2.495084364594374E-4</v>
      </c>
      <c r="E296" s="11">
        <f t="shared" si="21"/>
        <v>-6.7142889095337423E-3</v>
      </c>
      <c r="F296">
        <f t="shared" si="24"/>
        <v>1.6457387414106486E-2</v>
      </c>
      <c r="G296">
        <f t="shared" si="22"/>
        <v>-0.40798024258568372</v>
      </c>
      <c r="H296">
        <f t="shared" si="23"/>
        <v>3.1048183472790973</v>
      </c>
    </row>
    <row r="297" spans="1:8" x14ac:dyDescent="0.25">
      <c r="A297" s="13">
        <v>40696</v>
      </c>
      <c r="B297">
        <v>263.04448769999999</v>
      </c>
      <c r="C297" s="12">
        <v>4.6803498312462111E-3</v>
      </c>
      <c r="D297" s="12">
        <f t="shared" si="20"/>
        <v>-5.7716035574369054E-5</v>
      </c>
      <c r="E297" s="11">
        <f t="shared" si="21"/>
        <v>4.7380658668205802E-3</v>
      </c>
      <c r="F297">
        <f t="shared" si="24"/>
        <v>1.4704227411287884E-2</v>
      </c>
      <c r="G297">
        <f t="shared" si="22"/>
        <v>0.32222474083768216</v>
      </c>
      <c r="H297">
        <f t="shared" si="23"/>
        <v>3.2487673225325566</v>
      </c>
    </row>
    <row r="298" spans="1:8" x14ac:dyDescent="0.25">
      <c r="A298" s="13">
        <v>40697</v>
      </c>
      <c r="B298">
        <v>260.56380139999999</v>
      </c>
      <c r="C298" s="12">
        <v>-9.4306720573791303E-3</v>
      </c>
      <c r="D298" s="12">
        <f t="shared" si="20"/>
        <v>5.4174469161597782E-5</v>
      </c>
      <c r="E298" s="11">
        <f t="shared" si="21"/>
        <v>-9.4848465265407276E-3</v>
      </c>
      <c r="F298">
        <f t="shared" si="24"/>
        <v>1.4391809486327232E-2</v>
      </c>
      <c r="G298">
        <f t="shared" si="22"/>
        <v>-0.65904475288890485</v>
      </c>
      <c r="H298">
        <f t="shared" si="23"/>
        <v>3.1049874935319641</v>
      </c>
    </row>
    <row r="299" spans="1:8" x14ac:dyDescent="0.25">
      <c r="A299" s="13">
        <v>40700</v>
      </c>
      <c r="B299">
        <v>259.55757399999999</v>
      </c>
      <c r="C299" s="12">
        <v>-3.8617313479215598E-3</v>
      </c>
      <c r="D299" s="12">
        <f t="shared" si="20"/>
        <v>-1.3060748239576928E-4</v>
      </c>
      <c r="E299" s="11">
        <f t="shared" si="21"/>
        <v>-3.7311238655257906E-3</v>
      </c>
      <c r="F299">
        <f t="shared" si="24"/>
        <v>1.5050064966405019E-2</v>
      </c>
      <c r="G299">
        <f t="shared" si="22"/>
        <v>-0.24791413683957256</v>
      </c>
      <c r="H299">
        <f t="shared" si="23"/>
        <v>3.2467037282647886</v>
      </c>
    </row>
    <row r="300" spans="1:8" x14ac:dyDescent="0.25">
      <c r="A300" s="13">
        <v>40701</v>
      </c>
      <c r="B300">
        <v>258.54634179999999</v>
      </c>
      <c r="C300" s="12">
        <v>-3.8959841718970711E-3</v>
      </c>
      <c r="D300" s="12">
        <f t="shared" si="20"/>
        <v>-8.26439849819866E-5</v>
      </c>
      <c r="E300" s="11">
        <f t="shared" si="21"/>
        <v>-3.8133401869150847E-3</v>
      </c>
      <c r="F300">
        <f t="shared" si="24"/>
        <v>1.4335871822691186E-2</v>
      </c>
      <c r="G300">
        <f t="shared" si="22"/>
        <v>-0.26599988016628551</v>
      </c>
      <c r="H300">
        <f t="shared" si="23"/>
        <v>3.2906738624001313</v>
      </c>
    </row>
    <row r="301" spans="1:8" x14ac:dyDescent="0.25">
      <c r="A301" s="13">
        <v>40702</v>
      </c>
      <c r="B301">
        <v>258.61607450000002</v>
      </c>
      <c r="C301" s="12">
        <v>2.697106426436946E-4</v>
      </c>
      <c r="D301" s="12">
        <f t="shared" si="20"/>
        <v>-6.8850030980504681E-5</v>
      </c>
      <c r="E301" s="11">
        <f t="shared" si="21"/>
        <v>3.3856067362419929E-4</v>
      </c>
      <c r="F301">
        <f t="shared" si="24"/>
        <v>1.4285269051247886E-2</v>
      </c>
      <c r="G301">
        <f t="shared" si="22"/>
        <v>2.3699985797231059E-2</v>
      </c>
      <c r="H301">
        <f t="shared" si="23"/>
        <v>3.3293070310796229</v>
      </c>
    </row>
    <row r="302" spans="1:8" x14ac:dyDescent="0.25">
      <c r="A302" s="13">
        <v>40703</v>
      </c>
      <c r="B302">
        <v>257.40064869999998</v>
      </c>
      <c r="C302" s="12">
        <v>-4.6997302946072406E-3</v>
      </c>
      <c r="D302" s="12">
        <f t="shared" si="20"/>
        <v>-5.9332811128410221E-6</v>
      </c>
      <c r="E302" s="11">
        <f t="shared" si="21"/>
        <v>-4.6937970134943996E-3</v>
      </c>
      <c r="F302">
        <f t="shared" si="24"/>
        <v>1.4128978680029271E-2</v>
      </c>
      <c r="G302">
        <f t="shared" si="22"/>
        <v>-0.33221063742766405</v>
      </c>
      <c r="H302">
        <f t="shared" si="23"/>
        <v>3.2854068781360297</v>
      </c>
    </row>
    <row r="303" spans="1:8" x14ac:dyDescent="0.25">
      <c r="A303" s="13">
        <v>40704</v>
      </c>
      <c r="B303">
        <v>253.8041154</v>
      </c>
      <c r="C303" s="12">
        <v>-1.3972510629496226E-2</v>
      </c>
      <c r="D303" s="12">
        <f t="shared" si="20"/>
        <v>-7.0388742944132543E-5</v>
      </c>
      <c r="E303" s="11">
        <f t="shared" si="21"/>
        <v>-1.3902121886552094E-2</v>
      </c>
      <c r="F303">
        <f t="shared" si="24"/>
        <v>1.4350258462418806E-2</v>
      </c>
      <c r="G303">
        <f t="shared" si="22"/>
        <v>-0.96877153278874284</v>
      </c>
      <c r="H303">
        <f t="shared" si="23"/>
        <v>2.8557896510447272</v>
      </c>
    </row>
    <row r="304" spans="1:8" x14ac:dyDescent="0.25">
      <c r="A304" s="13">
        <v>40707</v>
      </c>
      <c r="B304">
        <v>251.42303870000001</v>
      </c>
      <c r="C304" s="12">
        <v>-9.3815527626388562E-3</v>
      </c>
      <c r="D304" s="12">
        <f t="shared" si="20"/>
        <v>-2.2340784804726865E-4</v>
      </c>
      <c r="E304" s="11">
        <f t="shared" si="21"/>
        <v>-9.1581449145915882E-3</v>
      </c>
      <c r="F304">
        <f t="shared" si="24"/>
        <v>1.6040153225250684E-2</v>
      </c>
      <c r="G304">
        <f t="shared" si="22"/>
        <v>-0.57095121137463201</v>
      </c>
      <c r="H304">
        <f t="shared" si="23"/>
        <v>3.0507289478032158</v>
      </c>
    </row>
    <row r="305" spans="1:8" x14ac:dyDescent="0.25">
      <c r="A305" s="13">
        <v>40708</v>
      </c>
      <c r="B305">
        <v>253.23624340000001</v>
      </c>
      <c r="C305" s="12">
        <v>7.2117682984633724E-3</v>
      </c>
      <c r="D305" s="12">
        <f t="shared" si="20"/>
        <v>-1.7780188182395151E-4</v>
      </c>
      <c r="E305" s="11">
        <f t="shared" si="21"/>
        <v>7.389570180287324E-3</v>
      </c>
      <c r="F305">
        <f t="shared" si="24"/>
        <v>1.4989574226042985E-2</v>
      </c>
      <c r="G305">
        <f t="shared" si="22"/>
        <v>0.49298065901355864</v>
      </c>
      <c r="H305">
        <f t="shared" si="23"/>
        <v>3.159946872852013</v>
      </c>
    </row>
    <row r="306" spans="1:8" x14ac:dyDescent="0.25">
      <c r="A306" s="13">
        <v>40709</v>
      </c>
      <c r="B306">
        <v>250.53636420000001</v>
      </c>
      <c r="C306" s="12">
        <v>-1.0661503913306003E-2</v>
      </c>
      <c r="D306" s="12">
        <f t="shared" si="20"/>
        <v>8.4965329243615794E-5</v>
      </c>
      <c r="E306" s="11">
        <f t="shared" si="21"/>
        <v>-1.0746469242549619E-2</v>
      </c>
      <c r="F306">
        <f t="shared" si="24"/>
        <v>1.4712896672779823E-2</v>
      </c>
      <c r="G306">
        <f t="shared" si="22"/>
        <v>-0.73041152137169219</v>
      </c>
      <c r="H306">
        <f t="shared" si="23"/>
        <v>3.033341816661971</v>
      </c>
    </row>
    <row r="307" spans="1:8" x14ac:dyDescent="0.25">
      <c r="A307" s="13">
        <v>40710</v>
      </c>
      <c r="B307">
        <v>249.2511749</v>
      </c>
      <c r="C307" s="12">
        <v>-5.1297515396769855E-3</v>
      </c>
      <c r="D307" s="12">
        <f t="shared" si="20"/>
        <v>-1.4271774136312768E-4</v>
      </c>
      <c r="E307" s="11">
        <f t="shared" si="21"/>
        <v>-4.9870337983138578E-3</v>
      </c>
      <c r="F307">
        <f t="shared" si="24"/>
        <v>1.5280043513666467E-2</v>
      </c>
      <c r="G307">
        <f t="shared" si="22"/>
        <v>-0.32637562804408615</v>
      </c>
      <c r="H307">
        <f t="shared" si="23"/>
        <v>3.2090085889995179</v>
      </c>
    </row>
    <row r="308" spans="1:8" x14ac:dyDescent="0.25">
      <c r="A308" s="13">
        <v>40711</v>
      </c>
      <c r="B308">
        <v>241.60481480000001</v>
      </c>
      <c r="C308" s="12">
        <v>-3.0677328213468691E-2</v>
      </c>
      <c r="D308" s="12">
        <f t="shared" si="20"/>
        <v>-1.0498558012309328E-4</v>
      </c>
      <c r="E308" s="11">
        <f t="shared" si="21"/>
        <v>-3.0572342633345597E-2</v>
      </c>
      <c r="F308">
        <f t="shared" si="24"/>
        <v>1.4455075678987151E-2</v>
      </c>
      <c r="G308">
        <f t="shared" si="22"/>
        <v>-2.1149901468719094</v>
      </c>
      <c r="H308">
        <f t="shared" si="23"/>
        <v>1.0811794741516687</v>
      </c>
    </row>
    <row r="309" spans="1:8" x14ac:dyDescent="0.25">
      <c r="A309" s="13">
        <v>40714</v>
      </c>
      <c r="B309">
        <v>241.38563740000001</v>
      </c>
      <c r="C309" s="12">
        <v>-9.0717314628618873E-4</v>
      </c>
      <c r="D309" s="12">
        <f t="shared" si="20"/>
        <v>-4.7716792077446998E-4</v>
      </c>
      <c r="E309" s="11">
        <f t="shared" si="21"/>
        <v>-4.3000522551171874E-4</v>
      </c>
      <c r="F309">
        <f t="shared" si="24"/>
        <v>2.1775834845435858E-2</v>
      </c>
      <c r="G309">
        <f t="shared" si="22"/>
        <v>-1.9746899651098632E-2</v>
      </c>
      <c r="H309">
        <f t="shared" si="23"/>
        <v>2.9078209141212668</v>
      </c>
    </row>
    <row r="310" spans="1:8" x14ac:dyDescent="0.25">
      <c r="A310" s="13">
        <v>40715</v>
      </c>
      <c r="B310">
        <v>245.5799346</v>
      </c>
      <c r="C310" s="12">
        <v>1.7375918655216482E-2</v>
      </c>
      <c r="D310" s="12">
        <f t="shared" si="20"/>
        <v>-9.2560546355667002E-5</v>
      </c>
      <c r="E310" s="11">
        <f t="shared" si="21"/>
        <v>1.746847920157215E-2</v>
      </c>
      <c r="F310">
        <f t="shared" si="24"/>
        <v>1.5019619808157577E-2</v>
      </c>
      <c r="G310">
        <f t="shared" si="22"/>
        <v>1.1630440333838896</v>
      </c>
      <c r="H310">
        <f t="shared" si="23"/>
        <v>2.6031237003399039</v>
      </c>
    </row>
    <row r="311" spans="1:8" x14ac:dyDescent="0.25">
      <c r="A311" s="13">
        <v>40716</v>
      </c>
      <c r="B311">
        <v>242.59610369999999</v>
      </c>
      <c r="C311" s="12">
        <v>-1.2150141276240922E-2</v>
      </c>
      <c r="D311" s="12">
        <f t="shared" si="20"/>
        <v>2.6047370709290717E-4</v>
      </c>
      <c r="E311" s="11">
        <f t="shared" si="21"/>
        <v>-1.241061498333383E-2</v>
      </c>
      <c r="F311">
        <f t="shared" si="24"/>
        <v>1.686880852503863E-2</v>
      </c>
      <c r="G311">
        <f t="shared" si="22"/>
        <v>-0.73571378588550373</v>
      </c>
      <c r="H311">
        <f t="shared" si="23"/>
        <v>2.8927130911929009</v>
      </c>
    </row>
    <row r="312" spans="1:8" x14ac:dyDescent="0.25">
      <c r="A312" s="13">
        <v>40717</v>
      </c>
      <c r="B312">
        <v>239.213774</v>
      </c>
      <c r="C312" s="12">
        <v>-1.3942225981430689E-2</v>
      </c>
      <c r="D312" s="12">
        <f t="shared" si="20"/>
        <v>-1.3911132417992225E-4</v>
      </c>
      <c r="E312" s="11">
        <f t="shared" si="21"/>
        <v>-1.3803114657250768E-2</v>
      </c>
      <c r="F312">
        <f t="shared" si="24"/>
        <v>1.5508147007244457E-2</v>
      </c>
      <c r="G312">
        <f t="shared" si="22"/>
        <v>-0.8900557010971587</v>
      </c>
      <c r="H312">
        <f t="shared" si="23"/>
        <v>2.8513516710401987</v>
      </c>
    </row>
    <row r="313" spans="1:8" x14ac:dyDescent="0.25">
      <c r="A313" s="13">
        <v>40718</v>
      </c>
      <c r="B313">
        <v>236.55375050000001</v>
      </c>
      <c r="C313" s="12">
        <v>-1.1119859260278142E-2</v>
      </c>
      <c r="D313" s="12">
        <f t="shared" si="20"/>
        <v>-2.4209714368985202E-4</v>
      </c>
      <c r="E313" s="11">
        <f t="shared" si="21"/>
        <v>-1.087776211658829E-2</v>
      </c>
      <c r="F313">
        <f t="shared" si="24"/>
        <v>1.5863289421883312E-2</v>
      </c>
      <c r="G313">
        <f t="shared" si="22"/>
        <v>-0.68571919904471279</v>
      </c>
      <c r="H313">
        <f t="shared" si="23"/>
        <v>2.9897037374570234</v>
      </c>
    </row>
    <row r="314" spans="1:8" x14ac:dyDescent="0.25">
      <c r="A314" s="13">
        <v>40721</v>
      </c>
      <c r="B314">
        <v>240.49896279999999</v>
      </c>
      <c r="C314" s="12">
        <v>1.6677868313907718E-2</v>
      </c>
      <c r="D314" s="12">
        <f t="shared" si="20"/>
        <v>-2.040153713195552E-4</v>
      </c>
      <c r="E314" s="11">
        <f t="shared" si="21"/>
        <v>1.6881883685227275E-2</v>
      </c>
      <c r="F314">
        <f t="shared" si="24"/>
        <v>1.5263786955024406E-2</v>
      </c>
      <c r="G314">
        <f t="shared" si="22"/>
        <v>1.1060088649671722</v>
      </c>
      <c r="H314">
        <f t="shared" si="23"/>
        <v>2.651705783824982</v>
      </c>
    </row>
    <row r="315" spans="1:8" x14ac:dyDescent="0.25">
      <c r="A315" s="13">
        <v>40722</v>
      </c>
      <c r="B315">
        <v>245.90371149999999</v>
      </c>
      <c r="C315" s="12">
        <v>2.2473064486746352E-2</v>
      </c>
      <c r="D315" s="12">
        <f t="shared" si="20"/>
        <v>2.2366961439279986E-4</v>
      </c>
      <c r="E315" s="11">
        <f t="shared" si="21"/>
        <v>2.2249394872353553E-2</v>
      </c>
      <c r="F315">
        <f t="shared" si="24"/>
        <v>1.6653432894779645E-2</v>
      </c>
      <c r="G315">
        <f t="shared" si="22"/>
        <v>1.3360245309739156</v>
      </c>
      <c r="H315">
        <f t="shared" si="23"/>
        <v>2.2837195970544779</v>
      </c>
    </row>
    <row r="316" spans="1:8" x14ac:dyDescent="0.25">
      <c r="A316" s="13">
        <v>40723</v>
      </c>
      <c r="B316">
        <v>247.85639739999999</v>
      </c>
      <c r="C316" s="12">
        <v>7.9408557442615102E-3</v>
      </c>
      <c r="D316" s="12">
        <f t="shared" si="20"/>
        <v>3.8275942806636511E-4</v>
      </c>
      <c r="E316" s="11">
        <f t="shared" si="21"/>
        <v>7.558096316195145E-3</v>
      </c>
      <c r="F316">
        <f t="shared" si="24"/>
        <v>1.7777053807213537E-2</v>
      </c>
      <c r="G316">
        <f t="shared" si="22"/>
        <v>0.42516023173245032</v>
      </c>
      <c r="H316">
        <f t="shared" si="23"/>
        <v>3.0205276207299177</v>
      </c>
    </row>
    <row r="317" spans="1:8" x14ac:dyDescent="0.25">
      <c r="A317" s="13">
        <v>40724</v>
      </c>
      <c r="B317">
        <v>252.24495450000001</v>
      </c>
      <c r="C317" s="12">
        <v>1.7706047316251361E-2</v>
      </c>
      <c r="D317" s="12">
        <f t="shared" si="20"/>
        <v>1.7785798615275089E-4</v>
      </c>
      <c r="E317" s="11">
        <f t="shared" si="21"/>
        <v>1.7528189330098611E-2</v>
      </c>
      <c r="F317">
        <f t="shared" si="24"/>
        <v>1.4880700701355061E-2</v>
      </c>
      <c r="G317">
        <f t="shared" si="22"/>
        <v>1.1779142448918729</v>
      </c>
      <c r="H317">
        <f t="shared" si="23"/>
        <v>2.5950106431767996</v>
      </c>
    </row>
    <row r="318" spans="1:8" x14ac:dyDescent="0.25">
      <c r="A318" s="13">
        <v>40725</v>
      </c>
      <c r="B318">
        <v>259.5426205</v>
      </c>
      <c r="C318" s="12">
        <v>2.893087005234829E-2</v>
      </c>
      <c r="D318" s="12">
        <f t="shared" si="20"/>
        <v>2.8820597443374521E-4</v>
      </c>
      <c r="E318" s="11">
        <f t="shared" si="21"/>
        <v>2.8642664077914545E-2</v>
      </c>
      <c r="F318">
        <f t="shared" si="24"/>
        <v>1.692012335904999E-2</v>
      </c>
      <c r="G318">
        <f t="shared" si="22"/>
        <v>1.6928165043545367</v>
      </c>
      <c r="H318">
        <f t="shared" si="23"/>
        <v>1.7274992421944129</v>
      </c>
    </row>
    <row r="319" spans="1:8" x14ac:dyDescent="0.25">
      <c r="A319" s="13">
        <v>40729</v>
      </c>
      <c r="B319">
        <v>265.22631519999999</v>
      </c>
      <c r="C319" s="12">
        <v>2.1898887701181868E-2</v>
      </c>
      <c r="D319" s="12">
        <f t="shared" si="20"/>
        <v>4.8307402635256233E-4</v>
      </c>
      <c r="E319" s="11">
        <f t="shared" si="21"/>
        <v>2.1415813674829306E-2</v>
      </c>
      <c r="F319">
        <f t="shared" si="24"/>
        <v>1.9573184634043325E-2</v>
      </c>
      <c r="G319">
        <f t="shared" si="22"/>
        <v>1.0941404822586267</v>
      </c>
      <c r="H319">
        <f t="shared" si="23"/>
        <v>2.4160845497441725</v>
      </c>
    </row>
    <row r="320" spans="1:8" x14ac:dyDescent="0.25">
      <c r="A320" s="13">
        <v>40730</v>
      </c>
      <c r="B320">
        <v>266.68087709999998</v>
      </c>
      <c r="C320" s="12">
        <v>5.4842291908445695E-3</v>
      </c>
      <c r="D320" s="12">
        <f t="shared" si="20"/>
        <v>4.0556505167002924E-4</v>
      </c>
      <c r="E320" s="11">
        <f t="shared" si="21"/>
        <v>5.07866413917454E-3</v>
      </c>
      <c r="F320">
        <f t="shared" si="24"/>
        <v>1.7034408181473597E-2</v>
      </c>
      <c r="G320">
        <f t="shared" si="22"/>
        <v>0.29814150776884807</v>
      </c>
      <c r="H320">
        <f t="shared" si="23"/>
        <v>3.1091372572689182</v>
      </c>
    </row>
    <row r="321" spans="1:8" x14ac:dyDescent="0.25">
      <c r="A321" s="13">
        <v>40731</v>
      </c>
      <c r="B321">
        <v>272.2798856</v>
      </c>
      <c r="C321" s="12">
        <v>2.0995163061131361E-2</v>
      </c>
      <c r="D321" s="12">
        <f t="shared" si="20"/>
        <v>1.3922669111000397E-4</v>
      </c>
      <c r="E321" s="11">
        <f t="shared" si="21"/>
        <v>2.0855936370021356E-2</v>
      </c>
      <c r="F321">
        <f t="shared" si="24"/>
        <v>1.4605459340241657E-2</v>
      </c>
      <c r="G321">
        <f t="shared" si="22"/>
        <v>1.4279548410064782</v>
      </c>
      <c r="H321">
        <f t="shared" si="23"/>
        <v>2.2878938455658755</v>
      </c>
    </row>
    <row r="322" spans="1:8" x14ac:dyDescent="0.25">
      <c r="A322" s="13">
        <v>40732</v>
      </c>
      <c r="B322">
        <v>265.00216330000001</v>
      </c>
      <c r="C322" s="12">
        <v>-2.6728828256860404E-2</v>
      </c>
      <c r="D322" s="12">
        <f t="shared" si="20"/>
        <v>3.3163932055597749E-4</v>
      </c>
      <c r="E322" s="11">
        <f t="shared" si="21"/>
        <v>-2.7060467577416383E-2</v>
      </c>
      <c r="F322">
        <f t="shared" si="24"/>
        <v>1.8039948291116936E-2</v>
      </c>
      <c r="G322">
        <f t="shared" si="22"/>
        <v>-1.5000302185312386</v>
      </c>
      <c r="H322">
        <f t="shared" si="23"/>
        <v>1.9711827692397246</v>
      </c>
    </row>
    <row r="323" spans="1:8" x14ac:dyDescent="0.25">
      <c r="A323" s="13">
        <v>40735</v>
      </c>
      <c r="B323">
        <v>262.65596799999997</v>
      </c>
      <c r="C323" s="12">
        <v>-8.8534948952245784E-3</v>
      </c>
      <c r="D323" s="12">
        <f t="shared" si="20"/>
        <v>-3.5030786753214677E-4</v>
      </c>
      <c r="E323" s="11">
        <f t="shared" si="21"/>
        <v>-8.5031870276924323E-3</v>
      </c>
      <c r="F323">
        <f t="shared" si="24"/>
        <v>1.8685624287365973E-2</v>
      </c>
      <c r="G323">
        <f t="shared" si="22"/>
        <v>-0.4550657177369099</v>
      </c>
      <c r="H323">
        <f t="shared" si="23"/>
        <v>2.9575198685169424</v>
      </c>
    </row>
    <row r="324" spans="1:8" x14ac:dyDescent="0.25">
      <c r="A324" s="13">
        <v>40736</v>
      </c>
      <c r="B324">
        <v>266.00839070000001</v>
      </c>
      <c r="C324" s="12">
        <v>1.2763550455476613E-2</v>
      </c>
      <c r="D324" s="12">
        <f t="shared" si="20"/>
        <v>-2.0259854635964225E-4</v>
      </c>
      <c r="E324" s="11">
        <f t="shared" si="21"/>
        <v>1.2966149001836255E-2</v>
      </c>
      <c r="F324">
        <f t="shared" si="24"/>
        <v>1.5041067251526105E-2</v>
      </c>
      <c r="G324">
        <f t="shared" si="22"/>
        <v>0.86204979906068013</v>
      </c>
      <c r="H324">
        <f t="shared" si="23"/>
        <v>2.9064675408703482</v>
      </c>
    </row>
    <row r="325" spans="1:8" x14ac:dyDescent="0.25">
      <c r="A325" s="13">
        <v>40737</v>
      </c>
      <c r="B325">
        <v>268.12545999999998</v>
      </c>
      <c r="C325" s="12">
        <v>7.9586560951288021E-3</v>
      </c>
      <c r="D325" s="12">
        <f t="shared" si="20"/>
        <v>1.7029132140112822E-4</v>
      </c>
      <c r="E325" s="11">
        <f t="shared" si="21"/>
        <v>7.7883647737276738E-3</v>
      </c>
      <c r="F325">
        <f t="shared" si="24"/>
        <v>1.5724661105866625E-2</v>
      </c>
      <c r="G325">
        <f t="shared" si="22"/>
        <v>0.49529619247704848</v>
      </c>
      <c r="H325">
        <f t="shared" si="23"/>
        <v>3.1109273355783023</v>
      </c>
    </row>
    <row r="326" spans="1:8" x14ac:dyDescent="0.25">
      <c r="A326" s="13">
        <v>40738</v>
      </c>
      <c r="B326">
        <v>263.48284310000003</v>
      </c>
      <c r="C326" s="12">
        <v>-1.7315091599283239E-2</v>
      </c>
      <c r="D326" s="12">
        <f t="shared" ref="D326:D389" si="25">+C325*$K$11+C324*$K$10</f>
        <v>1.5317403997171312E-4</v>
      </c>
      <c r="E326" s="11">
        <f t="shared" ref="E326:E389" si="26">C326-D326</f>
        <v>-1.7468265639254951E-2</v>
      </c>
      <c r="F326">
        <f t="shared" si="24"/>
        <v>1.4791226171974139E-2</v>
      </c>
      <c r="G326">
        <f t="shared" ref="G326:G389" si="27">E326/F326</f>
        <v>-1.1809883397194727</v>
      </c>
      <c r="H326">
        <f t="shared" ref="H326:H389" si="28">1/2*(-LN(PI()*2)-2*LN(F326)-(E326/F326)^2)</f>
        <v>2.5974158377396215</v>
      </c>
    </row>
    <row r="327" spans="1:8" x14ac:dyDescent="0.25">
      <c r="A327" s="13">
        <v>40739</v>
      </c>
      <c r="B327">
        <v>297.69469370000002</v>
      </c>
      <c r="C327" s="12">
        <v>0.12984469955417755</v>
      </c>
      <c r="D327" s="12">
        <f t="shared" si="25"/>
        <v>-2.4143161009840603E-4</v>
      </c>
      <c r="E327" s="11">
        <f t="shared" si="26"/>
        <v>0.13008613116427595</v>
      </c>
      <c r="F327">
        <f t="shared" ref="F327:F390" si="29">SQRT($K$6+$K$7*G326^2+$K$8*F326^2)</f>
        <v>1.6925711058167696E-2</v>
      </c>
      <c r="G327">
        <f t="shared" si="27"/>
        <v>7.6857114432129805</v>
      </c>
      <c r="H327">
        <f t="shared" si="28"/>
        <v>-26.375097278605281</v>
      </c>
    </row>
    <row r="328" spans="1:8" x14ac:dyDescent="0.25">
      <c r="A328" s="13">
        <v>40742</v>
      </c>
      <c r="B328">
        <v>296.35966969999998</v>
      </c>
      <c r="C328" s="12">
        <v>-4.4845408005337317E-3</v>
      </c>
      <c r="D328" s="12">
        <f t="shared" si="25"/>
        <v>1.9193595464577474E-3</v>
      </c>
      <c r="E328" s="11">
        <f t="shared" si="26"/>
        <v>-6.4039003469914795E-3</v>
      </c>
      <c r="F328">
        <f t="shared" si="29"/>
        <v>6.1866268766592729E-2</v>
      </c>
      <c r="G328">
        <f t="shared" si="27"/>
        <v>-0.10351198600891755</v>
      </c>
      <c r="H328">
        <f t="shared" si="28"/>
        <v>1.8584842800648722</v>
      </c>
    </row>
    <row r="329" spans="1:8" x14ac:dyDescent="0.25">
      <c r="A329" s="13">
        <v>40743</v>
      </c>
      <c r="B329">
        <v>300.15047779999998</v>
      </c>
      <c r="C329" s="12">
        <v>1.279124147977817E-2</v>
      </c>
      <c r="D329" s="12">
        <f t="shared" si="25"/>
        <v>2.6586990813194921E-4</v>
      </c>
      <c r="E329" s="11">
        <f t="shared" si="26"/>
        <v>1.252537157164622E-2</v>
      </c>
      <c r="F329">
        <f t="shared" si="29"/>
        <v>2.3422888688484095E-2</v>
      </c>
      <c r="G329">
        <f t="shared" si="27"/>
        <v>0.53474922492392418</v>
      </c>
      <c r="H329">
        <f t="shared" si="28"/>
        <v>2.6921246856310068</v>
      </c>
    </row>
    <row r="330" spans="1:8" x14ac:dyDescent="0.25">
      <c r="A330" s="13">
        <v>40744</v>
      </c>
      <c r="B330">
        <v>296.56392410000001</v>
      </c>
      <c r="C330" s="12">
        <v>-1.1949185376242566E-2</v>
      </c>
      <c r="D330" s="12">
        <f t="shared" si="25"/>
        <v>1.8193822500243729E-4</v>
      </c>
      <c r="E330" s="11">
        <f t="shared" si="26"/>
        <v>-1.2131123601245004E-2</v>
      </c>
      <c r="F330">
        <f t="shared" si="29"/>
        <v>1.5819189066107499E-2</v>
      </c>
      <c r="G330">
        <f t="shared" si="27"/>
        <v>-0.76686128160866673</v>
      </c>
      <c r="H330">
        <f t="shared" si="28"/>
        <v>2.9335549321803276</v>
      </c>
    </row>
    <row r="331" spans="1:8" x14ac:dyDescent="0.25">
      <c r="A331" s="13">
        <v>40745</v>
      </c>
      <c r="B331">
        <v>302.36218229999997</v>
      </c>
      <c r="C331" s="12">
        <v>1.9551461687716376E-2</v>
      </c>
      <c r="D331" s="12">
        <f t="shared" si="25"/>
        <v>-1.4785441953679734E-4</v>
      </c>
      <c r="E331" s="11">
        <f t="shared" si="26"/>
        <v>1.9699316107253173E-2</v>
      </c>
      <c r="F331">
        <f t="shared" si="29"/>
        <v>1.54942518746747E-2</v>
      </c>
      <c r="G331">
        <f t="shared" si="27"/>
        <v>1.271395112625711</v>
      </c>
      <c r="H331">
        <f t="shared" si="28"/>
        <v>2.4401248712238499</v>
      </c>
    </row>
    <row r="332" spans="1:8" x14ac:dyDescent="0.25">
      <c r="A332" s="13">
        <v>40746</v>
      </c>
      <c r="B332">
        <v>307.96122120000001</v>
      </c>
      <c r="C332" s="12">
        <v>1.8517656068657296E-2</v>
      </c>
      <c r="D332" s="12">
        <f t="shared" si="25"/>
        <v>2.6500043499083788E-4</v>
      </c>
      <c r="E332" s="11">
        <f t="shared" si="26"/>
        <v>1.8252655633666459E-2</v>
      </c>
      <c r="F332">
        <f t="shared" si="29"/>
        <v>1.7381418948573309E-2</v>
      </c>
      <c r="G332">
        <f t="shared" si="27"/>
        <v>1.0501246007400715</v>
      </c>
      <c r="H332">
        <f t="shared" si="28"/>
        <v>2.5820341481223856</v>
      </c>
    </row>
    <row r="333" spans="1:8" x14ac:dyDescent="0.25">
      <c r="A333" s="13">
        <v>40749</v>
      </c>
      <c r="B333">
        <v>308.33481840000002</v>
      </c>
      <c r="C333" s="12">
        <v>1.2131306615301707E-3</v>
      </c>
      <c r="D333" s="12">
        <f t="shared" si="25"/>
        <v>3.3032021474854305E-4</v>
      </c>
      <c r="E333" s="11">
        <f t="shared" si="26"/>
        <v>8.8281044678162768E-4</v>
      </c>
      <c r="F333">
        <f t="shared" si="29"/>
        <v>1.6631282566472175E-2</v>
      </c>
      <c r="G333">
        <f t="shared" si="27"/>
        <v>5.3081320893514784E-2</v>
      </c>
      <c r="H333">
        <f t="shared" si="28"/>
        <v>3.1761225185722206</v>
      </c>
    </row>
    <row r="334" spans="1:8" x14ac:dyDescent="0.25">
      <c r="A334" s="13">
        <v>40750</v>
      </c>
      <c r="B334">
        <v>310.09821820000002</v>
      </c>
      <c r="C334" s="12">
        <v>5.7191069407942496E-3</v>
      </c>
      <c r="D334" s="12">
        <f t="shared" si="25"/>
        <v>6.5938047922301467E-5</v>
      </c>
      <c r="E334" s="11">
        <f t="shared" si="26"/>
        <v>5.6531688928719483E-3</v>
      </c>
      <c r="F334">
        <f t="shared" si="29"/>
        <v>1.4378456247725961E-2</v>
      </c>
      <c r="G334">
        <f t="shared" si="27"/>
        <v>0.3931693914474324</v>
      </c>
      <c r="H334">
        <f t="shared" si="28"/>
        <v>3.2457946681838359</v>
      </c>
    </row>
    <row r="335" spans="1:8" x14ac:dyDescent="0.25">
      <c r="A335" s="13">
        <v>40751</v>
      </c>
      <c r="B335">
        <v>302.47677579999998</v>
      </c>
      <c r="C335" s="12">
        <v>-2.4577511100320248E-2</v>
      </c>
      <c r="D335" s="12">
        <f t="shared" si="25"/>
        <v>8.9617342367316429E-5</v>
      </c>
      <c r="E335" s="11">
        <f t="shared" si="26"/>
        <v>-2.4667128442687564E-2</v>
      </c>
      <c r="F335">
        <f t="shared" si="29"/>
        <v>1.4468016177215137E-2</v>
      </c>
      <c r="G335">
        <f t="shared" si="27"/>
        <v>-1.7049420003783542</v>
      </c>
      <c r="H335">
        <f t="shared" si="28"/>
        <v>1.8634627012235421</v>
      </c>
    </row>
    <row r="336" spans="1:8" x14ac:dyDescent="0.25">
      <c r="A336" s="13">
        <v>40752</v>
      </c>
      <c r="B336">
        <v>304.32980670000001</v>
      </c>
      <c r="C336" s="12">
        <v>6.126192317076562E-3</v>
      </c>
      <c r="D336" s="12">
        <f t="shared" si="25"/>
        <v>-3.5702891866482966E-4</v>
      </c>
      <c r="E336" s="11">
        <f t="shared" si="26"/>
        <v>6.4832212357413916E-3</v>
      </c>
      <c r="F336">
        <f t="shared" si="29"/>
        <v>1.9448240446552391E-2</v>
      </c>
      <c r="G336">
        <f t="shared" si="27"/>
        <v>0.33335772732543928</v>
      </c>
      <c r="H336">
        <f t="shared" si="28"/>
        <v>2.9654964580943504</v>
      </c>
    </row>
    <row r="337" spans="1:8" x14ac:dyDescent="0.25">
      <c r="A337" s="13">
        <v>40753</v>
      </c>
      <c r="B337">
        <v>300.7183503</v>
      </c>
      <c r="C337" s="12">
        <v>-1.1866916484983281E-2</v>
      </c>
      <c r="D337" s="12">
        <f t="shared" si="25"/>
        <v>2.9493171608604616E-5</v>
      </c>
      <c r="E337" s="11">
        <f t="shared" si="26"/>
        <v>-1.1896409656591885E-2</v>
      </c>
      <c r="F337">
        <f t="shared" si="29"/>
        <v>1.4938186546388748E-2</v>
      </c>
      <c r="G337">
        <f t="shared" si="27"/>
        <v>-0.79637575951063477</v>
      </c>
      <c r="H337">
        <f t="shared" si="28"/>
        <v>2.9677887807093328</v>
      </c>
    </row>
    <row r="338" spans="1:8" x14ac:dyDescent="0.25">
      <c r="A338" s="13">
        <v>40756</v>
      </c>
      <c r="B338">
        <v>302.25259360000001</v>
      </c>
      <c r="C338" s="12">
        <v>5.1019277622048609E-3</v>
      </c>
      <c r="D338" s="12">
        <f t="shared" si="25"/>
        <v>-1.637391132185458E-4</v>
      </c>
      <c r="E338" s="11">
        <f t="shared" si="26"/>
        <v>5.265666875423407E-3</v>
      </c>
      <c r="F338">
        <f t="shared" si="29"/>
        <v>1.5501415850013415E-2</v>
      </c>
      <c r="G338">
        <f t="shared" si="27"/>
        <v>0.33968941459104524</v>
      </c>
      <c r="H338">
        <f t="shared" si="28"/>
        <v>3.190190931669219</v>
      </c>
    </row>
    <row r="339" spans="1:8" x14ac:dyDescent="0.25">
      <c r="A339" s="13">
        <v>40757</v>
      </c>
      <c r="B339">
        <v>295.09440869999997</v>
      </c>
      <c r="C339" s="12">
        <v>-2.3682790657780561E-2</v>
      </c>
      <c r="D339" s="12">
        <f t="shared" si="25"/>
        <v>4.6667364631577135E-5</v>
      </c>
      <c r="E339" s="11">
        <f t="shared" si="26"/>
        <v>-2.372945802241214E-2</v>
      </c>
      <c r="F339">
        <f t="shared" si="29"/>
        <v>1.4496476173644886E-2</v>
      </c>
      <c r="G339">
        <f t="shared" si="27"/>
        <v>-1.636912152868788</v>
      </c>
      <c r="H339">
        <f t="shared" si="28"/>
        <v>1.9751704502881744</v>
      </c>
    </row>
    <row r="340" spans="1:8" x14ac:dyDescent="0.25">
      <c r="A340" s="13">
        <v>40758</v>
      </c>
      <c r="B340">
        <v>299.4630684</v>
      </c>
      <c r="C340" s="12">
        <v>1.4804278126602233E-2</v>
      </c>
      <c r="D340" s="12">
        <f t="shared" si="25"/>
        <v>-3.4508269576333022E-4</v>
      </c>
      <c r="E340" s="11">
        <f t="shared" si="26"/>
        <v>1.5149360822365563E-2</v>
      </c>
      <c r="F340">
        <f t="shared" si="29"/>
        <v>1.9088771126952897E-2</v>
      </c>
      <c r="G340">
        <f t="shared" si="27"/>
        <v>0.79362682498586934</v>
      </c>
      <c r="H340">
        <f t="shared" si="28"/>
        <v>2.7247947140491622</v>
      </c>
    </row>
    <row r="341" spans="1:8" x14ac:dyDescent="0.25">
      <c r="A341" s="13">
        <v>40759</v>
      </c>
      <c r="B341">
        <v>287.68219499999998</v>
      </c>
      <c r="C341" s="12">
        <v>-3.9339987608301707E-2</v>
      </c>
      <c r="D341" s="12">
        <f t="shared" si="25"/>
        <v>1.6304580150435007E-4</v>
      </c>
      <c r="E341" s="11">
        <f t="shared" si="26"/>
        <v>-3.9503033409806057E-2</v>
      </c>
      <c r="F341">
        <f t="shared" si="29"/>
        <v>1.5924989000760472E-2</v>
      </c>
      <c r="G341">
        <f t="shared" si="27"/>
        <v>-2.480568960387957</v>
      </c>
      <c r="H341">
        <f t="shared" si="28"/>
        <v>0.14431605138946102</v>
      </c>
    </row>
    <row r="342" spans="1:8" x14ac:dyDescent="0.25">
      <c r="A342" s="13">
        <v>40760</v>
      </c>
      <c r="B342">
        <v>288.43936789999998</v>
      </c>
      <c r="C342" s="12">
        <v>2.6319769285687578E-3</v>
      </c>
      <c r="D342" s="12">
        <f t="shared" si="25"/>
        <v>-5.5695794482247358E-4</v>
      </c>
      <c r="E342" s="11">
        <f t="shared" si="26"/>
        <v>3.1889348733912313E-3</v>
      </c>
      <c r="F342">
        <f t="shared" si="29"/>
        <v>2.4112988065154512E-2</v>
      </c>
      <c r="G342">
        <f t="shared" si="27"/>
        <v>0.13224967659647024</v>
      </c>
      <c r="H342">
        <f t="shared" si="28"/>
        <v>2.7973211381029</v>
      </c>
    </row>
    <row r="343" spans="1:8" x14ac:dyDescent="0.25">
      <c r="A343" s="13">
        <v>40763</v>
      </c>
      <c r="B343">
        <v>271.99097560000001</v>
      </c>
      <c r="C343" s="12">
        <v>-5.7025476167672506E-2</v>
      </c>
      <c r="D343" s="12">
        <f t="shared" si="25"/>
        <v>-6.1294837550616874E-5</v>
      </c>
      <c r="E343" s="11">
        <f t="shared" si="26"/>
        <v>-5.6964181330121891E-2</v>
      </c>
      <c r="F343">
        <f t="shared" si="29"/>
        <v>1.5393139898162003E-2</v>
      </c>
      <c r="G343">
        <f t="shared" si="27"/>
        <v>-3.7006212966935759</v>
      </c>
      <c r="H343">
        <f t="shared" si="28"/>
        <v>-3.5924041940075315</v>
      </c>
    </row>
    <row r="344" spans="1:8" x14ac:dyDescent="0.25">
      <c r="A344" s="13">
        <v>40764</v>
      </c>
      <c r="B344">
        <v>285.63485839999998</v>
      </c>
      <c r="C344" s="12">
        <v>5.0162998128530534E-2</v>
      </c>
      <c r="D344" s="12">
        <f t="shared" si="25"/>
        <v>-8.5572766738009165E-4</v>
      </c>
      <c r="E344" s="11">
        <f t="shared" si="26"/>
        <v>5.1018725795910623E-2</v>
      </c>
      <c r="F344">
        <f t="shared" si="29"/>
        <v>3.2279757809357663E-2</v>
      </c>
      <c r="G344">
        <f t="shared" si="27"/>
        <v>1.5805176140795167</v>
      </c>
      <c r="H344">
        <f t="shared" si="28"/>
        <v>1.2653584410040613</v>
      </c>
    </row>
    <row r="345" spans="1:8" x14ac:dyDescent="0.25">
      <c r="A345" s="13">
        <v>40765</v>
      </c>
      <c r="B345">
        <v>273.48038839999998</v>
      </c>
      <c r="C345" s="12">
        <v>-4.2552474400652462E-2</v>
      </c>
      <c r="D345" s="12">
        <f t="shared" si="25"/>
        <v>6.1214519753071252E-4</v>
      </c>
      <c r="E345" s="11">
        <f t="shared" si="26"/>
        <v>-4.3164619598183178E-2</v>
      </c>
      <c r="F345">
        <f t="shared" si="29"/>
        <v>2.0814457495327274E-2</v>
      </c>
      <c r="G345">
        <f t="shared" si="27"/>
        <v>-2.07378066941564</v>
      </c>
      <c r="H345">
        <f t="shared" si="28"/>
        <v>0.8028857962090572</v>
      </c>
    </row>
    <row r="346" spans="1:8" x14ac:dyDescent="0.25">
      <c r="A346" s="13">
        <v>40766</v>
      </c>
      <c r="B346">
        <v>280.01592210000001</v>
      </c>
      <c r="C346" s="12">
        <v>2.3897632068742736E-2</v>
      </c>
      <c r="D346" s="12">
        <f t="shared" si="25"/>
        <v>-5.1467487286367924E-4</v>
      </c>
      <c r="E346" s="11">
        <f t="shared" si="26"/>
        <v>2.4412306941606416E-2</v>
      </c>
      <c r="F346">
        <f t="shared" si="29"/>
        <v>2.2026668334714054E-2</v>
      </c>
      <c r="G346">
        <f t="shared" si="27"/>
        <v>1.1083068292780616</v>
      </c>
      <c r="H346">
        <f t="shared" si="28"/>
        <v>2.282390815592116</v>
      </c>
    </row>
    <row r="347" spans="1:8" x14ac:dyDescent="0.25">
      <c r="A347" s="13">
        <v>40767</v>
      </c>
      <c r="B347">
        <v>280.83284850000001</v>
      </c>
      <c r="C347" s="12">
        <v>2.9174283871908901E-3</v>
      </c>
      <c r="D347" s="12">
        <f t="shared" si="25"/>
        <v>2.5208527873093122E-4</v>
      </c>
      <c r="E347" s="11">
        <f t="shared" si="26"/>
        <v>2.665343108459959E-3</v>
      </c>
      <c r="F347">
        <f t="shared" si="29"/>
        <v>1.7375167633465301E-2</v>
      </c>
      <c r="G347">
        <f t="shared" si="27"/>
        <v>0.15339956221926726</v>
      </c>
      <c r="H347">
        <f t="shared" si="28"/>
        <v>3.1220089935593927</v>
      </c>
    </row>
    <row r="348" spans="1:8" x14ac:dyDescent="0.25">
      <c r="A348" s="13">
        <v>40770</v>
      </c>
      <c r="B348">
        <v>277.57506100000001</v>
      </c>
      <c r="C348" s="12">
        <v>-1.1600450294189879E-2</v>
      </c>
      <c r="D348" s="12">
        <f t="shared" si="25"/>
        <v>1.0554137945079466E-4</v>
      </c>
      <c r="E348" s="11">
        <f t="shared" si="26"/>
        <v>-1.1705991673640673E-2</v>
      </c>
      <c r="F348">
        <f t="shared" si="29"/>
        <v>1.4506606770789536E-2</v>
      </c>
      <c r="G348">
        <f t="shared" si="27"/>
        <v>-0.80694209601185485</v>
      </c>
      <c r="H348">
        <f t="shared" si="28"/>
        <v>2.9886347876002315</v>
      </c>
    </row>
    <row r="349" spans="1:8" x14ac:dyDescent="0.25">
      <c r="A349" s="13">
        <v>40771</v>
      </c>
      <c r="B349">
        <v>268.4940823</v>
      </c>
      <c r="C349" s="12">
        <v>-3.2715398376513383E-2</v>
      </c>
      <c r="D349" s="12">
        <f t="shared" si="25"/>
        <v>-1.679553294316079E-4</v>
      </c>
      <c r="E349" s="11">
        <f t="shared" si="26"/>
        <v>-3.2547443047081771E-2</v>
      </c>
      <c r="F349">
        <f t="shared" si="29"/>
        <v>1.5495491070069043E-2</v>
      </c>
      <c r="G349">
        <f t="shared" si="27"/>
        <v>-2.1004460523326127</v>
      </c>
      <c r="H349">
        <f t="shared" si="28"/>
        <v>1.0423308534968938</v>
      </c>
    </row>
    <row r="350" spans="1:8" x14ac:dyDescent="0.25">
      <c r="A350" s="13">
        <v>40772</v>
      </c>
      <c r="B350">
        <v>265.57998400000002</v>
      </c>
      <c r="C350" s="12">
        <v>-1.0853491723307074E-2</v>
      </c>
      <c r="D350" s="12">
        <f t="shared" si="25"/>
        <v>-5.2462257779954701E-4</v>
      </c>
      <c r="E350" s="11">
        <f t="shared" si="26"/>
        <v>-1.0328869145507527E-2</v>
      </c>
      <c r="F350">
        <f t="shared" si="29"/>
        <v>2.175835266943844E-2</v>
      </c>
      <c r="G350">
        <f t="shared" si="27"/>
        <v>-0.47470823285327807</v>
      </c>
      <c r="H350">
        <f t="shared" si="28"/>
        <v>2.7961450780155976</v>
      </c>
    </row>
    <row r="351" spans="1:8" x14ac:dyDescent="0.25">
      <c r="A351" s="13">
        <v>40773</v>
      </c>
      <c r="B351">
        <v>251.49776109999999</v>
      </c>
      <c r="C351" s="12">
        <v>-5.3024413541647109E-2</v>
      </c>
      <c r="D351" s="12">
        <f t="shared" si="25"/>
        <v>-2.4823315996944708E-4</v>
      </c>
      <c r="E351" s="11">
        <f t="shared" si="26"/>
        <v>-5.2776180381677661E-2</v>
      </c>
      <c r="F351">
        <f t="shared" si="29"/>
        <v>1.5469376277322774E-2</v>
      </c>
      <c r="G351">
        <f t="shared" si="27"/>
        <v>-3.4116553528434461</v>
      </c>
      <c r="H351">
        <f t="shared" si="28"/>
        <v>-2.5697417230794142</v>
      </c>
    </row>
    <row r="352" spans="1:8" x14ac:dyDescent="0.25">
      <c r="A352" s="13">
        <v>40774</v>
      </c>
      <c r="B352">
        <v>244.54381520000001</v>
      </c>
      <c r="C352" s="12">
        <v>-2.7650130440862952E-2</v>
      </c>
      <c r="D352" s="12">
        <f t="shared" si="25"/>
        <v>-8.298701620666172E-4</v>
      </c>
      <c r="E352" s="11">
        <f t="shared" si="26"/>
        <v>-2.6820260278796335E-2</v>
      </c>
      <c r="F352">
        <f t="shared" si="29"/>
        <v>3.0269829087897368E-2</v>
      </c>
      <c r="G352">
        <f t="shared" si="27"/>
        <v>-0.88603936946309825</v>
      </c>
      <c r="H352">
        <f t="shared" si="28"/>
        <v>2.1861323868942986</v>
      </c>
    </row>
    <row r="353" spans="1:8" x14ac:dyDescent="0.25">
      <c r="A353" s="13">
        <v>40777</v>
      </c>
      <c r="B353">
        <v>248.15528710000001</v>
      </c>
      <c r="C353" s="12">
        <v>1.4768199707060115E-2</v>
      </c>
      <c r="D353" s="12">
        <f t="shared" si="25"/>
        <v>-5.5447043782961755E-4</v>
      </c>
      <c r="E353" s="11">
        <f t="shared" si="26"/>
        <v>1.5322670144889732E-2</v>
      </c>
      <c r="F353">
        <f t="shared" si="29"/>
        <v>1.7781455365062846E-2</v>
      </c>
      <c r="G353">
        <f t="shared" si="27"/>
        <v>0.86172193615804049</v>
      </c>
      <c r="H353">
        <f t="shared" si="28"/>
        <v>2.7393783173605568</v>
      </c>
    </row>
    <row r="354" spans="1:8" x14ac:dyDescent="0.25">
      <c r="A354" s="13">
        <v>40778</v>
      </c>
      <c r="B354">
        <v>258.44172750000001</v>
      </c>
      <c r="C354" s="12">
        <v>4.1451627004242875E-2</v>
      </c>
      <c r="D354" s="12">
        <f t="shared" si="25"/>
        <v>1.523041784632509E-4</v>
      </c>
      <c r="E354" s="11">
        <f t="shared" si="26"/>
        <v>4.1299322825779625E-2</v>
      </c>
      <c r="F354">
        <f t="shared" si="29"/>
        <v>1.599620440395472E-2</v>
      </c>
      <c r="G354">
        <f t="shared" si="27"/>
        <v>2.5818201482577483</v>
      </c>
      <c r="H354">
        <f t="shared" si="28"/>
        <v>-0.11643236254207512</v>
      </c>
    </row>
    <row r="355" spans="1:8" x14ac:dyDescent="0.25">
      <c r="A355" s="13">
        <v>40779</v>
      </c>
      <c r="B355">
        <v>260.66838539999998</v>
      </c>
      <c r="C355" s="12">
        <v>8.6157058364344508E-3</v>
      </c>
      <c r="D355" s="12">
        <f t="shared" si="25"/>
        <v>6.648962177216583E-4</v>
      </c>
      <c r="E355" s="11">
        <f t="shared" si="26"/>
        <v>7.9508096187127925E-3</v>
      </c>
      <c r="F355">
        <f t="shared" si="29"/>
        <v>2.4760171418642674E-2</v>
      </c>
      <c r="G355">
        <f t="shared" si="27"/>
        <v>0.32111286647742632</v>
      </c>
      <c r="H355">
        <f t="shared" si="28"/>
        <v>2.7280236382678509</v>
      </c>
    </row>
    <row r="356" spans="1:8" x14ac:dyDescent="0.25">
      <c r="A356" s="13">
        <v>40780</v>
      </c>
      <c r="B356">
        <v>259.04945550000002</v>
      </c>
      <c r="C356" s="12">
        <v>-6.2106875657962357E-3</v>
      </c>
      <c r="D356" s="12">
        <f t="shared" si="25"/>
        <v>2.3683923187398906E-4</v>
      </c>
      <c r="E356" s="11">
        <f t="shared" si="26"/>
        <v>-6.4475267976702244E-3</v>
      </c>
      <c r="F356">
        <f t="shared" si="29"/>
        <v>1.5660047115258233E-2</v>
      </c>
      <c r="G356">
        <f t="shared" si="27"/>
        <v>-0.4117182247420017</v>
      </c>
      <c r="H356">
        <f t="shared" si="28"/>
        <v>3.152948098289801</v>
      </c>
    </row>
    <row r="357" spans="1:8" x14ac:dyDescent="0.25">
      <c r="A357" s="13">
        <v>40781</v>
      </c>
      <c r="B357">
        <v>262.44673920000002</v>
      </c>
      <c r="C357" s="12">
        <v>1.3114421311725133E-2</v>
      </c>
      <c r="D357" s="12">
        <f t="shared" si="25"/>
        <v>-7.1792513380004977E-5</v>
      </c>
      <c r="E357" s="11">
        <f t="shared" si="26"/>
        <v>1.3186213825105137E-2</v>
      </c>
      <c r="F357">
        <f t="shared" si="29"/>
        <v>1.4626682772234834E-2</v>
      </c>
      <c r="G357">
        <f t="shared" si="27"/>
        <v>0.90151772828053178</v>
      </c>
      <c r="H357">
        <f t="shared" si="28"/>
        <v>2.8996021907271574</v>
      </c>
    </row>
    <row r="358" spans="1:8" x14ac:dyDescent="0.25">
      <c r="A358" s="13">
        <v>40784</v>
      </c>
      <c r="B358">
        <v>268.53393840000001</v>
      </c>
      <c r="C358" s="12">
        <v>2.319403631592154E-2</v>
      </c>
      <c r="D358" s="12">
        <f t="shared" si="25"/>
        <v>1.8239006746052674E-4</v>
      </c>
      <c r="E358" s="11">
        <f t="shared" si="26"/>
        <v>2.3011646248461012E-2</v>
      </c>
      <c r="F358">
        <f t="shared" si="29"/>
        <v>1.5822401886483824E-2</v>
      </c>
      <c r="G358">
        <f t="shared" si="27"/>
        <v>1.4543712398127462</v>
      </c>
      <c r="H358">
        <f t="shared" si="28"/>
        <v>2.1697921174179728</v>
      </c>
    </row>
    <row r="359" spans="1:8" x14ac:dyDescent="0.25">
      <c r="A359" s="13">
        <v>40785</v>
      </c>
      <c r="B359">
        <v>269.34091610000002</v>
      </c>
      <c r="C359" s="12">
        <v>3.0051236905406231E-3</v>
      </c>
      <c r="D359" s="12">
        <f t="shared" si="25"/>
        <v>3.8450593649253889E-4</v>
      </c>
      <c r="E359" s="11">
        <f t="shared" si="26"/>
        <v>2.6206177540480844E-3</v>
      </c>
      <c r="F359">
        <f t="shared" si="29"/>
        <v>1.8266527947131971E-2</v>
      </c>
      <c r="G359">
        <f t="shared" si="27"/>
        <v>0.14346556508345898</v>
      </c>
      <c r="H359">
        <f t="shared" si="28"/>
        <v>3.0734552504731925</v>
      </c>
    </row>
    <row r="360" spans="1:8" x14ac:dyDescent="0.25">
      <c r="A360" s="13">
        <v>40786</v>
      </c>
      <c r="B360">
        <v>269.4704327</v>
      </c>
      <c r="C360" s="12">
        <v>4.8086492715393447E-4</v>
      </c>
      <c r="D360" s="12">
        <f t="shared" si="25"/>
        <v>1.0505952161139345E-4</v>
      </c>
      <c r="E360" s="11">
        <f t="shared" si="26"/>
        <v>3.7580540554254101E-4</v>
      </c>
      <c r="F360">
        <f t="shared" si="29"/>
        <v>1.4605324978157726E-2</v>
      </c>
      <c r="G360">
        <f t="shared" si="27"/>
        <v>2.5730711648289804E-2</v>
      </c>
      <c r="H360">
        <f t="shared" si="28"/>
        <v>3.3070995242666825</v>
      </c>
    </row>
    <row r="361" spans="1:8" x14ac:dyDescent="0.25">
      <c r="A361" s="13">
        <v>40787</v>
      </c>
      <c r="B361">
        <v>265.2562226</v>
      </c>
      <c r="C361" s="12">
        <v>-1.563885899382389E-2</v>
      </c>
      <c r="D361" s="12">
        <f t="shared" si="25"/>
        <v>1.4996006670468994E-5</v>
      </c>
      <c r="E361" s="11">
        <f t="shared" si="26"/>
        <v>-1.5653855000494359E-2</v>
      </c>
      <c r="F361">
        <f t="shared" si="29"/>
        <v>1.416062279410491E-2</v>
      </c>
      <c r="G361">
        <f t="shared" si="27"/>
        <v>-1.1054496139118319</v>
      </c>
      <c r="H361">
        <f t="shared" si="28"/>
        <v>2.7273422513956622</v>
      </c>
    </row>
    <row r="362" spans="1:8" x14ac:dyDescent="0.25">
      <c r="A362" s="13">
        <v>40788</v>
      </c>
      <c r="B362">
        <v>261.44051180000002</v>
      </c>
      <c r="C362" s="12">
        <v>-1.4385000142876914E-2</v>
      </c>
      <c r="D362" s="12">
        <f t="shared" si="25"/>
        <v>-2.3529684473221364E-4</v>
      </c>
      <c r="E362" s="11">
        <f t="shared" si="26"/>
        <v>-1.4149703298144699E-2</v>
      </c>
      <c r="F362">
        <f t="shared" si="29"/>
        <v>1.6557175432937912E-2</v>
      </c>
      <c r="G362">
        <f t="shared" si="27"/>
        <v>-0.85459644704833393</v>
      </c>
      <c r="H362">
        <f t="shared" si="28"/>
        <v>2.8168296333583527</v>
      </c>
    </row>
    <row r="363" spans="1:8" x14ac:dyDescent="0.25">
      <c r="A363" s="13">
        <v>40792</v>
      </c>
      <c r="B363">
        <v>260.1154669</v>
      </c>
      <c r="C363" s="12">
        <v>-5.0682462747535517E-3</v>
      </c>
      <c r="D363" s="12">
        <f t="shared" si="25"/>
        <v>-2.5775986260858036E-4</v>
      </c>
      <c r="E363" s="11">
        <f t="shared" si="26"/>
        <v>-4.810486412144971E-3</v>
      </c>
      <c r="F363">
        <f t="shared" si="29"/>
        <v>1.5845725274887396E-2</v>
      </c>
      <c r="G363">
        <f t="shared" si="27"/>
        <v>-0.30358259585433561</v>
      </c>
      <c r="H363">
        <f t="shared" si="28"/>
        <v>3.1798357843218681</v>
      </c>
    </row>
    <row r="364" spans="1:8" x14ac:dyDescent="0.25">
      <c r="A364" s="13">
        <v>40793</v>
      </c>
      <c r="B364">
        <v>266.01836980000002</v>
      </c>
      <c r="C364" s="12">
        <v>2.269339447726626E-2</v>
      </c>
      <c r="D364" s="12">
        <f t="shared" si="25"/>
        <v>-1.136246107969398E-4</v>
      </c>
      <c r="E364" s="11">
        <f t="shared" si="26"/>
        <v>2.28070190880632E-2</v>
      </c>
      <c r="F364">
        <f t="shared" si="29"/>
        <v>1.4483169718916082E-2</v>
      </c>
      <c r="G364">
        <f t="shared" si="27"/>
        <v>1.5747256664592946</v>
      </c>
      <c r="H364">
        <f t="shared" si="28"/>
        <v>2.0759490172328166</v>
      </c>
    </row>
    <row r="365" spans="1:8" x14ac:dyDescent="0.25">
      <c r="A365" s="13">
        <v>40794</v>
      </c>
      <c r="B365">
        <v>266.48162739999998</v>
      </c>
      <c r="C365" s="12">
        <v>1.7414496613457064E-3</v>
      </c>
      <c r="D365" s="12">
        <f t="shared" si="25"/>
        <v>3.3020496091295295E-4</v>
      </c>
      <c r="E365" s="11">
        <f t="shared" si="26"/>
        <v>1.4112447004327535E-3</v>
      </c>
      <c r="F365">
        <f t="shared" si="29"/>
        <v>1.8764458510387265E-2</v>
      </c>
      <c r="G365">
        <f t="shared" si="27"/>
        <v>7.5208389288267716E-2</v>
      </c>
      <c r="H365">
        <f t="shared" si="28"/>
        <v>3.054024019058089</v>
      </c>
    </row>
    <row r="366" spans="1:8" x14ac:dyDescent="0.25">
      <c r="A366" s="13">
        <v>40795</v>
      </c>
      <c r="B366">
        <v>261.44548609999998</v>
      </c>
      <c r="C366" s="12">
        <v>-1.8898643591817033E-2</v>
      </c>
      <c r="D366" s="12">
        <f t="shared" si="25"/>
        <v>8.4660228024852153E-5</v>
      </c>
      <c r="E366" s="11">
        <f t="shared" si="26"/>
        <v>-1.8983303819841885E-2</v>
      </c>
      <c r="F366">
        <f t="shared" si="29"/>
        <v>1.4634674354118688E-2</v>
      </c>
      <c r="G366">
        <f t="shared" si="27"/>
        <v>-1.2971456255532838</v>
      </c>
      <c r="H366">
        <f t="shared" si="28"/>
        <v>2.4641296901057377</v>
      </c>
    </row>
    <row r="367" spans="1:8" x14ac:dyDescent="0.25">
      <c r="A367" s="13">
        <v>40798</v>
      </c>
      <c r="B367">
        <v>264.07064339999999</v>
      </c>
      <c r="C367" s="12">
        <v>1.0040935642682713E-2</v>
      </c>
      <c r="D367" s="12">
        <f t="shared" si="25"/>
        <v>-2.8136035974099055E-4</v>
      </c>
      <c r="E367" s="11">
        <f t="shared" si="26"/>
        <v>1.0322296002423704E-2</v>
      </c>
      <c r="F367">
        <f t="shared" si="29"/>
        <v>1.7426327794658154E-2</v>
      </c>
      <c r="G367">
        <f t="shared" si="27"/>
        <v>0.59233913903466728</v>
      </c>
      <c r="H367">
        <f t="shared" si="28"/>
        <v>2.9554017636635561</v>
      </c>
    </row>
    <row r="368" spans="1:8" x14ac:dyDescent="0.25">
      <c r="A368" s="13">
        <v>40799</v>
      </c>
      <c r="B368">
        <v>263.77178409999999</v>
      </c>
      <c r="C368" s="12">
        <v>-1.1317399622771118E-3</v>
      </c>
      <c r="D368" s="12">
        <f t="shared" si="25"/>
        <v>1.032969161475979E-4</v>
      </c>
      <c r="E368" s="11">
        <f t="shared" si="26"/>
        <v>-1.2350368784247098E-3</v>
      </c>
      <c r="F368">
        <f t="shared" si="29"/>
        <v>1.5187903578167123E-2</v>
      </c>
      <c r="G368">
        <f t="shared" si="27"/>
        <v>-8.1317139792755663E-2</v>
      </c>
      <c r="H368">
        <f t="shared" si="28"/>
        <v>3.265011213369676</v>
      </c>
    </row>
    <row r="369" spans="1:8" x14ac:dyDescent="0.25">
      <c r="A369" s="13">
        <v>40800</v>
      </c>
      <c r="B369">
        <v>265.04201940000002</v>
      </c>
      <c r="C369" s="12">
        <v>4.8156602660671677E-3</v>
      </c>
      <c r="D369" s="12">
        <f t="shared" si="25"/>
        <v>8.6877159835756028E-6</v>
      </c>
      <c r="E369" s="11">
        <f t="shared" si="26"/>
        <v>4.806972550083592E-3</v>
      </c>
      <c r="F369">
        <f t="shared" si="29"/>
        <v>1.4232242607836541E-2</v>
      </c>
      <c r="G369">
        <f t="shared" si="27"/>
        <v>0.33775229122617562</v>
      </c>
      <c r="H369">
        <f t="shared" si="28"/>
        <v>3.2762684438010177</v>
      </c>
    </row>
    <row r="370" spans="1:8" x14ac:dyDescent="0.25">
      <c r="A370" s="13">
        <v>40801</v>
      </c>
      <c r="B370">
        <v>270.2674313</v>
      </c>
      <c r="C370" s="12">
        <v>1.9715409321998223E-2</v>
      </c>
      <c r="D370" s="12">
        <f t="shared" si="25"/>
        <v>6.9926755580998587E-5</v>
      </c>
      <c r="E370" s="11">
        <f t="shared" si="26"/>
        <v>1.9645482566417224E-2</v>
      </c>
      <c r="F370">
        <f t="shared" si="29"/>
        <v>1.4367986219369312E-2</v>
      </c>
      <c r="G370">
        <f t="shared" si="27"/>
        <v>1.3673093964924175</v>
      </c>
      <c r="H370">
        <f t="shared" si="28"/>
        <v>2.3890467004694704</v>
      </c>
    </row>
    <row r="371" spans="1:8" x14ac:dyDescent="0.25">
      <c r="A371" s="13">
        <v>40802</v>
      </c>
      <c r="B371">
        <v>272.31974179999997</v>
      </c>
      <c r="C371" s="12">
        <v>7.5936286149176357E-3</v>
      </c>
      <c r="D371" s="12">
        <f t="shared" si="25"/>
        <v>3.1056525882623373E-4</v>
      </c>
      <c r="E371" s="11">
        <f t="shared" si="26"/>
        <v>7.2830633560914022E-3</v>
      </c>
      <c r="F371">
        <f t="shared" si="29"/>
        <v>1.7731038365457284E-2</v>
      </c>
      <c r="G371">
        <f t="shared" si="27"/>
        <v>0.41075221913003696</v>
      </c>
      <c r="H371">
        <f t="shared" si="28"/>
        <v>3.0291413691944888</v>
      </c>
    </row>
    <row r="372" spans="1:8" x14ac:dyDescent="0.25">
      <c r="A372" s="13">
        <v>40805</v>
      </c>
      <c r="B372">
        <v>272.31476739999999</v>
      </c>
      <c r="C372" s="12">
        <v>-1.8266762325414021E-5</v>
      </c>
      <c r="D372" s="12">
        <f t="shared" si="25"/>
        <v>1.6551919465667379E-4</v>
      </c>
      <c r="E372" s="11">
        <f t="shared" si="26"/>
        <v>-1.8378595698208782E-4</v>
      </c>
      <c r="F372">
        <f t="shared" si="29"/>
        <v>1.4850592170788305E-2</v>
      </c>
      <c r="G372">
        <f t="shared" si="27"/>
        <v>-1.2375665217148847E-2</v>
      </c>
      <c r="H372">
        <f t="shared" si="28"/>
        <v>3.2907004259582702</v>
      </c>
    </row>
    <row r="373" spans="1:8" x14ac:dyDescent="0.25">
      <c r="A373" s="13">
        <v>40806</v>
      </c>
      <c r="B373">
        <v>272.29483959999999</v>
      </c>
      <c r="C373" s="12">
        <v>-7.3179285098201596E-5</v>
      </c>
      <c r="D373" s="12">
        <f t="shared" si="25"/>
        <v>1.9239127436122639E-5</v>
      </c>
      <c r="E373" s="11">
        <f t="shared" si="26"/>
        <v>-9.2418412534324228E-5</v>
      </c>
      <c r="F373">
        <f t="shared" si="29"/>
        <v>1.4184029151968022E-2</v>
      </c>
      <c r="G373">
        <f t="shared" si="27"/>
        <v>-6.5156671312608834E-3</v>
      </c>
      <c r="H373">
        <f t="shared" si="28"/>
        <v>3.3366788947772936</v>
      </c>
    </row>
    <row r="374" spans="1:8" x14ac:dyDescent="0.25">
      <c r="A374" s="13">
        <v>40807</v>
      </c>
      <c r="B374">
        <v>268.59372230000002</v>
      </c>
      <c r="C374" s="12">
        <v>-1.3592315247093478E-2</v>
      </c>
      <c r="D374" s="12">
        <f t="shared" si="25"/>
        <v>-1.1537579277553573E-6</v>
      </c>
      <c r="E374" s="11">
        <f t="shared" si="26"/>
        <v>-1.3591161489165723E-2</v>
      </c>
      <c r="F374">
        <f t="shared" si="29"/>
        <v>1.4118041533787646E-2</v>
      </c>
      <c r="G374">
        <f t="shared" si="27"/>
        <v>-0.96268037295676023</v>
      </c>
      <c r="H374">
        <f t="shared" si="28"/>
        <v>2.8779864746673502</v>
      </c>
    </row>
    <row r="375" spans="1:8" x14ac:dyDescent="0.25">
      <c r="A375" s="13">
        <v>40808</v>
      </c>
      <c r="B375">
        <v>259.35829389999998</v>
      </c>
      <c r="C375" s="12">
        <v>-3.4384379206319426E-2</v>
      </c>
      <c r="D375" s="12">
        <f t="shared" si="25"/>
        <v>-2.0576741409462533E-4</v>
      </c>
      <c r="E375" s="11">
        <f t="shared" si="26"/>
        <v>-3.4178611792224804E-2</v>
      </c>
      <c r="F375">
        <f t="shared" si="29"/>
        <v>1.5997810132240262E-2</v>
      </c>
      <c r="G375">
        <f t="shared" si="27"/>
        <v>-2.1364556467228546</v>
      </c>
      <c r="H375">
        <f t="shared" si="28"/>
        <v>0.93414353443278797</v>
      </c>
    </row>
    <row r="376" spans="1:8" x14ac:dyDescent="0.25">
      <c r="A376" s="13">
        <v>40809</v>
      </c>
      <c r="B376">
        <v>261.7742523</v>
      </c>
      <c r="C376" s="12">
        <v>9.3151383889482631E-3</v>
      </c>
      <c r="D376" s="12">
        <f t="shared" si="25"/>
        <v>-5.5498440521083733E-4</v>
      </c>
      <c r="E376" s="11">
        <f t="shared" si="26"/>
        <v>9.8701227941590999E-3</v>
      </c>
      <c r="F376">
        <f t="shared" si="29"/>
        <v>2.2006740797604101E-2</v>
      </c>
      <c r="G376">
        <f t="shared" si="27"/>
        <v>0.4485045234519085</v>
      </c>
      <c r="H376">
        <f t="shared" si="28"/>
        <v>2.7968897856805017</v>
      </c>
    </row>
    <row r="377" spans="1:8" x14ac:dyDescent="0.25">
      <c r="A377" s="13">
        <v>40812</v>
      </c>
      <c r="B377">
        <v>264.9523585</v>
      </c>
      <c r="C377" s="12">
        <v>1.2140637102681096E-2</v>
      </c>
      <c r="D377" s="12">
        <f t="shared" si="25"/>
        <v>5.2521575469484627E-5</v>
      </c>
      <c r="E377" s="11">
        <f t="shared" si="26"/>
        <v>1.2088115527211611E-2</v>
      </c>
      <c r="F377">
        <f t="shared" si="29"/>
        <v>1.545523555269453E-2</v>
      </c>
      <c r="G377">
        <f t="shared" si="27"/>
        <v>0.78213725607722095</v>
      </c>
      <c r="H377">
        <f t="shared" si="28"/>
        <v>2.9449995854408586</v>
      </c>
    </row>
    <row r="378" spans="1:8" x14ac:dyDescent="0.25">
      <c r="A378" s="13">
        <v>40813</v>
      </c>
      <c r="B378">
        <v>268.66345489999998</v>
      </c>
      <c r="C378" s="12">
        <v>1.4006655464438911E-2</v>
      </c>
      <c r="D378" s="12">
        <f t="shared" si="25"/>
        <v>2.0756282254070699E-4</v>
      </c>
      <c r="E378" s="11">
        <f t="shared" si="26"/>
        <v>1.3799092641898204E-2</v>
      </c>
      <c r="F378">
        <f t="shared" si="29"/>
        <v>1.5505725113528672E-2</v>
      </c>
      <c r="G378">
        <f t="shared" si="27"/>
        <v>0.88993533297314553</v>
      </c>
      <c r="H378">
        <f t="shared" si="28"/>
        <v>2.8516149794495234</v>
      </c>
    </row>
    <row r="379" spans="1:8" x14ac:dyDescent="0.25">
      <c r="A379" s="13">
        <v>40814</v>
      </c>
      <c r="B379">
        <v>263.43303830000002</v>
      </c>
      <c r="C379" s="12">
        <v>-1.9468284593998075E-2</v>
      </c>
      <c r="D379" s="12">
        <f t="shared" si="25"/>
        <v>2.4304719320467365E-4</v>
      </c>
      <c r="E379" s="11">
        <f t="shared" si="26"/>
        <v>-1.971133178720275E-2</v>
      </c>
      <c r="F379">
        <f t="shared" si="29"/>
        <v>1.5862647934336224E-2</v>
      </c>
      <c r="G379">
        <f t="shared" si="27"/>
        <v>-1.2426255609276733</v>
      </c>
      <c r="H379">
        <f t="shared" si="28"/>
        <v>2.4527904444033535</v>
      </c>
    </row>
    <row r="380" spans="1:8" x14ac:dyDescent="0.25">
      <c r="A380" s="13">
        <v>40815</v>
      </c>
      <c r="B380">
        <v>262.76555669999999</v>
      </c>
      <c r="C380" s="12">
        <v>-2.5337808966842124E-3</v>
      </c>
      <c r="D380" s="12">
        <f t="shared" si="25"/>
        <v>-2.5845476979574286E-4</v>
      </c>
      <c r="E380" s="11">
        <f t="shared" si="26"/>
        <v>-2.2753261268884696E-3</v>
      </c>
      <c r="F380">
        <f t="shared" si="29"/>
        <v>1.728560312384601E-2</v>
      </c>
      <c r="G380">
        <f t="shared" si="27"/>
        <v>-0.13163128359400944</v>
      </c>
      <c r="H380">
        <f t="shared" si="28"/>
        <v>3.1302793826982955</v>
      </c>
    </row>
    <row r="381" spans="1:8" x14ac:dyDescent="0.25">
      <c r="A381" s="13">
        <v>40816</v>
      </c>
      <c r="B381">
        <v>256.55878969999998</v>
      </c>
      <c r="C381" s="12">
        <v>-2.3620930680371854E-2</v>
      </c>
      <c r="D381" s="12">
        <f t="shared" si="25"/>
        <v>-8.8355540876375633E-5</v>
      </c>
      <c r="E381" s="11">
        <f t="shared" si="26"/>
        <v>-2.3532575139495478E-2</v>
      </c>
      <c r="F381">
        <f t="shared" si="29"/>
        <v>1.4483194698461519E-2</v>
      </c>
      <c r="G381">
        <f t="shared" si="27"/>
        <v>-1.6248193599161675</v>
      </c>
      <c r="H381">
        <f t="shared" si="28"/>
        <v>1.9958087786287662</v>
      </c>
    </row>
    <row r="382" spans="1:8" x14ac:dyDescent="0.25">
      <c r="A382" s="13">
        <v>40819</v>
      </c>
      <c r="B382">
        <v>246.83523149999999</v>
      </c>
      <c r="C382" s="12">
        <v>-3.7899922319441726E-2</v>
      </c>
      <c r="D382" s="12">
        <f t="shared" si="25"/>
        <v>-3.6377063450361368E-4</v>
      </c>
      <c r="E382" s="11">
        <f t="shared" si="26"/>
        <v>-3.753615168493811E-2</v>
      </c>
      <c r="F382">
        <f t="shared" si="29"/>
        <v>1.9024379523264568E-2</v>
      </c>
      <c r="G382">
        <f t="shared" si="27"/>
        <v>-1.9730552388862843</v>
      </c>
      <c r="H382">
        <f t="shared" si="28"/>
        <v>1.0966219684706959</v>
      </c>
    </row>
    <row r="383" spans="1:8" x14ac:dyDescent="0.25">
      <c r="A383" s="13">
        <v>40820</v>
      </c>
      <c r="B383">
        <v>250.0133222</v>
      </c>
      <c r="C383" s="12">
        <v>1.2875352844433863E-2</v>
      </c>
      <c r="D383" s="12">
        <f t="shared" si="25"/>
        <v>-6.3392910299452261E-4</v>
      </c>
      <c r="E383" s="11">
        <f t="shared" si="26"/>
        <v>1.3509281947428385E-2</v>
      </c>
      <c r="F383">
        <f t="shared" si="29"/>
        <v>2.1291729127763059E-2</v>
      </c>
      <c r="G383">
        <f t="shared" si="27"/>
        <v>0.63448496204158178</v>
      </c>
      <c r="H383">
        <f t="shared" si="28"/>
        <v>2.7292124688039863</v>
      </c>
    </row>
    <row r="384" spans="1:8" x14ac:dyDescent="0.25">
      <c r="A384" s="13">
        <v>40821</v>
      </c>
      <c r="B384">
        <v>251.40810020000001</v>
      </c>
      <c r="C384" s="12">
        <v>5.5788147116586639E-3</v>
      </c>
      <c r="D384" s="12">
        <f t="shared" si="25"/>
        <v>9.7333816397536757E-5</v>
      </c>
      <c r="E384" s="11">
        <f t="shared" si="26"/>
        <v>5.4814808952611269E-3</v>
      </c>
      <c r="F384">
        <f t="shared" si="29"/>
        <v>1.5755338441645613E-2</v>
      </c>
      <c r="G384">
        <f t="shared" si="27"/>
        <v>0.34791260851446343</v>
      </c>
      <c r="H384">
        <f t="shared" si="28"/>
        <v>3.1711158976783667</v>
      </c>
    </row>
    <row r="385" spans="1:8" x14ac:dyDescent="0.25">
      <c r="A385" s="13">
        <v>40822</v>
      </c>
      <c r="B385">
        <v>256.39442179999998</v>
      </c>
      <c r="C385" s="12">
        <v>1.9833575752067123E-2</v>
      </c>
      <c r="D385" s="12">
        <f t="shared" si="25"/>
        <v>1.174670423107769E-4</v>
      </c>
      <c r="E385" s="11">
        <f t="shared" si="26"/>
        <v>1.9716108709756347E-2</v>
      </c>
      <c r="F385">
        <f t="shared" si="29"/>
        <v>1.4534697692968248E-2</v>
      </c>
      <c r="G385">
        <f t="shared" si="27"/>
        <v>1.3564856405162673</v>
      </c>
      <c r="H385">
        <f t="shared" si="28"/>
        <v>2.3922513640769001</v>
      </c>
    </row>
    <row r="386" spans="1:8" x14ac:dyDescent="0.25">
      <c r="A386" s="13">
        <v>40823</v>
      </c>
      <c r="B386">
        <v>256.59864579999999</v>
      </c>
      <c r="C386" s="12">
        <v>7.965227892490212E-4</v>
      </c>
      <c r="D386" s="12">
        <f t="shared" si="25"/>
        <v>3.1431377252095393E-4</v>
      </c>
      <c r="E386" s="11">
        <f t="shared" si="26"/>
        <v>4.8220901672806727E-4</v>
      </c>
      <c r="F386">
        <f t="shared" si="29"/>
        <v>1.7693114970380817E-2</v>
      </c>
      <c r="G386">
        <f t="shared" si="27"/>
        <v>2.7254048681383123E-2</v>
      </c>
      <c r="H386">
        <f t="shared" si="28"/>
        <v>3.1152697750113472</v>
      </c>
    </row>
    <row r="387" spans="1:8" x14ac:dyDescent="0.25">
      <c r="A387" s="13">
        <v>40826</v>
      </c>
      <c r="B387">
        <v>267.58249009999997</v>
      </c>
      <c r="C387" s="12">
        <v>4.2805542740709246E-2</v>
      </c>
      <c r="D387" s="12">
        <f t="shared" si="25"/>
        <v>6.3018864998806658E-5</v>
      </c>
      <c r="E387" s="11">
        <f t="shared" si="26"/>
        <v>4.2742523875710439E-2</v>
      </c>
      <c r="F387">
        <f t="shared" si="29"/>
        <v>1.4495418508761113E-2</v>
      </c>
      <c r="G387">
        <f t="shared" si="27"/>
        <v>2.9486919504860531</v>
      </c>
      <c r="H387">
        <f t="shared" si="28"/>
        <v>-1.0324079982392296</v>
      </c>
    </row>
    <row r="388" spans="1:8" x14ac:dyDescent="0.25">
      <c r="A388" s="13">
        <v>40827</v>
      </c>
      <c r="B388">
        <v>270.57626970000001</v>
      </c>
      <c r="C388" s="12">
        <v>1.11882492717712E-2</v>
      </c>
      <c r="D388" s="12">
        <f t="shared" si="25"/>
        <v>6.4946694645507742E-4</v>
      </c>
      <c r="E388" s="11">
        <f t="shared" si="26"/>
        <v>1.0538782325316123E-2</v>
      </c>
      <c r="F388">
        <f t="shared" si="29"/>
        <v>2.7074083937003848E-2</v>
      </c>
      <c r="G388">
        <f t="shared" si="27"/>
        <v>0.38925720810491055</v>
      </c>
      <c r="H388">
        <f t="shared" si="28"/>
        <v>2.6144792007070068</v>
      </c>
    </row>
    <row r="389" spans="1:8" x14ac:dyDescent="0.25">
      <c r="A389" s="13">
        <v>40828</v>
      </c>
      <c r="B389">
        <v>273.2263595</v>
      </c>
      <c r="C389" s="12">
        <v>9.794243238471223E-3</v>
      </c>
      <c r="D389" s="12">
        <f t="shared" si="25"/>
        <v>2.7922763862742563E-4</v>
      </c>
      <c r="E389" s="11">
        <f t="shared" si="26"/>
        <v>9.5150155998437978E-3</v>
      </c>
      <c r="F389">
        <f t="shared" si="29"/>
        <v>1.6116315739338718E-2</v>
      </c>
      <c r="G389">
        <f t="shared" si="27"/>
        <v>0.59039645001607644</v>
      </c>
      <c r="H389">
        <f t="shared" si="28"/>
        <v>3.0347006028754162</v>
      </c>
    </row>
    <row r="390" spans="1:8" x14ac:dyDescent="0.25">
      <c r="A390" s="13">
        <v>40829</v>
      </c>
      <c r="B390">
        <v>278.45177139999998</v>
      </c>
      <c r="C390" s="12">
        <v>1.9124845456208517E-2</v>
      </c>
      <c r="D390" s="12">
        <f t="shared" ref="D390:D453" si="30">+C389*$K$11+C388*$K$10</f>
        <v>1.7688821969649693E-4</v>
      </c>
      <c r="E390" s="11">
        <f t="shared" ref="E390:E453" si="31">C390-D390</f>
        <v>1.894795723651202E-2</v>
      </c>
      <c r="F390">
        <f t="shared" si="29"/>
        <v>1.5043494243382669E-2</v>
      </c>
      <c r="G390">
        <f t="shared" ref="G390:G453" si="32">E390/F390</f>
        <v>1.2595449521208708</v>
      </c>
      <c r="H390">
        <f t="shared" ref="H390:H453" si="33">1/2*(-LN(PI()*2)-2*LN(F390)-(E390/F390)^2)</f>
        <v>2.4846443810214796</v>
      </c>
    </row>
    <row r="391" spans="1:8" x14ac:dyDescent="0.25">
      <c r="A391" s="13">
        <v>40830</v>
      </c>
      <c r="B391">
        <v>294.73576550000001</v>
      </c>
      <c r="C391" s="12">
        <v>5.8480483058618526E-2</v>
      </c>
      <c r="D391" s="12">
        <f t="shared" si="30"/>
        <v>3.144279869952339E-4</v>
      </c>
      <c r="E391" s="11">
        <f t="shared" si="31"/>
        <v>5.8166055071623292E-2</v>
      </c>
      <c r="F391">
        <f t="shared" ref="F391:F454" si="34">SQRT($K$6+$K$7*G390^2+$K$8*F390^2)</f>
        <v>1.7290236126345261E-2</v>
      </c>
      <c r="G391">
        <f t="shared" si="32"/>
        <v>3.3640983643361149</v>
      </c>
      <c r="H391">
        <f t="shared" si="33"/>
        <v>-2.5199041131047477</v>
      </c>
    </row>
    <row r="392" spans="1:8" x14ac:dyDescent="0.25">
      <c r="A392" s="13">
        <v>40833</v>
      </c>
      <c r="B392">
        <v>290.11805129999999</v>
      </c>
      <c r="C392" s="12">
        <v>-1.5667301836159497E-2</v>
      </c>
      <c r="D392" s="12">
        <f t="shared" si="30"/>
        <v>9.3364857847141902E-4</v>
      </c>
      <c r="E392" s="11">
        <f t="shared" si="31"/>
        <v>-1.6600950414630916E-2</v>
      </c>
      <c r="F392">
        <f t="shared" si="34"/>
        <v>3.0037490157841698E-2</v>
      </c>
      <c r="G392">
        <f t="shared" si="32"/>
        <v>-0.5526743521977322</v>
      </c>
      <c r="H392">
        <f t="shared" si="33"/>
        <v>2.4336460025887043</v>
      </c>
    </row>
    <row r="393" spans="1:8" x14ac:dyDescent="0.25">
      <c r="A393" s="13">
        <v>40834</v>
      </c>
      <c r="B393">
        <v>294.15293960000002</v>
      </c>
      <c r="C393" s="12">
        <v>1.3907746456726766E-2</v>
      </c>
      <c r="D393" s="12">
        <f t="shared" si="30"/>
        <v>-8.6669689621568828E-5</v>
      </c>
      <c r="E393" s="11">
        <f t="shared" si="31"/>
        <v>1.3994416146348335E-2</v>
      </c>
      <c r="F393">
        <f t="shared" si="34"/>
        <v>1.689500599834437E-2</v>
      </c>
      <c r="G393">
        <f t="shared" si="32"/>
        <v>0.82831673144831797</v>
      </c>
      <c r="H393">
        <f t="shared" si="33"/>
        <v>2.8187443667760017</v>
      </c>
    </row>
    <row r="394" spans="1:8" x14ac:dyDescent="0.25">
      <c r="A394" s="13">
        <v>40835</v>
      </c>
      <c r="B394">
        <v>289.2662431</v>
      </c>
      <c r="C394" s="12">
        <v>-1.6612774656085794E-2</v>
      </c>
      <c r="D394" s="12">
        <f t="shared" si="30"/>
        <v>1.7008562653352075E-4</v>
      </c>
      <c r="E394" s="11">
        <f t="shared" si="31"/>
        <v>-1.6782860282619314E-2</v>
      </c>
      <c r="F394">
        <f t="shared" si="34"/>
        <v>1.5794408134616716E-2</v>
      </c>
      <c r="G394">
        <f t="shared" si="32"/>
        <v>-1.0625824114191529</v>
      </c>
      <c r="H394">
        <f t="shared" si="33"/>
        <v>2.6646200933893418</v>
      </c>
    </row>
    <row r="395" spans="1:8" x14ac:dyDescent="0.25">
      <c r="A395" s="13">
        <v>40836</v>
      </c>
      <c r="B395">
        <v>290.74570720000003</v>
      </c>
      <c r="C395" s="12">
        <v>5.1145411374136085E-3</v>
      </c>
      <c r="D395" s="12">
        <f t="shared" si="30"/>
        <v>-2.1552030440439448E-4</v>
      </c>
      <c r="E395" s="11">
        <f t="shared" si="31"/>
        <v>5.3300614418180028E-3</v>
      </c>
      <c r="F395">
        <f t="shared" si="34"/>
        <v>1.65272567276105E-2</v>
      </c>
      <c r="G395">
        <f t="shared" si="32"/>
        <v>0.32250127953259061</v>
      </c>
      <c r="H395">
        <f t="shared" si="33"/>
        <v>3.1318022672592183</v>
      </c>
    </row>
    <row r="396" spans="1:8" x14ac:dyDescent="0.25">
      <c r="A396" s="13">
        <v>40837</v>
      </c>
      <c r="B396">
        <v>294.14299089999997</v>
      </c>
      <c r="C396" s="12">
        <v>1.1684725228507054E-2</v>
      </c>
      <c r="D396" s="12">
        <f t="shared" si="30"/>
        <v>3.4661419365426065E-5</v>
      </c>
      <c r="E396" s="11">
        <f t="shared" si="31"/>
        <v>1.1650063809141627E-2</v>
      </c>
      <c r="F396">
        <f t="shared" si="34"/>
        <v>1.4581132076231067E-2</v>
      </c>
      <c r="G396">
        <f t="shared" si="32"/>
        <v>0.79898211937415886</v>
      </c>
      <c r="H396">
        <f t="shared" si="33"/>
        <v>2.989902162839388</v>
      </c>
    </row>
    <row r="397" spans="1:8" x14ac:dyDescent="0.25">
      <c r="A397" s="13">
        <v>40840</v>
      </c>
      <c r="B397">
        <v>297.09691429999998</v>
      </c>
      <c r="C397" s="12">
        <v>1.004247420943738E-2</v>
      </c>
      <c r="D397" s="12">
        <f t="shared" si="30"/>
        <v>1.8987189014514009E-4</v>
      </c>
      <c r="E397" s="11">
        <f t="shared" si="31"/>
        <v>9.8526023192922405E-3</v>
      </c>
      <c r="F397">
        <f t="shared" si="34"/>
        <v>1.5476928018049976E-2</v>
      </c>
      <c r="G397">
        <f t="shared" si="32"/>
        <v>0.63659935019414948</v>
      </c>
      <c r="H397">
        <f t="shared" si="33"/>
        <v>3.046836979421959</v>
      </c>
    </row>
    <row r="398" spans="1:8" x14ac:dyDescent="0.25">
      <c r="A398" s="13">
        <v>40841</v>
      </c>
      <c r="B398">
        <v>290.49167840000001</v>
      </c>
      <c r="C398" s="12">
        <v>-2.2232596779279246E-2</v>
      </c>
      <c r="D398" s="12">
        <f t="shared" si="30"/>
        <v>1.8191856123593063E-4</v>
      </c>
      <c r="E398" s="11">
        <f t="shared" si="31"/>
        <v>-2.2414515340515175E-2</v>
      </c>
      <c r="F398">
        <f t="shared" si="34"/>
        <v>1.5094323125314014E-2</v>
      </c>
      <c r="G398">
        <f t="shared" si="32"/>
        <v>-1.4849632642966808</v>
      </c>
      <c r="H398">
        <f t="shared" si="33"/>
        <v>2.1719400764548755</v>
      </c>
    </row>
    <row r="399" spans="1:8" x14ac:dyDescent="0.25">
      <c r="A399" s="13">
        <v>40842</v>
      </c>
      <c r="B399">
        <v>292.06077299999998</v>
      </c>
      <c r="C399" s="12">
        <v>5.4015130782485432E-3</v>
      </c>
      <c r="D399" s="12">
        <f t="shared" si="30"/>
        <v>-3.1045192350502544E-4</v>
      </c>
      <c r="E399" s="11">
        <f t="shared" si="31"/>
        <v>5.7119650017535689E-3</v>
      </c>
      <c r="F399">
        <f t="shared" si="34"/>
        <v>1.835789248588009E-2</v>
      </c>
      <c r="G399">
        <f t="shared" si="32"/>
        <v>0.31114492070083249</v>
      </c>
      <c r="H399">
        <f t="shared" si="33"/>
        <v>3.0303515746856009</v>
      </c>
    </row>
    <row r="400" spans="1:8" x14ac:dyDescent="0.25">
      <c r="A400" s="13">
        <v>40843</v>
      </c>
      <c r="B400">
        <v>298.21770479999998</v>
      </c>
      <c r="C400" s="12">
        <v>2.1080995358455645E-2</v>
      </c>
      <c r="D400" s="12">
        <f t="shared" si="30"/>
        <v>2.4558996012611794E-5</v>
      </c>
      <c r="E400" s="11">
        <f t="shared" si="31"/>
        <v>2.1056436362443035E-2</v>
      </c>
      <c r="F400">
        <f t="shared" si="34"/>
        <v>1.47752724183113E-2</v>
      </c>
      <c r="G400">
        <f t="shared" si="32"/>
        <v>1.4251132409814224</v>
      </c>
      <c r="H400">
        <f t="shared" si="33"/>
        <v>2.2803878700574227</v>
      </c>
    </row>
    <row r="401" spans="1:8" x14ac:dyDescent="0.25">
      <c r="A401" s="13">
        <v>40844</v>
      </c>
      <c r="B401">
        <v>298.94997560000002</v>
      </c>
      <c r="C401" s="12">
        <v>2.4554906976135271E-3</v>
      </c>
      <c r="D401" s="12">
        <f t="shared" si="30"/>
        <v>3.3272492810396993E-4</v>
      </c>
      <c r="E401" s="11">
        <f t="shared" si="31"/>
        <v>2.1227657695095572E-3</v>
      </c>
      <c r="F401">
        <f t="shared" si="34"/>
        <v>1.8039473783128809E-2</v>
      </c>
      <c r="G401">
        <f t="shared" si="32"/>
        <v>0.11767337534506396</v>
      </c>
      <c r="H401">
        <f t="shared" si="33"/>
        <v>3.0893308893854958</v>
      </c>
    </row>
    <row r="402" spans="1:8" x14ac:dyDescent="0.25">
      <c r="A402" s="13">
        <v>40847</v>
      </c>
      <c r="B402">
        <v>295.2139765</v>
      </c>
      <c r="C402" s="12">
        <v>-1.2497071098606982E-2</v>
      </c>
      <c r="D402" s="12">
        <f t="shared" si="30"/>
        <v>9.1316047186775976E-5</v>
      </c>
      <c r="E402" s="11">
        <f t="shared" si="31"/>
        <v>-1.2588387145793759E-2</v>
      </c>
      <c r="F402">
        <f t="shared" si="34"/>
        <v>1.4564002563158013E-2</v>
      </c>
      <c r="G402">
        <f t="shared" si="32"/>
        <v>-0.8643494184516356</v>
      </c>
      <c r="H402">
        <f t="shared" si="33"/>
        <v>2.9367138808827296</v>
      </c>
    </row>
    <row r="403" spans="1:8" x14ac:dyDescent="0.25">
      <c r="A403" s="13">
        <v>40848</v>
      </c>
      <c r="B403">
        <v>288.24509260000002</v>
      </c>
      <c r="C403" s="12">
        <v>-2.3606212627944378E-2</v>
      </c>
      <c r="D403" s="12">
        <f t="shared" si="30"/>
        <v>-1.8270359387961716E-4</v>
      </c>
      <c r="E403" s="11">
        <f t="shared" si="31"/>
        <v>-2.342350903406476E-2</v>
      </c>
      <c r="F403">
        <f t="shared" si="34"/>
        <v>1.5689177841692659E-2</v>
      </c>
      <c r="G403">
        <f t="shared" si="32"/>
        <v>-1.4929723705354894</v>
      </c>
      <c r="H403">
        <f t="shared" si="33"/>
        <v>2.1213623309613379</v>
      </c>
    </row>
    <row r="404" spans="1:8" x14ac:dyDescent="0.25">
      <c r="A404" s="13">
        <v>40849</v>
      </c>
      <c r="B404">
        <v>291.31855350000001</v>
      </c>
      <c r="C404" s="12">
        <v>1.0662665137772365E-2</v>
      </c>
      <c r="D404" s="12">
        <f t="shared" si="30"/>
        <v>-3.8915339687637149E-4</v>
      </c>
      <c r="E404" s="11">
        <f t="shared" si="31"/>
        <v>1.1051818534648736E-2</v>
      </c>
      <c r="F404">
        <f t="shared" si="34"/>
        <v>1.844544567083737E-2</v>
      </c>
      <c r="G404">
        <f t="shared" si="32"/>
        <v>0.59916245624370512</v>
      </c>
      <c r="H404">
        <f t="shared" si="33"/>
        <v>2.8945014283857811</v>
      </c>
    </row>
    <row r="405" spans="1:8" x14ac:dyDescent="0.25">
      <c r="A405" s="13">
        <v>40850</v>
      </c>
      <c r="B405">
        <v>297.6349098</v>
      </c>
      <c r="C405" s="12">
        <v>2.1681956827373838E-2</v>
      </c>
      <c r="D405" s="12">
        <f t="shared" si="30"/>
        <v>1.0060205597173205E-4</v>
      </c>
      <c r="E405" s="11">
        <f t="shared" si="31"/>
        <v>2.1581354771402106E-2</v>
      </c>
      <c r="F405">
        <f t="shared" si="34"/>
        <v>1.5319451433510363E-2</v>
      </c>
      <c r="G405">
        <f t="shared" si="32"/>
        <v>1.4087550631345853</v>
      </c>
      <c r="H405">
        <f t="shared" si="33"/>
        <v>2.2673979753645654</v>
      </c>
    </row>
    <row r="406" spans="1:8" x14ac:dyDescent="0.25">
      <c r="A406" s="13">
        <v>40851</v>
      </c>
      <c r="B406">
        <v>296.95744910000002</v>
      </c>
      <c r="C406" s="12">
        <v>-2.276146640376342E-3</v>
      </c>
      <c r="D406" s="12">
        <f t="shared" si="30"/>
        <v>3.5533528365658821E-4</v>
      </c>
      <c r="E406" s="11">
        <f t="shared" si="31"/>
        <v>-2.6314819240329302E-3</v>
      </c>
      <c r="F406">
        <f t="shared" si="34"/>
        <v>1.8004343977326278E-2</v>
      </c>
      <c r="G406">
        <f t="shared" si="32"/>
        <v>-0.14615816757038633</v>
      </c>
      <c r="H406">
        <f t="shared" si="33"/>
        <v>3.0875225799497517</v>
      </c>
    </row>
    <row r="407" spans="1:8" x14ac:dyDescent="0.25">
      <c r="A407" s="13">
        <v>40854</v>
      </c>
      <c r="B407">
        <v>303.02969430000002</v>
      </c>
      <c r="C407" s="12">
        <v>2.0448199627264296E-2</v>
      </c>
      <c r="D407" s="12">
        <f t="shared" si="30"/>
        <v>2.1296025651980005E-5</v>
      </c>
      <c r="E407" s="11">
        <f t="shared" si="31"/>
        <v>2.0426903601612315E-2</v>
      </c>
      <c r="F407">
        <f t="shared" si="34"/>
        <v>1.4575629294422606E-2</v>
      </c>
      <c r="G407">
        <f t="shared" si="32"/>
        <v>1.4014423109284695</v>
      </c>
      <c r="H407">
        <f t="shared" si="33"/>
        <v>2.327445562752998</v>
      </c>
    </row>
    <row r="408" spans="1:8" x14ac:dyDescent="0.25">
      <c r="A408" s="13">
        <v>40855</v>
      </c>
      <c r="B408">
        <v>305.02719519999999</v>
      </c>
      <c r="C408" s="12">
        <v>6.5917662116057318E-3</v>
      </c>
      <c r="D408" s="12">
        <f t="shared" si="30"/>
        <v>3.034227347859978E-4</v>
      </c>
      <c r="E408" s="11">
        <f t="shared" si="31"/>
        <v>6.2883434768197339E-3</v>
      </c>
      <c r="F408">
        <f t="shared" si="34"/>
        <v>1.7909746714210459E-2</v>
      </c>
      <c r="G408">
        <f t="shared" si="32"/>
        <v>0.35111292064394511</v>
      </c>
      <c r="H408">
        <f t="shared" si="33"/>
        <v>3.0418315304267542</v>
      </c>
    </row>
    <row r="409" spans="1:8" x14ac:dyDescent="0.25">
      <c r="A409" s="13">
        <v>40856</v>
      </c>
      <c r="B409">
        <v>299.35347969999998</v>
      </c>
      <c r="C409" s="12">
        <v>-1.8600687378972469E-2</v>
      </c>
      <c r="D409" s="12">
        <f t="shared" si="30"/>
        <v>1.5224960171760646E-4</v>
      </c>
      <c r="E409" s="11">
        <f t="shared" si="31"/>
        <v>-1.8752936980690076E-2</v>
      </c>
      <c r="F409">
        <f t="shared" si="34"/>
        <v>1.477728073980103E-2</v>
      </c>
      <c r="G409">
        <f t="shared" si="32"/>
        <v>-1.2690384185624246</v>
      </c>
      <c r="H409">
        <f t="shared" si="33"/>
        <v>2.4904965757126636</v>
      </c>
    </row>
    <row r="410" spans="1:8" x14ac:dyDescent="0.25">
      <c r="A410" s="13">
        <v>40857</v>
      </c>
      <c r="B410">
        <v>296.42943270000001</v>
      </c>
      <c r="C410" s="12">
        <v>-9.7678737622503009E-3</v>
      </c>
      <c r="D410" s="12">
        <f t="shared" si="30"/>
        <v>-2.64388695490484E-4</v>
      </c>
      <c r="E410" s="11">
        <f t="shared" si="31"/>
        <v>-9.5034850667598172E-3</v>
      </c>
      <c r="F410">
        <f t="shared" si="34"/>
        <v>1.7310691467296167E-2</v>
      </c>
      <c r="G410">
        <f t="shared" si="32"/>
        <v>-0.5489951158054005</v>
      </c>
      <c r="H410">
        <f t="shared" si="33"/>
        <v>2.9867946126804497</v>
      </c>
    </row>
    <row r="411" spans="1:8" x14ac:dyDescent="0.25">
      <c r="A411" s="13">
        <v>40858</v>
      </c>
      <c r="B411">
        <v>303.03964300000001</v>
      </c>
      <c r="C411" s="12">
        <v>2.2299439835617996E-2</v>
      </c>
      <c r="D411" s="12">
        <f t="shared" si="30"/>
        <v>-1.955391418484953E-4</v>
      </c>
      <c r="E411" s="11">
        <f t="shared" si="31"/>
        <v>2.2494978977466492E-2</v>
      </c>
      <c r="F411">
        <f t="shared" si="34"/>
        <v>1.5074965818338702E-2</v>
      </c>
      <c r="G411">
        <f t="shared" si="32"/>
        <v>1.4922076274362985</v>
      </c>
      <c r="H411">
        <f t="shared" si="33"/>
        <v>2.1624394689174715</v>
      </c>
    </row>
    <row r="412" spans="1:8" x14ac:dyDescent="0.25">
      <c r="A412" s="13">
        <v>40861</v>
      </c>
      <c r="B412">
        <v>305.35596190000001</v>
      </c>
      <c r="C412" s="12">
        <v>7.6436167792079956E-3</v>
      </c>
      <c r="D412" s="12">
        <f t="shared" si="30"/>
        <v>3.121686182028795E-4</v>
      </c>
      <c r="E412" s="11">
        <f t="shared" si="31"/>
        <v>7.3314481610051163E-3</v>
      </c>
      <c r="F412">
        <f t="shared" si="34"/>
        <v>1.8392329139470389E-2</v>
      </c>
      <c r="G412">
        <f t="shared" si="32"/>
        <v>0.39861444982906752</v>
      </c>
      <c r="H412">
        <f t="shared" si="33"/>
        <v>2.9974363228749712</v>
      </c>
    </row>
    <row r="413" spans="1:8" x14ac:dyDescent="0.25">
      <c r="A413" s="13">
        <v>40862</v>
      </c>
      <c r="B413">
        <v>307.12934130000002</v>
      </c>
      <c r="C413" s="12">
        <v>5.8075807296036341E-3</v>
      </c>
      <c r="D413" s="12">
        <f t="shared" si="30"/>
        <v>1.7291613318197555E-4</v>
      </c>
      <c r="E413" s="11">
        <f t="shared" si="31"/>
        <v>5.6346645964216588E-3</v>
      </c>
      <c r="F413">
        <f t="shared" si="34"/>
        <v>1.490754387061282E-2</v>
      </c>
      <c r="G413">
        <f t="shared" si="32"/>
        <v>0.37797404088337111</v>
      </c>
      <c r="H413">
        <f t="shared" si="33"/>
        <v>3.2155171731206904</v>
      </c>
    </row>
    <row r="414" spans="1:8" x14ac:dyDescent="0.25">
      <c r="A414" s="13">
        <v>40863</v>
      </c>
      <c r="B414">
        <v>304.59384499999999</v>
      </c>
      <c r="C414" s="12">
        <v>-8.2554675149821843E-3</v>
      </c>
      <c r="D414" s="12">
        <f t="shared" si="30"/>
        <v>1.0748164327620122E-4</v>
      </c>
      <c r="E414" s="11">
        <f t="shared" si="31"/>
        <v>-8.3629491582583853E-3</v>
      </c>
      <c r="F414">
        <f t="shared" si="34"/>
        <v>1.4494661593818244E-2</v>
      </c>
      <c r="G414">
        <f t="shared" si="32"/>
        <v>-0.57696753415926993</v>
      </c>
      <c r="H414">
        <f t="shared" si="33"/>
        <v>3.1485905623473114</v>
      </c>
    </row>
    <row r="415" spans="1:8" x14ac:dyDescent="0.25">
      <c r="A415" s="13">
        <v>40864</v>
      </c>
      <c r="B415">
        <v>299.31362360000003</v>
      </c>
      <c r="C415" s="12">
        <v>-1.7335285944467982E-2</v>
      </c>
      <c r="D415" s="12">
        <f t="shared" si="30"/>
        <v>-1.0993594522030845E-4</v>
      </c>
      <c r="E415" s="11">
        <f t="shared" si="31"/>
        <v>-1.7225349999247675E-2</v>
      </c>
      <c r="F415">
        <f t="shared" si="34"/>
        <v>1.4851706500881134E-2</v>
      </c>
      <c r="G415">
        <f t="shared" si="32"/>
        <v>-1.1598229468260577</v>
      </c>
      <c r="H415">
        <f t="shared" si="33"/>
        <v>2.6181073372546884</v>
      </c>
    </row>
    <row r="416" spans="1:8" x14ac:dyDescent="0.25">
      <c r="A416" s="13">
        <v>40865</v>
      </c>
      <c r="B416">
        <v>296.32979269999998</v>
      </c>
      <c r="C416" s="12">
        <v>-9.9689110843400597E-3</v>
      </c>
      <c r="D416" s="12">
        <f t="shared" si="30"/>
        <v>-2.8340687249011888E-4</v>
      </c>
      <c r="E416" s="11">
        <f t="shared" si="31"/>
        <v>-9.6855042118499414E-3</v>
      </c>
      <c r="F416">
        <f t="shared" si="34"/>
        <v>1.6840900235784988E-2</v>
      </c>
      <c r="G416">
        <f t="shared" si="32"/>
        <v>-0.57511796140620508</v>
      </c>
      <c r="H416">
        <f t="shared" si="33"/>
        <v>2.9996259454441003</v>
      </c>
    </row>
    <row r="417" spans="1:8" x14ac:dyDescent="0.25">
      <c r="A417" s="13">
        <v>40868</v>
      </c>
      <c r="B417">
        <v>289.38581090000002</v>
      </c>
      <c r="C417" s="12">
        <v>-2.343328943313483E-2</v>
      </c>
      <c r="D417" s="12">
        <f t="shared" si="30"/>
        <v>-1.9532772078364842E-4</v>
      </c>
      <c r="E417" s="11">
        <f t="shared" si="31"/>
        <v>-2.3237961712351179E-2</v>
      </c>
      <c r="F417">
        <f t="shared" si="34"/>
        <v>1.5083484795179073E-2</v>
      </c>
      <c r="G417">
        <f t="shared" si="32"/>
        <v>-1.5406228751447684</v>
      </c>
      <c r="H417">
        <f t="shared" si="33"/>
        <v>2.0884569009710594</v>
      </c>
    </row>
    <row r="418" spans="1:8" x14ac:dyDescent="0.25">
      <c r="A418" s="13">
        <v>40869</v>
      </c>
      <c r="B418">
        <v>288.91754859999998</v>
      </c>
      <c r="C418" s="12">
        <v>-1.6181246016995221E-3</v>
      </c>
      <c r="D418" s="12">
        <f t="shared" si="30"/>
        <v>-3.8004069158512912E-4</v>
      </c>
      <c r="E418" s="11">
        <f t="shared" si="31"/>
        <v>-1.238083910114393E-3</v>
      </c>
      <c r="F418">
        <f t="shared" si="34"/>
        <v>1.8636007670830294E-2</v>
      </c>
      <c r="G418">
        <f t="shared" si="32"/>
        <v>-6.6435039735054602E-2</v>
      </c>
      <c r="H418">
        <f t="shared" si="33"/>
        <v>3.0615143329571404</v>
      </c>
    </row>
    <row r="419" spans="1:8" x14ac:dyDescent="0.25">
      <c r="A419" s="13">
        <v>40870</v>
      </c>
      <c r="B419">
        <v>283.99102640000001</v>
      </c>
      <c r="C419" s="12">
        <v>-1.7051654438687724E-2</v>
      </c>
      <c r="D419" s="12">
        <f t="shared" si="30"/>
        <v>-8.4696485297163353E-5</v>
      </c>
      <c r="E419" s="11">
        <f t="shared" si="31"/>
        <v>-1.6966957953390562E-2</v>
      </c>
      <c r="F419">
        <f t="shared" si="34"/>
        <v>1.4616279626477987E-2</v>
      </c>
      <c r="G419">
        <f t="shared" si="32"/>
        <v>-1.1608260369248975</v>
      </c>
      <c r="H419">
        <f t="shared" si="33"/>
        <v>2.6329222513509531</v>
      </c>
    </row>
    <row r="420" spans="1:8" x14ac:dyDescent="0.25">
      <c r="A420" s="13">
        <v>40872</v>
      </c>
      <c r="B420">
        <v>280.44930269999998</v>
      </c>
      <c r="C420" s="12">
        <v>-1.2471252155029533E-2</v>
      </c>
      <c r="D420" s="12">
        <f t="shared" si="30"/>
        <v>-2.6205925862079484E-4</v>
      </c>
      <c r="E420" s="11">
        <f t="shared" si="31"/>
        <v>-1.2209192896408738E-2</v>
      </c>
      <c r="F420">
        <f t="shared" si="34"/>
        <v>1.6825324287573887E-2</v>
      </c>
      <c r="G420">
        <f t="shared" si="32"/>
        <v>-0.72564383828403656</v>
      </c>
      <c r="H420">
        <f t="shared" si="33"/>
        <v>2.9026521062626141</v>
      </c>
    </row>
    <row r="421" spans="1:8" x14ac:dyDescent="0.25">
      <c r="A421" s="13">
        <v>40875</v>
      </c>
      <c r="B421">
        <v>292.99726729999998</v>
      </c>
      <c r="C421" s="12">
        <v>4.474236334052395E-2</v>
      </c>
      <c r="D421" s="12">
        <f t="shared" si="30"/>
        <v>-2.3244589048619912E-4</v>
      </c>
      <c r="E421" s="11">
        <f t="shared" si="31"/>
        <v>4.4974809231010146E-2</v>
      </c>
      <c r="F421">
        <f t="shared" si="34"/>
        <v>1.5474493263909069E-2</v>
      </c>
      <c r="G421">
        <f t="shared" si="32"/>
        <v>2.9063833279700488</v>
      </c>
      <c r="H421">
        <f t="shared" si="33"/>
        <v>-0.97390835134188292</v>
      </c>
    </row>
    <row r="422" spans="1:8" x14ac:dyDescent="0.25">
      <c r="A422" s="13">
        <v>40876</v>
      </c>
      <c r="B422">
        <v>290.3770849</v>
      </c>
      <c r="C422" s="12">
        <v>-8.9426854528208422E-3</v>
      </c>
      <c r="D422" s="12">
        <f t="shared" si="30"/>
        <v>6.446629293277215E-4</v>
      </c>
      <c r="E422" s="11">
        <f t="shared" si="31"/>
        <v>-9.5873483821485635E-3</v>
      </c>
      <c r="F422">
        <f t="shared" si="34"/>
        <v>2.6844861382935254E-2</v>
      </c>
      <c r="G422">
        <f t="shared" si="32"/>
        <v>-0.35713905336993285</v>
      </c>
      <c r="H422">
        <f t="shared" si="33"/>
        <v>2.6349681738035744</v>
      </c>
    </row>
    <row r="423" spans="1:8" x14ac:dyDescent="0.25">
      <c r="A423" s="13">
        <v>40877</v>
      </c>
      <c r="B423">
        <v>298.57637840000001</v>
      </c>
      <c r="C423" s="12">
        <v>2.8236709872694332E-2</v>
      </c>
      <c r="D423" s="12">
        <f t="shared" si="30"/>
        <v>-2.0268625863432819E-5</v>
      </c>
      <c r="E423" s="11">
        <f t="shared" si="31"/>
        <v>2.8256978498557767E-2</v>
      </c>
      <c r="F423">
        <f t="shared" si="34"/>
        <v>1.6033658136270616E-2</v>
      </c>
      <c r="G423">
        <f t="shared" si="32"/>
        <v>1.7623538096172893</v>
      </c>
      <c r="H423">
        <f t="shared" si="33"/>
        <v>1.6611811244233057</v>
      </c>
    </row>
    <row r="424" spans="1:8" x14ac:dyDescent="0.25">
      <c r="A424" s="13">
        <v>40878</v>
      </c>
      <c r="B424">
        <v>305.73953820000003</v>
      </c>
      <c r="C424" s="12">
        <v>2.3991046573696551E-2</v>
      </c>
      <c r="D424" s="12">
        <f t="shared" si="30"/>
        <v>4.0408860577257927E-4</v>
      </c>
      <c r="E424" s="11">
        <f t="shared" si="31"/>
        <v>2.3586957967923972E-2</v>
      </c>
      <c r="F424">
        <f t="shared" si="34"/>
        <v>1.9875224768321657E-2</v>
      </c>
      <c r="G424">
        <f t="shared" si="32"/>
        <v>1.1867517596841624</v>
      </c>
      <c r="H424">
        <f t="shared" si="33"/>
        <v>2.2951529066463432</v>
      </c>
    </row>
    <row r="425" spans="1:8" x14ac:dyDescent="0.25">
      <c r="A425" s="13">
        <v>40879</v>
      </c>
      <c r="B425">
        <v>309.0222278</v>
      </c>
      <c r="C425" s="12">
        <v>1.0736882836045236E-2</v>
      </c>
      <c r="D425" s="12">
        <f t="shared" si="30"/>
        <v>4.3542430225251225E-4</v>
      </c>
      <c r="E425" s="11">
        <f t="shared" si="31"/>
        <v>1.0301458533792725E-2</v>
      </c>
      <c r="F425">
        <f t="shared" si="34"/>
        <v>1.7443095709137237E-2</v>
      </c>
      <c r="G425">
        <f t="shared" si="32"/>
        <v>0.59057513101854386</v>
      </c>
      <c r="H425">
        <f t="shared" si="33"/>
        <v>2.9554833441023485</v>
      </c>
    </row>
    <row r="426" spans="1:8" x14ac:dyDescent="0.25">
      <c r="A426" s="13">
        <v>40882</v>
      </c>
      <c r="B426">
        <v>311.65736420000002</v>
      </c>
      <c r="C426" s="12">
        <v>8.5273361038140649E-3</v>
      </c>
      <c r="D426" s="12">
        <f t="shared" si="30"/>
        <v>2.2404815627613151E-4</v>
      </c>
      <c r="E426" s="11">
        <f t="shared" si="31"/>
        <v>8.303287947537933E-3</v>
      </c>
      <c r="F426">
        <f t="shared" si="34"/>
        <v>1.5185544354230472E-2</v>
      </c>
      <c r="G426">
        <f t="shared" si="32"/>
        <v>0.54678895625001145</v>
      </c>
      <c r="H426">
        <f t="shared" si="33"/>
        <v>3.1189837184290043</v>
      </c>
    </row>
    <row r="427" spans="1:8" x14ac:dyDescent="0.25">
      <c r="A427" s="13">
        <v>40883</v>
      </c>
      <c r="B427">
        <v>310.72086990000003</v>
      </c>
      <c r="C427" s="12">
        <v>-3.004884233696492E-3</v>
      </c>
      <c r="D427" s="12">
        <f t="shared" si="30"/>
        <v>1.5656666280451737E-4</v>
      </c>
      <c r="E427" s="11">
        <f t="shared" si="31"/>
        <v>-3.1614508965010094E-3</v>
      </c>
      <c r="F427">
        <f t="shared" si="34"/>
        <v>1.4848114241095655E-2</v>
      </c>
      <c r="G427">
        <f t="shared" si="32"/>
        <v>-0.2129193542807577</v>
      </c>
      <c r="H427">
        <f t="shared" si="33"/>
        <v>3.2682765500102429</v>
      </c>
    </row>
    <row r="428" spans="1:8" x14ac:dyDescent="0.25">
      <c r="A428" s="13">
        <v>40884</v>
      </c>
      <c r="B428">
        <v>310.53159929999998</v>
      </c>
      <c r="C428" s="12">
        <v>-6.0913385078043003E-4</v>
      </c>
      <c r="D428" s="12">
        <f t="shared" si="30"/>
        <v>-2.3532888747367741E-5</v>
      </c>
      <c r="E428" s="11">
        <f t="shared" si="31"/>
        <v>-5.8560096203306229E-4</v>
      </c>
      <c r="F428">
        <f t="shared" si="34"/>
        <v>1.4281050542181619E-2</v>
      </c>
      <c r="G428">
        <f t="shared" si="32"/>
        <v>-4.1005454066798924E-2</v>
      </c>
      <c r="H428">
        <f t="shared" si="33"/>
        <v>3.3290425005606954</v>
      </c>
    </row>
    <row r="429" spans="1:8" x14ac:dyDescent="0.25">
      <c r="A429" s="13">
        <v>40885</v>
      </c>
      <c r="B429">
        <v>306.87528209999999</v>
      </c>
      <c r="C429" s="12">
        <v>-1.1774380476067714E-2</v>
      </c>
      <c r="D429" s="12">
        <f t="shared" si="30"/>
        <v>-1.6935417007004556E-5</v>
      </c>
      <c r="E429" s="11">
        <f t="shared" si="31"/>
        <v>-1.1757445059060709E-2</v>
      </c>
      <c r="F429">
        <f t="shared" si="34"/>
        <v>1.4130996871126828E-2</v>
      </c>
      <c r="G429">
        <f t="shared" si="32"/>
        <v>-0.83203224558658839</v>
      </c>
      <c r="H429">
        <f t="shared" si="33"/>
        <v>2.9943071727480404</v>
      </c>
    </row>
    <row r="430" spans="1:8" x14ac:dyDescent="0.25">
      <c r="A430" s="13">
        <v>40886</v>
      </c>
      <c r="B430">
        <v>312.53907980000002</v>
      </c>
      <c r="C430" s="12">
        <v>1.845635028419923E-2</v>
      </c>
      <c r="D430" s="12">
        <f t="shared" si="30"/>
        <v>-1.7964912996044308E-4</v>
      </c>
      <c r="E430" s="11">
        <f t="shared" si="31"/>
        <v>1.8635999414159672E-2</v>
      </c>
      <c r="F430">
        <f t="shared" si="34"/>
        <v>1.5543360206083793E-2</v>
      </c>
      <c r="G430">
        <f t="shared" si="32"/>
        <v>1.1989685091943887</v>
      </c>
      <c r="H430">
        <f t="shared" si="33"/>
        <v>2.5264204517145581</v>
      </c>
    </row>
    <row r="431" spans="1:8" x14ac:dyDescent="0.25">
      <c r="A431" s="13">
        <v>40889</v>
      </c>
      <c r="B431">
        <v>311.52784759999997</v>
      </c>
      <c r="C431" s="12">
        <v>-3.2355384185784875E-3</v>
      </c>
      <c r="D431" s="12">
        <f t="shared" si="30"/>
        <v>2.4888647488589019E-4</v>
      </c>
      <c r="E431" s="11">
        <f t="shared" si="31"/>
        <v>-3.4844248934643779E-3</v>
      </c>
      <c r="F431">
        <f t="shared" si="34"/>
        <v>1.7067388671829248E-2</v>
      </c>
      <c r="G431">
        <f t="shared" si="32"/>
        <v>-0.20415688424648293</v>
      </c>
      <c r="H431">
        <f t="shared" si="33"/>
        <v>3.1308071816123317</v>
      </c>
    </row>
    <row r="432" spans="1:8" x14ac:dyDescent="0.25">
      <c r="A432" s="13">
        <v>40890</v>
      </c>
      <c r="B432">
        <v>311.64741550000002</v>
      </c>
      <c r="C432" s="12">
        <v>3.8381127376307944E-4</v>
      </c>
      <c r="D432" s="12">
        <f t="shared" si="30"/>
        <v>-1.504178502313609E-6</v>
      </c>
      <c r="E432" s="11">
        <f t="shared" si="31"/>
        <v>3.8531545226539306E-4</v>
      </c>
      <c r="F432">
        <f t="shared" si="34"/>
        <v>1.4509809625670023E-2</v>
      </c>
      <c r="G432">
        <f t="shared" si="32"/>
        <v>2.6555513973368226E-2</v>
      </c>
      <c r="H432">
        <f t="shared" si="33"/>
        <v>3.3136392015219553</v>
      </c>
    </row>
    <row r="433" spans="1:8" x14ac:dyDescent="0.25">
      <c r="A433" s="13">
        <v>40891</v>
      </c>
      <c r="B433">
        <v>307.88150949999999</v>
      </c>
      <c r="C433" s="12">
        <v>-1.2083867257355885E-2</v>
      </c>
      <c r="D433" s="12">
        <f t="shared" si="30"/>
        <v>-2.5102196777081164E-6</v>
      </c>
      <c r="E433" s="11">
        <f t="shared" si="31"/>
        <v>-1.2081357037678177E-2</v>
      </c>
      <c r="F433">
        <f t="shared" si="34"/>
        <v>1.415127192566311E-2</v>
      </c>
      <c r="G433">
        <f t="shared" si="32"/>
        <v>-0.85372941041213579</v>
      </c>
      <c r="H433">
        <f t="shared" si="33"/>
        <v>2.9745852838871989</v>
      </c>
    </row>
    <row r="434" spans="1:8" x14ac:dyDescent="0.25">
      <c r="A434" s="13">
        <v>40892</v>
      </c>
      <c r="B434">
        <v>308.61377979999997</v>
      </c>
      <c r="C434" s="12">
        <v>2.3784159730448895E-3</v>
      </c>
      <c r="D434" s="12">
        <f t="shared" si="30"/>
        <v>-1.8177817652805341E-4</v>
      </c>
      <c r="E434" s="11">
        <f t="shared" si="31"/>
        <v>2.560194149572943E-3</v>
      </c>
      <c r="F434">
        <f t="shared" si="34"/>
        <v>1.5617062269707632E-2</v>
      </c>
      <c r="G434">
        <f t="shared" si="32"/>
        <v>0.16393570732819218</v>
      </c>
      <c r="H434">
        <f t="shared" si="33"/>
        <v>3.2270152359083202</v>
      </c>
    </row>
    <row r="435" spans="1:8" x14ac:dyDescent="0.25">
      <c r="A435" s="13">
        <v>40893</v>
      </c>
      <c r="B435">
        <v>311.81178340000002</v>
      </c>
      <c r="C435" s="12">
        <v>1.0362478312123891E-2</v>
      </c>
      <c r="D435" s="12">
        <f t="shared" si="30"/>
        <v>4.9175777762543242E-6</v>
      </c>
      <c r="E435" s="11">
        <f t="shared" si="31"/>
        <v>1.0357560734347637E-2</v>
      </c>
      <c r="F435">
        <f t="shared" si="34"/>
        <v>1.4320249676470057E-2</v>
      </c>
      <c r="G435">
        <f t="shared" si="32"/>
        <v>0.7232807366038031</v>
      </c>
      <c r="H435">
        <f t="shared" si="33"/>
        <v>3.065574636918206</v>
      </c>
    </row>
    <row r="436" spans="1:8" x14ac:dyDescent="0.25">
      <c r="A436" s="13">
        <v>40896</v>
      </c>
      <c r="B436">
        <v>309.75449859999998</v>
      </c>
      <c r="C436" s="12">
        <v>-6.5978417414742641E-3</v>
      </c>
      <c r="D436" s="12">
        <f t="shared" si="30"/>
        <v>1.6284157310130667E-4</v>
      </c>
      <c r="E436" s="11">
        <f t="shared" si="31"/>
        <v>-6.7606833145755704E-3</v>
      </c>
      <c r="F436">
        <f t="shared" si="34"/>
        <v>1.5223285248650678E-2</v>
      </c>
      <c r="G436">
        <f t="shared" si="32"/>
        <v>-0.44410146720300114</v>
      </c>
      <c r="H436">
        <f t="shared" si="33"/>
        <v>3.1673775092849357</v>
      </c>
    </row>
    <row r="437" spans="1:8" x14ac:dyDescent="0.25">
      <c r="A437" s="13">
        <v>40897</v>
      </c>
      <c r="B437">
        <v>314.00856429999999</v>
      </c>
      <c r="C437" s="12">
        <v>1.3733668822332401E-2</v>
      </c>
      <c r="D437" s="12">
        <f t="shared" si="30"/>
        <v>-7.3158939490830611E-5</v>
      </c>
      <c r="E437" s="11">
        <f t="shared" si="31"/>
        <v>1.3806827761823232E-2</v>
      </c>
      <c r="F437">
        <f t="shared" si="34"/>
        <v>1.4640399816801453E-2</v>
      </c>
      <c r="G437">
        <f t="shared" si="32"/>
        <v>0.94306357303018418</v>
      </c>
      <c r="H437">
        <f t="shared" si="33"/>
        <v>2.8603474763381684</v>
      </c>
    </row>
    <row r="438" spans="1:8" x14ac:dyDescent="0.25">
      <c r="A438" s="13">
        <v>40898</v>
      </c>
      <c r="B438">
        <v>311.74205080000002</v>
      </c>
      <c r="C438" s="12">
        <v>-7.2179989900994501E-3</v>
      </c>
      <c r="D438" s="12">
        <f t="shared" si="30"/>
        <v>1.9076100951538619E-4</v>
      </c>
      <c r="E438" s="11">
        <f t="shared" si="31"/>
        <v>-7.4087599996148362E-3</v>
      </c>
      <c r="F438">
        <f t="shared" si="34"/>
        <v>1.5971327513145835E-2</v>
      </c>
      <c r="G438">
        <f t="shared" si="32"/>
        <v>-0.46387878487350298</v>
      </c>
      <c r="H438">
        <f t="shared" si="33"/>
        <v>3.1104298980456124</v>
      </c>
    </row>
    <row r="439" spans="1:8" x14ac:dyDescent="0.25">
      <c r="A439" s="13">
        <v>40899</v>
      </c>
      <c r="B439">
        <v>313.67482380000001</v>
      </c>
      <c r="C439" s="12">
        <v>6.1999110964980897E-3</v>
      </c>
      <c r="D439" s="12">
        <f t="shared" si="30"/>
        <v>-7.3874753822157247E-5</v>
      </c>
      <c r="E439" s="11">
        <f t="shared" si="31"/>
        <v>6.273785850320247E-3</v>
      </c>
      <c r="F439">
        <f t="shared" si="34"/>
        <v>1.4754164944039489E-2</v>
      </c>
      <c r="G439">
        <f t="shared" si="32"/>
        <v>0.42522134421811403</v>
      </c>
      <c r="H439">
        <f t="shared" si="33"/>
        <v>3.2068847379735299</v>
      </c>
    </row>
    <row r="440" spans="1:8" x14ac:dyDescent="0.25">
      <c r="A440" s="13">
        <v>40900</v>
      </c>
      <c r="B440">
        <v>315.3883889</v>
      </c>
      <c r="C440" s="12">
        <v>5.462871005205594E-3</v>
      </c>
      <c r="D440" s="12">
        <f t="shared" si="30"/>
        <v>7.522158902430881E-5</v>
      </c>
      <c r="E440" s="11">
        <f t="shared" si="31"/>
        <v>5.3876494161812852E-3</v>
      </c>
      <c r="F440">
        <f t="shared" si="34"/>
        <v>1.4559648187592023E-2</v>
      </c>
      <c r="G440">
        <f t="shared" si="32"/>
        <v>0.37003980774567963</v>
      </c>
      <c r="H440">
        <f t="shared" si="33"/>
        <v>3.2420981365827313</v>
      </c>
    </row>
    <row r="441" spans="1:8" x14ac:dyDescent="0.25">
      <c r="A441" s="13">
        <v>40904</v>
      </c>
      <c r="B441">
        <v>318.93011209999997</v>
      </c>
      <c r="C441" s="12">
        <v>1.1229719687375628E-2</v>
      </c>
      <c r="D441" s="12">
        <f t="shared" si="30"/>
        <v>9.8557738939077027E-5</v>
      </c>
      <c r="E441" s="11">
        <f t="shared" si="31"/>
        <v>1.113116194843655E-2</v>
      </c>
      <c r="F441">
        <f t="shared" si="34"/>
        <v>1.4448039495210067E-2</v>
      </c>
      <c r="G441">
        <f t="shared" si="32"/>
        <v>0.77042715394893857</v>
      </c>
      <c r="H441">
        <f t="shared" si="33"/>
        <v>3.0214790157247555</v>
      </c>
    </row>
    <row r="442" spans="1:8" x14ac:dyDescent="0.25">
      <c r="A442" s="13">
        <v>40905</v>
      </c>
      <c r="B442">
        <v>318.65615550000001</v>
      </c>
      <c r="C442" s="12">
        <v>-8.5898630955882904E-4</v>
      </c>
      <c r="D442" s="12">
        <f t="shared" si="30"/>
        <v>1.8388527708734681E-4</v>
      </c>
      <c r="E442" s="11">
        <f t="shared" si="31"/>
        <v>-1.0428715866461758E-3</v>
      </c>
      <c r="F442">
        <f t="shared" si="34"/>
        <v>1.5375874660281334E-2</v>
      </c>
      <c r="G442">
        <f t="shared" si="32"/>
        <v>-6.7825187814524901E-2</v>
      </c>
      <c r="H442">
        <f t="shared" si="33"/>
        <v>3.25371691717835</v>
      </c>
    </row>
    <row r="443" spans="1:8" x14ac:dyDescent="0.25">
      <c r="A443" s="13">
        <v>40906</v>
      </c>
      <c r="B443">
        <v>320.00109780000003</v>
      </c>
      <c r="C443" s="12">
        <v>4.2206694482009866E-3</v>
      </c>
      <c r="D443" s="12">
        <f t="shared" si="30"/>
        <v>1.5868166900823062E-5</v>
      </c>
      <c r="E443" s="11">
        <f t="shared" si="31"/>
        <v>4.2048012813001639E-3</v>
      </c>
      <c r="F443">
        <f t="shared" si="34"/>
        <v>1.4247308557844599E-2</v>
      </c>
      <c r="G443">
        <f t="shared" si="32"/>
        <v>0.29512951616289601</v>
      </c>
      <c r="H443">
        <f t="shared" si="33"/>
        <v>3.2886980143800213</v>
      </c>
    </row>
    <row r="444" spans="1:8" x14ac:dyDescent="0.25">
      <c r="A444" s="13">
        <v>40907</v>
      </c>
      <c r="B444">
        <v>321.74457039999999</v>
      </c>
      <c r="C444" s="12">
        <v>5.448333183811771E-3</v>
      </c>
      <c r="D444" s="12">
        <f t="shared" si="30"/>
        <v>6.1628682070539317E-5</v>
      </c>
      <c r="E444" s="11">
        <f t="shared" si="31"/>
        <v>5.3867045017412319E-3</v>
      </c>
      <c r="F444">
        <f t="shared" si="34"/>
        <v>1.4311785306886664E-2</v>
      </c>
      <c r="G444">
        <f t="shared" si="32"/>
        <v>0.37638242792457294</v>
      </c>
      <c r="H444">
        <f t="shared" si="33"/>
        <v>3.2569015345746108</v>
      </c>
    </row>
    <row r="445" spans="1:8" x14ac:dyDescent="0.25">
      <c r="A445" s="13">
        <v>40911</v>
      </c>
      <c r="B445">
        <v>331.46315370000002</v>
      </c>
      <c r="C445" s="12">
        <v>3.0205896832750545E-2</v>
      </c>
      <c r="D445" s="12">
        <f t="shared" si="30"/>
        <v>9.325126523572228E-5</v>
      </c>
      <c r="E445" s="11">
        <f t="shared" si="31"/>
        <v>3.0112645567514824E-2</v>
      </c>
      <c r="F445">
        <f t="shared" si="34"/>
        <v>1.4434261850389082E-2</v>
      </c>
      <c r="G445">
        <f t="shared" si="32"/>
        <v>2.0861922749934818</v>
      </c>
      <c r="H445">
        <f t="shared" si="33"/>
        <v>1.1431129659493355</v>
      </c>
    </row>
    <row r="446" spans="1:8" x14ac:dyDescent="0.25">
      <c r="A446" s="13">
        <v>40912</v>
      </c>
      <c r="B446">
        <v>332.89281299999999</v>
      </c>
      <c r="C446" s="12">
        <v>4.3131771481723646E-3</v>
      </c>
      <c r="D446" s="12">
        <f t="shared" si="30"/>
        <v>4.7085642016175437E-4</v>
      </c>
      <c r="E446" s="11">
        <f t="shared" si="31"/>
        <v>3.8423207280106103E-3</v>
      </c>
      <c r="F446">
        <f t="shared" si="34"/>
        <v>2.1603587661611367E-2</v>
      </c>
      <c r="G446">
        <f t="shared" si="32"/>
        <v>0.17785567787142348</v>
      </c>
      <c r="H446">
        <f t="shared" si="33"/>
        <v>2.9001410283591436</v>
      </c>
    </row>
    <row r="447" spans="1:8" x14ac:dyDescent="0.25">
      <c r="A447" s="13">
        <v>40913</v>
      </c>
      <c r="B447">
        <v>328.27509880000002</v>
      </c>
      <c r="C447" s="12">
        <v>-1.3871474599843503E-2</v>
      </c>
      <c r="D447" s="12">
        <f t="shared" si="30"/>
        <v>1.4286368360291098E-4</v>
      </c>
      <c r="E447" s="11">
        <f t="shared" si="31"/>
        <v>-1.4014338283446413E-2</v>
      </c>
      <c r="F447">
        <f t="shared" si="34"/>
        <v>1.5059387887867388E-2</v>
      </c>
      <c r="G447">
        <f t="shared" si="32"/>
        <v>-0.93060477542630271</v>
      </c>
      <c r="H447">
        <f t="shared" si="33"/>
        <v>2.8438025451045474</v>
      </c>
    </row>
    <row r="448" spans="1:8" x14ac:dyDescent="0.25">
      <c r="A448" s="13">
        <v>40914</v>
      </c>
      <c r="B448">
        <v>323.7968808</v>
      </c>
      <c r="C448" s="12">
        <v>-1.3641662180195913E-2</v>
      </c>
      <c r="D448" s="12">
        <f t="shared" si="30"/>
        <v>-1.9871679909559751E-4</v>
      </c>
      <c r="E448" s="11">
        <f t="shared" si="31"/>
        <v>-1.3442945381100316E-2</v>
      </c>
      <c r="F448">
        <f t="shared" si="34"/>
        <v>1.596399772790728E-2</v>
      </c>
      <c r="G448">
        <f t="shared" si="32"/>
        <v>-0.84207888338647052</v>
      </c>
      <c r="H448">
        <f t="shared" si="33"/>
        <v>2.8639322779943135</v>
      </c>
    </row>
    <row r="449" spans="1:8" x14ac:dyDescent="0.25">
      <c r="A449" s="13">
        <v>40917</v>
      </c>
      <c r="B449">
        <v>310.0683113</v>
      </c>
      <c r="C449" s="12">
        <v>-4.2398708307754607E-2</v>
      </c>
      <c r="D449" s="12">
        <f t="shared" si="30"/>
        <v>-2.4197499093140388E-4</v>
      </c>
      <c r="E449" s="11">
        <f t="shared" si="31"/>
        <v>-4.2156733316823201E-2</v>
      </c>
      <c r="F449">
        <f t="shared" si="34"/>
        <v>1.5745815586845874E-2</v>
      </c>
      <c r="G449">
        <f t="shared" si="32"/>
        <v>-2.6773292932530679</v>
      </c>
      <c r="H449">
        <f t="shared" si="33"/>
        <v>-0.35180397942561159</v>
      </c>
    </row>
    <row r="450" spans="1:8" x14ac:dyDescent="0.25">
      <c r="A450" s="13">
        <v>40918</v>
      </c>
      <c r="B450">
        <v>310.40705709999997</v>
      </c>
      <c r="C450" s="12">
        <v>1.0924876475759682E-3</v>
      </c>
      <c r="D450" s="12">
        <f t="shared" si="30"/>
        <v>-6.7632534536095096E-4</v>
      </c>
      <c r="E450" s="11">
        <f t="shared" si="31"/>
        <v>1.7688129929369191E-3</v>
      </c>
      <c r="F450">
        <f t="shared" si="34"/>
        <v>2.5359091151721226E-2</v>
      </c>
      <c r="G450">
        <f t="shared" si="32"/>
        <v>6.9750646123485485E-2</v>
      </c>
      <c r="H450">
        <f t="shared" si="33"/>
        <v>2.7532468783991915</v>
      </c>
    </row>
    <row r="451" spans="1:8" x14ac:dyDescent="0.25">
      <c r="A451" s="13">
        <v>40919</v>
      </c>
      <c r="B451">
        <v>311.81178340000002</v>
      </c>
      <c r="C451" s="12">
        <v>4.5254328723187687E-3</v>
      </c>
      <c r="D451" s="12">
        <f t="shared" si="30"/>
        <v>-9.2439935883003975E-5</v>
      </c>
      <c r="E451" s="11">
        <f t="shared" si="31"/>
        <v>4.6178728082017723E-3</v>
      </c>
      <c r="F451">
        <f t="shared" si="34"/>
        <v>1.555963965747743E-2</v>
      </c>
      <c r="G451">
        <f t="shared" si="32"/>
        <v>0.29678533114245875</v>
      </c>
      <c r="H451">
        <f t="shared" si="33"/>
        <v>3.2000956191645109</v>
      </c>
    </row>
    <row r="452" spans="1:8" x14ac:dyDescent="0.25">
      <c r="A452" s="13">
        <v>40920</v>
      </c>
      <c r="B452">
        <v>313.6449164</v>
      </c>
      <c r="C452" s="12">
        <v>5.8789728213970438E-3</v>
      </c>
      <c r="D452" s="12">
        <f t="shared" si="30"/>
        <v>7.1253361417003411E-5</v>
      </c>
      <c r="E452" s="11">
        <f t="shared" si="31"/>
        <v>5.8077194599800404E-3</v>
      </c>
      <c r="F452">
        <f t="shared" si="34"/>
        <v>1.4444662147787233E-2</v>
      </c>
      <c r="G452">
        <f t="shared" si="32"/>
        <v>0.4020668258322484</v>
      </c>
      <c r="H452">
        <f t="shared" si="33"/>
        <v>3.2376629347843844</v>
      </c>
    </row>
    <row r="453" spans="1:8" x14ac:dyDescent="0.25">
      <c r="A453" s="13">
        <v>40921</v>
      </c>
      <c r="B453">
        <v>311.328598</v>
      </c>
      <c r="C453" s="12">
        <v>-7.3851616234900108E-3</v>
      </c>
      <c r="D453" s="12">
        <f t="shared" si="30"/>
        <v>1.0054778283255411E-4</v>
      </c>
      <c r="E453" s="11">
        <f t="shared" si="31"/>
        <v>-7.4857094063225651E-3</v>
      </c>
      <c r="F453">
        <f t="shared" si="34"/>
        <v>1.4489326100899874E-2</v>
      </c>
      <c r="G453">
        <f t="shared" si="32"/>
        <v>-0.51663613298465672</v>
      </c>
      <c r="H453">
        <f t="shared" si="33"/>
        <v>3.1819480514481331</v>
      </c>
    </row>
    <row r="454" spans="1:8" x14ac:dyDescent="0.25">
      <c r="A454" s="13">
        <v>40925</v>
      </c>
      <c r="B454">
        <v>313.11690049999999</v>
      </c>
      <c r="C454" s="12">
        <v>5.7440996795288246E-3</v>
      </c>
      <c r="D454" s="12">
        <f t="shared" ref="D454:D517" si="35">+C453*$K$11+C452*$K$10</f>
        <v>-9.6589376177158291E-5</v>
      </c>
      <c r="E454" s="11">
        <f t="shared" ref="E454:E517" si="36">C454-D454</f>
        <v>5.8406890557059828E-3</v>
      </c>
      <c r="F454">
        <f t="shared" si="34"/>
        <v>1.4714449906210958E-2</v>
      </c>
      <c r="G454">
        <f t="shared" ref="G454:G517" si="37">E454/F454</f>
        <v>0.39693560363684627</v>
      </c>
      <c r="H454">
        <f t="shared" ref="H454:H517" si="38">1/2*(-LN(PI()*2)-2*LN(F454)-(E454/F454)^2)</f>
        <v>3.2212078112735947</v>
      </c>
    </row>
    <row r="455" spans="1:8" x14ac:dyDescent="0.25">
      <c r="A455" s="13">
        <v>40926</v>
      </c>
      <c r="B455">
        <v>315.2738253</v>
      </c>
      <c r="C455" s="12">
        <v>6.8885607789159753E-3</v>
      </c>
      <c r="D455" s="12">
        <f t="shared" si="35"/>
        <v>6.7897986513603342E-5</v>
      </c>
      <c r="E455" s="11">
        <f t="shared" si="36"/>
        <v>6.8206627924023719E-3</v>
      </c>
      <c r="F455">
        <f t="shared" ref="F455:F518" si="39">SQRT($K$6+$K$7*G454^2+$K$8*F454^2)</f>
        <v>1.4506746826036305E-2</v>
      </c>
      <c r="G455">
        <f t="shared" si="37"/>
        <v>0.47017176726079185</v>
      </c>
      <c r="H455">
        <f t="shared" si="38"/>
        <v>3.2036721608567444</v>
      </c>
    </row>
    <row r="456" spans="1:8" x14ac:dyDescent="0.25">
      <c r="A456" s="13">
        <v>40927</v>
      </c>
      <c r="B456">
        <v>318.59139720000002</v>
      </c>
      <c r="C456" s="12">
        <v>1.0522826932566121E-2</v>
      </c>
      <c r="D456" s="12">
        <f t="shared" si="35"/>
        <v>1.1894941069557591E-4</v>
      </c>
      <c r="E456" s="11">
        <f t="shared" si="36"/>
        <v>1.0403877521870544E-2</v>
      </c>
      <c r="F456">
        <f t="shared" si="39"/>
        <v>1.4620319879753962E-2</v>
      </c>
      <c r="G456">
        <f t="shared" si="37"/>
        <v>0.71160395992961167</v>
      </c>
      <c r="H456">
        <f t="shared" si="38"/>
        <v>3.0532143142013002</v>
      </c>
    </row>
    <row r="457" spans="1:8" x14ac:dyDescent="0.25">
      <c r="A457" s="13">
        <v>40928</v>
      </c>
      <c r="B457">
        <v>291.90137950000002</v>
      </c>
      <c r="C457" s="12">
        <v>-8.3775073446961223E-2</v>
      </c>
      <c r="D457" s="12">
        <f t="shared" si="35"/>
        <v>1.7685773573093773E-4</v>
      </c>
      <c r="E457" s="11">
        <f t="shared" si="36"/>
        <v>-8.395193118269216E-2</v>
      </c>
      <c r="F457">
        <f t="shared" si="39"/>
        <v>1.5216984707879222E-2</v>
      </c>
      <c r="G457">
        <f t="shared" si="37"/>
        <v>-5.5169886015080625</v>
      </c>
      <c r="H457">
        <f t="shared" si="38"/>
        <v>-11.952177087808316</v>
      </c>
    </row>
    <row r="458" spans="1:8" x14ac:dyDescent="0.25">
      <c r="A458" s="13">
        <v>40931</v>
      </c>
      <c r="B458">
        <v>291.66724809999999</v>
      </c>
      <c r="C458" s="12">
        <v>-8.0209076230153276E-4</v>
      </c>
      <c r="D458" s="12">
        <f t="shared" si="35"/>
        <v>-1.2400273657855792E-3</v>
      </c>
      <c r="E458" s="11">
        <f t="shared" si="36"/>
        <v>4.3793660348404647E-4</v>
      </c>
      <c r="F458">
        <f t="shared" si="39"/>
        <v>4.5469513207623623E-2</v>
      </c>
      <c r="G458">
        <f t="shared" si="37"/>
        <v>9.6314337363660203E-3</v>
      </c>
      <c r="H458">
        <f t="shared" si="38"/>
        <v>2.1717283015322546</v>
      </c>
    </row>
    <row r="459" spans="1:8" x14ac:dyDescent="0.25">
      <c r="A459" s="13">
        <v>40932</v>
      </c>
      <c r="B459">
        <v>289.38083660000001</v>
      </c>
      <c r="C459" s="12">
        <v>-7.8391095157042123E-3</v>
      </c>
      <c r="D459" s="12">
        <f t="shared" si="35"/>
        <v>-2.2743088153070367E-4</v>
      </c>
      <c r="E459" s="11">
        <f t="shared" si="36"/>
        <v>-7.611678634173509E-3</v>
      </c>
      <c r="F459">
        <f t="shared" si="39"/>
        <v>1.9461841785423262E-2</v>
      </c>
      <c r="G459">
        <f t="shared" si="37"/>
        <v>-0.39110782618090056</v>
      </c>
      <c r="H459">
        <f t="shared" si="38"/>
        <v>2.9438783629707013</v>
      </c>
    </row>
    <row r="460" spans="1:8" x14ac:dyDescent="0.25">
      <c r="A460" s="13">
        <v>40933</v>
      </c>
      <c r="B460">
        <v>283.682188</v>
      </c>
      <c r="C460" s="12">
        <v>-1.9692556932776606E-2</v>
      </c>
      <c r="D460" s="12">
        <f t="shared" si="35"/>
        <v>-1.2062533083427791E-4</v>
      </c>
      <c r="E460" s="11">
        <f t="shared" si="36"/>
        <v>-1.9571931601942327E-2</v>
      </c>
      <c r="F460">
        <f t="shared" si="39"/>
        <v>1.5025451797087802E-2</v>
      </c>
      <c r="G460">
        <f t="shared" si="37"/>
        <v>-1.3025852311300026</v>
      </c>
      <c r="H460">
        <f t="shared" si="38"/>
        <v>2.4307070539395723</v>
      </c>
    </row>
    <row r="461" spans="1:8" x14ac:dyDescent="0.25">
      <c r="A461" s="13">
        <v>40934</v>
      </c>
      <c r="B461">
        <v>282.98977339999999</v>
      </c>
      <c r="C461" s="12">
        <v>-2.4408109824646251E-3</v>
      </c>
      <c r="D461" s="12">
        <f t="shared" si="35"/>
        <v>-3.1798980114377737E-4</v>
      </c>
      <c r="E461" s="11">
        <f t="shared" si="36"/>
        <v>-2.1228211813208477E-3</v>
      </c>
      <c r="F461">
        <f t="shared" si="39"/>
        <v>1.7483075430714087E-2</v>
      </c>
      <c r="G461">
        <f t="shared" si="37"/>
        <v>-0.12142149644858806</v>
      </c>
      <c r="H461">
        <f t="shared" si="38"/>
        <v>3.1202118611535878</v>
      </c>
    </row>
    <row r="462" spans="1:8" x14ac:dyDescent="0.25">
      <c r="A462" s="13">
        <v>40935</v>
      </c>
      <c r="B462">
        <v>288.90759989999998</v>
      </c>
      <c r="C462" s="12">
        <v>2.0911803380383231E-2</v>
      </c>
      <c r="D462" s="12">
        <f t="shared" si="35"/>
        <v>-8.7525774609101565E-5</v>
      </c>
      <c r="E462" s="11">
        <f t="shared" si="36"/>
        <v>2.0999329154992332E-2</v>
      </c>
      <c r="F462">
        <f t="shared" si="39"/>
        <v>1.4500508342605599E-2</v>
      </c>
      <c r="G462">
        <f t="shared" si="37"/>
        <v>1.4481788264823658</v>
      </c>
      <c r="H462">
        <f t="shared" si="38"/>
        <v>2.2660220821188046</v>
      </c>
    </row>
    <row r="463" spans="1:8" x14ac:dyDescent="0.25">
      <c r="A463" s="13">
        <v>40938</v>
      </c>
      <c r="B463">
        <v>287.76688159999998</v>
      </c>
      <c r="C463" s="12">
        <v>-3.9483845367682679E-3</v>
      </c>
      <c r="D463" s="12">
        <f t="shared" si="35"/>
        <v>3.1001140810009252E-4</v>
      </c>
      <c r="E463" s="11">
        <f t="shared" si="36"/>
        <v>-4.2583959448683605E-3</v>
      </c>
      <c r="F463">
        <f t="shared" si="39"/>
        <v>1.8130377630032817E-2</v>
      </c>
      <c r="G463">
        <f t="shared" si="37"/>
        <v>-0.23487629611279379</v>
      </c>
      <c r="H463">
        <f t="shared" si="38"/>
        <v>3.063644454975297</v>
      </c>
    </row>
    <row r="464" spans="1:8" x14ac:dyDescent="0.25">
      <c r="A464" s="13">
        <v>40939</v>
      </c>
      <c r="B464">
        <v>288.97235819999997</v>
      </c>
      <c r="C464" s="12">
        <v>4.1890734378378092E-3</v>
      </c>
      <c r="D464" s="12">
        <f t="shared" si="35"/>
        <v>-5.9753005386273942E-6</v>
      </c>
      <c r="E464" s="11">
        <f t="shared" si="36"/>
        <v>4.1950487383764362E-3</v>
      </c>
      <c r="F464">
        <f t="shared" si="39"/>
        <v>1.4661461539378005E-2</v>
      </c>
      <c r="G464">
        <f t="shared" si="37"/>
        <v>0.2861275956090259</v>
      </c>
      <c r="H464">
        <f t="shared" si="38"/>
        <v>3.2626598580753696</v>
      </c>
    </row>
    <row r="465" spans="1:8" x14ac:dyDescent="0.25">
      <c r="A465" s="13">
        <v>40940</v>
      </c>
      <c r="B465">
        <v>289.33100139999999</v>
      </c>
      <c r="C465" s="12">
        <v>1.2410986373714294E-3</v>
      </c>
      <c r="D465" s="12">
        <f t="shared" si="35"/>
        <v>5.3211138457624979E-5</v>
      </c>
      <c r="E465" s="11">
        <f t="shared" si="36"/>
        <v>1.1878874989138045E-3</v>
      </c>
      <c r="F465">
        <f t="shared" si="39"/>
        <v>1.4340770554143656E-2</v>
      </c>
      <c r="G465">
        <f t="shared" si="37"/>
        <v>8.283289202828599E-2</v>
      </c>
      <c r="H465">
        <f t="shared" si="38"/>
        <v>3.3222795334501756</v>
      </c>
    </row>
    <row r="466" spans="1:8" x14ac:dyDescent="0.25">
      <c r="A466" s="13">
        <v>40941</v>
      </c>
      <c r="B466">
        <v>291.46302400000002</v>
      </c>
      <c r="C466" s="12">
        <v>7.3688010952290828E-3</v>
      </c>
      <c r="D466" s="12">
        <f t="shared" si="35"/>
        <v>2.9537010836423798E-5</v>
      </c>
      <c r="E466" s="11">
        <f t="shared" si="36"/>
        <v>7.3392640843926594E-3</v>
      </c>
      <c r="F466">
        <f t="shared" si="39"/>
        <v>1.4148033367318734E-2</v>
      </c>
      <c r="G466">
        <f t="shared" si="37"/>
        <v>0.51874800502987228</v>
      </c>
      <c r="H466">
        <f t="shared" si="38"/>
        <v>3.2046913696280273</v>
      </c>
    </row>
    <row r="467" spans="1:8" x14ac:dyDescent="0.25">
      <c r="A467" s="13">
        <v>40942</v>
      </c>
      <c r="B467">
        <v>297.05208390000001</v>
      </c>
      <c r="C467" s="12">
        <v>1.9175879750702007E-2</v>
      </c>
      <c r="D467" s="12">
        <f t="shared" si="35"/>
        <v>1.1464030656601871E-4</v>
      </c>
      <c r="E467" s="11">
        <f t="shared" si="36"/>
        <v>1.9061239444135989E-2</v>
      </c>
      <c r="F467">
        <f t="shared" si="39"/>
        <v>1.468704548312532E-2</v>
      </c>
      <c r="G467">
        <f t="shared" si="37"/>
        <v>1.2978266776688612</v>
      </c>
      <c r="H467">
        <f t="shared" si="38"/>
        <v>2.4596738575471875</v>
      </c>
    </row>
    <row r="468" spans="1:8" x14ac:dyDescent="0.25">
      <c r="A468" s="13">
        <v>40945</v>
      </c>
      <c r="B468">
        <v>303.40826579999998</v>
      </c>
      <c r="C468" s="12">
        <v>2.1397533444470707E-2</v>
      </c>
      <c r="D468" s="12">
        <f t="shared" si="35"/>
        <v>3.0896654782094874E-4</v>
      </c>
      <c r="E468" s="11">
        <f t="shared" si="36"/>
        <v>2.1088566896649757E-2</v>
      </c>
      <c r="F468">
        <f t="shared" si="39"/>
        <v>1.7433670039557914E-2</v>
      </c>
      <c r="G468">
        <f t="shared" si="37"/>
        <v>1.2096458662346306</v>
      </c>
      <c r="H468">
        <f t="shared" si="38"/>
        <v>2.3987917887793673</v>
      </c>
    </row>
    <row r="469" spans="1:8" x14ac:dyDescent="0.25">
      <c r="A469" s="13">
        <v>40946</v>
      </c>
      <c r="B469">
        <v>302.25259360000001</v>
      </c>
      <c r="C469" s="12">
        <v>-3.8089674220074254E-3</v>
      </c>
      <c r="D469" s="12">
        <f t="shared" si="35"/>
        <v>3.7291218827015401E-4</v>
      </c>
      <c r="E469" s="11">
        <f t="shared" si="36"/>
        <v>-4.1818796102775797E-3</v>
      </c>
      <c r="F469">
        <f t="shared" si="39"/>
        <v>1.7287723104904829E-2</v>
      </c>
      <c r="G469">
        <f t="shared" si="37"/>
        <v>-0.24189880789397347</v>
      </c>
      <c r="H469">
        <f t="shared" si="38"/>
        <v>3.1095626266774996</v>
      </c>
    </row>
    <row r="470" spans="1:8" x14ac:dyDescent="0.25">
      <c r="A470" s="13">
        <v>40947</v>
      </c>
      <c r="B470">
        <v>303.78686720000002</v>
      </c>
      <c r="C470" s="12">
        <v>5.0761304699686871E-3</v>
      </c>
      <c r="D470" s="12">
        <f t="shared" si="35"/>
        <v>-2.6183498022647512E-6</v>
      </c>
      <c r="E470" s="11">
        <f t="shared" si="36"/>
        <v>5.0787488197709518E-3</v>
      </c>
      <c r="F470">
        <f t="shared" si="39"/>
        <v>1.4570314333849629E-2</v>
      </c>
      <c r="G470">
        <f t="shared" si="37"/>
        <v>0.34856823973742596</v>
      </c>
      <c r="H470">
        <f t="shared" si="38"/>
        <v>3.2490806428802839</v>
      </c>
    </row>
    <row r="471" spans="1:8" x14ac:dyDescent="0.25">
      <c r="A471" s="13">
        <v>40948</v>
      </c>
      <c r="B471">
        <v>304.58884030000002</v>
      </c>
      <c r="C471" s="12">
        <v>2.6399202420821499E-3</v>
      </c>
      <c r="D471" s="12">
        <f t="shared" si="35"/>
        <v>6.6985885397238636E-5</v>
      </c>
      <c r="E471" s="11">
        <f t="shared" si="36"/>
        <v>2.5729343566849115E-3</v>
      </c>
      <c r="F471">
        <f t="shared" si="39"/>
        <v>1.4416315926119028E-2</v>
      </c>
      <c r="G471">
        <f t="shared" si="37"/>
        <v>0.17847377720290869</v>
      </c>
      <c r="H471">
        <f t="shared" si="38"/>
        <v>3.3045296856132134</v>
      </c>
    </row>
    <row r="472" spans="1:8" x14ac:dyDescent="0.25">
      <c r="A472" s="13">
        <v>40949</v>
      </c>
      <c r="B472">
        <v>301.82421770000002</v>
      </c>
      <c r="C472" s="12">
        <v>-9.0765721990241355E-3</v>
      </c>
      <c r="D472" s="12">
        <f t="shared" si="35"/>
        <v>5.2973443417735156E-5</v>
      </c>
      <c r="E472" s="11">
        <f t="shared" si="36"/>
        <v>-9.1295456424418699E-3</v>
      </c>
      <c r="F472">
        <f t="shared" si="39"/>
        <v>1.4209407254629046E-2</v>
      </c>
      <c r="G472">
        <f t="shared" si="37"/>
        <v>-0.64250010425084458</v>
      </c>
      <c r="H472">
        <f t="shared" si="38"/>
        <v>3.1285093258135288</v>
      </c>
    </row>
    <row r="473" spans="1:8" x14ac:dyDescent="0.25">
      <c r="A473" s="13">
        <v>40952</v>
      </c>
      <c r="B473">
        <v>304.95746259999999</v>
      </c>
      <c r="C473" s="12">
        <v>1.0381025498471752E-2</v>
      </c>
      <c r="D473" s="12">
        <f t="shared" si="35"/>
        <v>-1.304956823814579E-4</v>
      </c>
      <c r="E473" s="11">
        <f t="shared" si="36"/>
        <v>1.051152118085321E-2</v>
      </c>
      <c r="F473">
        <f t="shared" si="39"/>
        <v>1.498943763113458E-2</v>
      </c>
      <c r="G473">
        <f t="shared" si="37"/>
        <v>0.70126187783187521</v>
      </c>
      <c r="H473">
        <f t="shared" si="38"/>
        <v>3.0355868399851076</v>
      </c>
    </row>
    <row r="474" spans="1:8" x14ac:dyDescent="0.25">
      <c r="A474" s="13">
        <v>40953</v>
      </c>
      <c r="B474">
        <v>303.74203679999999</v>
      </c>
      <c r="C474" s="12">
        <v>-3.9855584763774932E-3</v>
      </c>
      <c r="D474" s="12">
        <f t="shared" si="35"/>
        <v>1.336831044229996E-4</v>
      </c>
      <c r="E474" s="11">
        <f t="shared" si="36"/>
        <v>-4.1192415808004928E-3</v>
      </c>
      <c r="F474">
        <f t="shared" si="39"/>
        <v>1.5222090262989775E-2</v>
      </c>
      <c r="G474">
        <f t="shared" si="37"/>
        <v>-0.27060945702153733</v>
      </c>
      <c r="H474">
        <f t="shared" si="38"/>
        <v>3.2294543270630744</v>
      </c>
    </row>
    <row r="475" spans="1:8" x14ac:dyDescent="0.25">
      <c r="A475" s="13">
        <v>40954</v>
      </c>
      <c r="B475">
        <v>301.64987020000001</v>
      </c>
      <c r="C475" s="12">
        <v>-6.8879718528310763E-3</v>
      </c>
      <c r="D475" s="12">
        <f t="shared" si="35"/>
        <v>-3.3601339357565248E-5</v>
      </c>
      <c r="E475" s="11">
        <f t="shared" si="36"/>
        <v>-6.8543705134735114E-3</v>
      </c>
      <c r="F475">
        <f t="shared" si="39"/>
        <v>1.4378424399521838E-2</v>
      </c>
      <c r="G475">
        <f t="shared" si="37"/>
        <v>-0.47671221289736426</v>
      </c>
      <c r="H475">
        <f t="shared" si="38"/>
        <v>3.2094607014037919</v>
      </c>
    </row>
    <row r="476" spans="1:8" x14ac:dyDescent="0.25">
      <c r="A476" s="13">
        <v>40955</v>
      </c>
      <c r="B476">
        <v>302.12808180000002</v>
      </c>
      <c r="C476" s="12">
        <v>1.5853200920754595E-3</v>
      </c>
      <c r="D476" s="12">
        <f t="shared" si="35"/>
        <v>-1.1442110326632845E-4</v>
      </c>
      <c r="E476" s="11">
        <f t="shared" si="36"/>
        <v>1.6997411953417879E-3</v>
      </c>
      <c r="F476">
        <f t="shared" si="39"/>
        <v>1.4621111026517645E-2</v>
      </c>
      <c r="G476">
        <f t="shared" si="37"/>
        <v>0.11625253322124732</v>
      </c>
      <c r="H476">
        <f t="shared" si="38"/>
        <v>3.2995929749971626</v>
      </c>
    </row>
    <row r="477" spans="1:8" x14ac:dyDescent="0.25">
      <c r="A477" s="13">
        <v>40956</v>
      </c>
      <c r="B477">
        <v>301.19158700000003</v>
      </c>
      <c r="C477" s="12">
        <v>-3.0996615555251017E-3</v>
      </c>
      <c r="D477" s="12">
        <f t="shared" si="35"/>
        <v>6.2755617911312237E-6</v>
      </c>
      <c r="E477" s="11">
        <f t="shared" si="36"/>
        <v>-3.1059371173162327E-3</v>
      </c>
      <c r="F477">
        <f t="shared" si="39"/>
        <v>1.4189969190467907E-2</v>
      </c>
      <c r="G477">
        <f t="shared" si="37"/>
        <v>-0.21888258357901452</v>
      </c>
      <c r="H477">
        <f t="shared" si="38"/>
        <v>3.3123266331251409</v>
      </c>
    </row>
    <row r="478" spans="1:8" x14ac:dyDescent="0.25">
      <c r="A478" s="13">
        <v>40960</v>
      </c>
      <c r="B478">
        <v>305.8541012</v>
      </c>
      <c r="C478" s="12">
        <v>1.5480227208338304E-2</v>
      </c>
      <c r="D478" s="12">
        <f t="shared" si="35"/>
        <v>-4.2807145599323795E-5</v>
      </c>
      <c r="E478" s="11">
        <f t="shared" si="36"/>
        <v>1.5523034353937627E-2</v>
      </c>
      <c r="F478">
        <f t="shared" si="39"/>
        <v>1.4222119374699317E-2</v>
      </c>
      <c r="G478">
        <f t="shared" si="37"/>
        <v>1.0914712459489404</v>
      </c>
      <c r="H478">
        <f t="shared" si="38"/>
        <v>2.7383635503200021</v>
      </c>
    </row>
    <row r="479" spans="1:8" x14ac:dyDescent="0.25">
      <c r="A479" s="13">
        <v>40961</v>
      </c>
      <c r="B479">
        <v>302.835419</v>
      </c>
      <c r="C479" s="12">
        <v>-9.8696803088674789E-3</v>
      </c>
      <c r="D479" s="12">
        <f t="shared" si="35"/>
        <v>2.2616735887576173E-4</v>
      </c>
      <c r="E479" s="11">
        <f t="shared" si="36"/>
        <v>-1.0095847667743241E-2</v>
      </c>
      <c r="F479">
        <f t="shared" si="39"/>
        <v>1.650533122188751E-2</v>
      </c>
      <c r="G479">
        <f t="shared" si="37"/>
        <v>-0.61167192175793872</v>
      </c>
      <c r="H479">
        <f t="shared" si="38"/>
        <v>2.9980620427675579</v>
      </c>
    </row>
    <row r="480" spans="1:8" x14ac:dyDescent="0.25">
      <c r="A480" s="13">
        <v>40962</v>
      </c>
      <c r="B480">
        <v>301.92382689999999</v>
      </c>
      <c r="C480" s="12">
        <v>-3.010189835159327E-3</v>
      </c>
      <c r="D480" s="12">
        <f t="shared" si="35"/>
        <v>-1.0949196634472162E-4</v>
      </c>
      <c r="E480" s="11">
        <f t="shared" si="36"/>
        <v>-2.9006978688146056E-3</v>
      </c>
      <c r="F480">
        <f t="shared" si="39"/>
        <v>1.5135855710477503E-2</v>
      </c>
      <c r="G480">
        <f t="shared" si="37"/>
        <v>-0.19164412797663324</v>
      </c>
      <c r="H480">
        <f t="shared" si="38"/>
        <v>3.2533865304895615</v>
      </c>
    </row>
    <row r="481" spans="1:8" x14ac:dyDescent="0.25">
      <c r="A481" s="13">
        <v>40963</v>
      </c>
      <c r="B481">
        <v>303.8117699</v>
      </c>
      <c r="C481" s="12">
        <v>6.2530440852728297E-3</v>
      </c>
      <c r="D481" s="12">
        <f t="shared" si="35"/>
        <v>-7.0892935205886431E-5</v>
      </c>
      <c r="E481" s="11">
        <f t="shared" si="36"/>
        <v>6.3239370204787159E-3</v>
      </c>
      <c r="F481">
        <f t="shared" si="39"/>
        <v>1.4291622605198935E-2</v>
      </c>
      <c r="G481">
        <f t="shared" si="37"/>
        <v>0.44249258430447402</v>
      </c>
      <c r="H481">
        <f t="shared" si="38"/>
        <v>3.2312433684001469</v>
      </c>
    </row>
    <row r="482" spans="1:8" x14ac:dyDescent="0.25">
      <c r="A482" s="13">
        <v>40966</v>
      </c>
      <c r="B482">
        <v>303.51785460000002</v>
      </c>
      <c r="C482" s="12">
        <v>-9.6742565337981645E-4</v>
      </c>
      <c r="D482" s="12">
        <f t="shared" si="35"/>
        <v>8.6839156217904728E-5</v>
      </c>
      <c r="E482" s="11">
        <f t="shared" si="36"/>
        <v>-1.0542648095977212E-3</v>
      </c>
      <c r="F482">
        <f t="shared" si="39"/>
        <v>1.4546821156603339E-2</v>
      </c>
      <c r="G482">
        <f t="shared" si="37"/>
        <v>-7.2473896409948738E-2</v>
      </c>
      <c r="H482">
        <f t="shared" si="38"/>
        <v>3.3088180204085575</v>
      </c>
    </row>
    <row r="483" spans="1:8" x14ac:dyDescent="0.25">
      <c r="A483" s="13">
        <v>40967</v>
      </c>
      <c r="B483">
        <v>308.04090309999998</v>
      </c>
      <c r="C483" s="12">
        <v>1.490208378667135E-2</v>
      </c>
      <c r="D483" s="12">
        <f t="shared" si="35"/>
        <v>1.4381445147117772E-6</v>
      </c>
      <c r="E483" s="11">
        <f t="shared" si="36"/>
        <v>1.4900645642156637E-2</v>
      </c>
      <c r="F483">
        <f t="shared" si="39"/>
        <v>1.4164764823806549E-2</v>
      </c>
      <c r="G483">
        <f t="shared" si="37"/>
        <v>1.0519515027255026</v>
      </c>
      <c r="H483">
        <f t="shared" si="38"/>
        <v>2.7847582332153173</v>
      </c>
    </row>
    <row r="484" spans="1:8" x14ac:dyDescent="0.25">
      <c r="A484" s="13">
        <v>40968</v>
      </c>
      <c r="B484">
        <v>307.97116990000001</v>
      </c>
      <c r="C484" s="12">
        <v>-2.2637643020195775E-4</v>
      </c>
      <c r="D484" s="12">
        <f t="shared" si="35"/>
        <v>2.2290291243908211E-4</v>
      </c>
      <c r="E484" s="11">
        <f t="shared" si="36"/>
        <v>-4.4927934264103986E-4</v>
      </c>
      <c r="F484">
        <f t="shared" si="39"/>
        <v>1.6342533456463033E-2</v>
      </c>
      <c r="G484">
        <f t="shared" si="37"/>
        <v>-2.7491413362434446E-2</v>
      </c>
      <c r="H484">
        <f t="shared" si="38"/>
        <v>3.1946677331645423</v>
      </c>
    </row>
    <row r="485" spans="1:8" x14ac:dyDescent="0.25">
      <c r="A485" s="13">
        <v>40969</v>
      </c>
      <c r="B485">
        <v>310.03843430000001</v>
      </c>
      <c r="C485" s="12">
        <v>6.7125257233371372E-3</v>
      </c>
      <c r="D485" s="12">
        <f t="shared" si="35"/>
        <v>3.487405518237983E-5</v>
      </c>
      <c r="E485" s="11">
        <f t="shared" si="36"/>
        <v>6.6776516681547569E-3</v>
      </c>
      <c r="F485">
        <f t="shared" si="39"/>
        <v>1.4342182701138481E-2</v>
      </c>
      <c r="G485">
        <f t="shared" si="37"/>
        <v>0.46559521708119683</v>
      </c>
      <c r="H485">
        <f t="shared" si="38"/>
        <v>3.2172222584253034</v>
      </c>
    </row>
    <row r="486" spans="1:8" x14ac:dyDescent="0.25">
      <c r="A486" s="13">
        <v>40970</v>
      </c>
      <c r="B486">
        <v>309.46558800000003</v>
      </c>
      <c r="C486" s="12">
        <v>-1.8476622141810894E-3</v>
      </c>
      <c r="D486" s="12">
        <f t="shared" si="35"/>
        <v>1.0094298655502114E-4</v>
      </c>
      <c r="E486" s="11">
        <f t="shared" si="36"/>
        <v>-1.9486052007361106E-3</v>
      </c>
      <c r="F486">
        <f t="shared" si="39"/>
        <v>1.4595713214826991E-2</v>
      </c>
      <c r="G486">
        <f t="shared" si="37"/>
        <v>-0.13350530885716697</v>
      </c>
      <c r="H486">
        <f t="shared" si="38"/>
        <v>3.2991770418529067</v>
      </c>
    </row>
    <row r="487" spans="1:8" x14ac:dyDescent="0.25">
      <c r="A487" s="13">
        <v>40973</v>
      </c>
      <c r="B487">
        <v>305.97864340000001</v>
      </c>
      <c r="C487" s="12">
        <v>-1.1267632768267699E-2</v>
      </c>
      <c r="D487" s="12">
        <f t="shared" si="35"/>
        <v>-1.0694292513857923E-5</v>
      </c>
      <c r="E487" s="11">
        <f t="shared" si="36"/>
        <v>-1.1256938475753842E-2</v>
      </c>
      <c r="F487">
        <f t="shared" si="39"/>
        <v>1.4196758182830531E-2</v>
      </c>
      <c r="G487">
        <f t="shared" si="37"/>
        <v>-0.79292316814749386</v>
      </c>
      <c r="H487">
        <f t="shared" si="38"/>
        <v>3.021439528925209</v>
      </c>
    </row>
    <row r="488" spans="1:8" x14ac:dyDescent="0.25">
      <c r="A488" s="13">
        <v>40974</v>
      </c>
      <c r="B488">
        <v>301.35098049999999</v>
      </c>
      <c r="C488" s="12">
        <v>-1.5124136928571064E-2</v>
      </c>
      <c r="D488" s="12">
        <f t="shared" si="35"/>
        <v>-1.751677178966912E-4</v>
      </c>
      <c r="E488" s="11">
        <f t="shared" si="36"/>
        <v>-1.4948969210674373E-2</v>
      </c>
      <c r="F488">
        <f t="shared" si="39"/>
        <v>1.542338088028279E-2</v>
      </c>
      <c r="G488">
        <f t="shared" si="37"/>
        <v>-0.96924074732441423</v>
      </c>
      <c r="H488">
        <f t="shared" si="38"/>
        <v>2.7832183356010716</v>
      </c>
    </row>
    <row r="489" spans="1:8" x14ac:dyDescent="0.25">
      <c r="A489" s="13">
        <v>40975</v>
      </c>
      <c r="B489">
        <v>302.26754699999998</v>
      </c>
      <c r="C489" s="12">
        <v>3.0415248640611736E-3</v>
      </c>
      <c r="D489" s="12">
        <f t="shared" si="35"/>
        <v>-2.5770514081232128E-4</v>
      </c>
      <c r="E489" s="11">
        <f t="shared" si="36"/>
        <v>3.2992300048734951E-3</v>
      </c>
      <c r="F489">
        <f t="shared" si="39"/>
        <v>1.6137356083916688E-2</v>
      </c>
      <c r="G489">
        <f t="shared" si="37"/>
        <v>0.2044467499952905</v>
      </c>
      <c r="H489">
        <f t="shared" si="38"/>
        <v>3.1867806709678064</v>
      </c>
    </row>
    <row r="490" spans="1:8" x14ac:dyDescent="0.25">
      <c r="A490" s="13">
        <v>40976</v>
      </c>
      <c r="B490">
        <v>302.43692019999997</v>
      </c>
      <c r="C490" s="12">
        <v>5.6034199397525519E-4</v>
      </c>
      <c r="D490" s="12">
        <f t="shared" si="35"/>
        <v>7.1334787239431309E-6</v>
      </c>
      <c r="E490" s="11">
        <f t="shared" si="36"/>
        <v>5.5320851525131201E-4</v>
      </c>
      <c r="F490">
        <f t="shared" si="39"/>
        <v>1.4407380820137997E-2</v>
      </c>
      <c r="G490">
        <f t="shared" si="37"/>
        <v>3.8397577058424233E-2</v>
      </c>
      <c r="H490">
        <f t="shared" si="38"/>
        <v>3.3203389265919503</v>
      </c>
    </row>
    <row r="491" spans="1:8" x14ac:dyDescent="0.25">
      <c r="A491" s="13">
        <v>40977</v>
      </c>
      <c r="B491">
        <v>299.00478520000001</v>
      </c>
      <c r="C491" s="12">
        <v>-1.1348267260922751E-2</v>
      </c>
      <c r="D491" s="12">
        <f t="shared" si="35"/>
        <v>1.6291621410750843E-5</v>
      </c>
      <c r="E491" s="11">
        <f t="shared" si="36"/>
        <v>-1.1364558882333502E-2</v>
      </c>
      <c r="F491">
        <f t="shared" si="39"/>
        <v>1.4142872625300319E-2</v>
      </c>
      <c r="G491">
        <f t="shared" si="37"/>
        <v>-0.80355378878286254</v>
      </c>
      <c r="H491">
        <f t="shared" si="38"/>
        <v>3.0167566042469356</v>
      </c>
    </row>
    <row r="492" spans="1:8" x14ac:dyDescent="0.25">
      <c r="A492" s="13">
        <v>40980</v>
      </c>
      <c r="B492">
        <v>301.44561579999998</v>
      </c>
      <c r="C492" s="12">
        <v>8.1631823997978525E-3</v>
      </c>
      <c r="D492" s="12">
        <f t="shared" si="35"/>
        <v>-1.7019878707793404E-4</v>
      </c>
      <c r="E492" s="11">
        <f t="shared" si="36"/>
        <v>8.3333811868757865E-3</v>
      </c>
      <c r="F492">
        <f t="shared" si="39"/>
        <v>1.5452310310399269E-2</v>
      </c>
      <c r="G492">
        <f t="shared" si="37"/>
        <v>0.53929677954159994</v>
      </c>
      <c r="H492">
        <f t="shared" si="38"/>
        <v>3.1056377107472573</v>
      </c>
    </row>
    <row r="493" spans="1:8" x14ac:dyDescent="0.25">
      <c r="A493" s="13">
        <v>40981</v>
      </c>
      <c r="B493">
        <v>307.7370694</v>
      </c>
      <c r="C493" s="12">
        <v>2.0870940794090798E-2</v>
      </c>
      <c r="D493" s="12">
        <f t="shared" si="35"/>
        <v>9.4300758483916626E-5</v>
      </c>
      <c r="E493" s="11">
        <f t="shared" si="36"/>
        <v>2.0776640035606881E-2</v>
      </c>
      <c r="F493">
        <f t="shared" si="39"/>
        <v>1.4857781597739797E-2</v>
      </c>
      <c r="G493">
        <f t="shared" si="37"/>
        <v>1.398367575867953</v>
      </c>
      <c r="H493">
        <f t="shared" si="38"/>
        <v>2.3125770658405704</v>
      </c>
    </row>
    <row r="494" spans="1:8" x14ac:dyDescent="0.25">
      <c r="A494" s="13">
        <v>40982</v>
      </c>
      <c r="B494">
        <v>306.84540509999999</v>
      </c>
      <c r="C494" s="12">
        <v>-2.8974874614179358E-3</v>
      </c>
      <c r="D494" s="12">
        <f t="shared" si="35"/>
        <v>3.3664533157807977E-4</v>
      </c>
      <c r="E494" s="11">
        <f t="shared" si="36"/>
        <v>-3.2341327929960154E-3</v>
      </c>
      <c r="F494">
        <f t="shared" si="39"/>
        <v>1.7917308920597813E-2</v>
      </c>
      <c r="G494">
        <f t="shared" si="37"/>
        <v>-0.18050326683144047</v>
      </c>
      <c r="H494">
        <f t="shared" si="38"/>
        <v>3.0867588066808289</v>
      </c>
    </row>
    <row r="495" spans="1:8" x14ac:dyDescent="0.25">
      <c r="A495" s="13">
        <v>40983</v>
      </c>
      <c r="B495">
        <v>309.40580410000001</v>
      </c>
      <c r="C495" s="12">
        <v>8.3442637805366537E-3</v>
      </c>
      <c r="D495" s="12">
        <f t="shared" si="35"/>
        <v>9.8141601183188702E-6</v>
      </c>
      <c r="E495" s="11">
        <f t="shared" si="36"/>
        <v>8.3344496204183355E-3</v>
      </c>
      <c r="F495">
        <f t="shared" si="39"/>
        <v>1.4588896420624855E-2</v>
      </c>
      <c r="G495">
        <f t="shared" si="37"/>
        <v>0.57128718856593019</v>
      </c>
      <c r="H495">
        <f t="shared" si="38"/>
        <v>3.1453714996300617</v>
      </c>
    </row>
    <row r="496" spans="1:8" x14ac:dyDescent="0.25">
      <c r="A496" s="13">
        <v>40984</v>
      </c>
      <c r="B496">
        <v>311.35350010000002</v>
      </c>
      <c r="C496" s="12">
        <v>6.29495624901244E-3</v>
      </c>
      <c r="D496" s="12">
        <f t="shared" si="35"/>
        <v>1.1875781551395183E-4</v>
      </c>
      <c r="E496" s="11">
        <f t="shared" si="36"/>
        <v>6.1761984334984879E-3</v>
      </c>
      <c r="F496">
        <f t="shared" si="39"/>
        <v>1.4847120601715173E-2</v>
      </c>
      <c r="G496">
        <f t="shared" si="37"/>
        <v>0.4159862776884159</v>
      </c>
      <c r="H496">
        <f t="shared" si="38"/>
        <v>3.2044885065914399</v>
      </c>
    </row>
    <row r="497" spans="1:8" x14ac:dyDescent="0.25">
      <c r="A497" s="13">
        <v>40987</v>
      </c>
      <c r="B497">
        <v>315.80681600000003</v>
      </c>
      <c r="C497" s="12">
        <v>1.4303086037477319E-2</v>
      </c>
      <c r="D497" s="12">
        <f t="shared" si="35"/>
        <v>1.1665368198710105E-4</v>
      </c>
      <c r="E497" s="11">
        <f t="shared" si="36"/>
        <v>1.4186432355490218E-2</v>
      </c>
      <c r="F497">
        <f t="shared" si="39"/>
        <v>1.4552382799503763E-2</v>
      </c>
      <c r="G497">
        <f t="shared" si="37"/>
        <v>0.97485288498416744</v>
      </c>
      <c r="H497">
        <f t="shared" si="38"/>
        <v>2.8358929255983019</v>
      </c>
    </row>
    <row r="498" spans="1:8" x14ac:dyDescent="0.25">
      <c r="A498" s="13">
        <v>40988</v>
      </c>
      <c r="B498">
        <v>315.56273590000001</v>
      </c>
      <c r="C498" s="12">
        <v>-7.7287787227497962E-4</v>
      </c>
      <c r="D498" s="12">
        <f t="shared" si="35"/>
        <v>2.3250737817068616E-4</v>
      </c>
      <c r="E498" s="11">
        <f t="shared" si="36"/>
        <v>-1.0053852504456659E-3</v>
      </c>
      <c r="F498">
        <f t="shared" si="39"/>
        <v>1.6080191212637342E-2</v>
      </c>
      <c r="G498">
        <f t="shared" si="37"/>
        <v>-6.2523214876670036E-2</v>
      </c>
      <c r="H498">
        <f t="shared" si="38"/>
        <v>3.2092740145649206</v>
      </c>
    </row>
    <row r="499" spans="1:8" x14ac:dyDescent="0.25">
      <c r="A499" s="13">
        <v>40989</v>
      </c>
      <c r="B499">
        <v>318.79562120000003</v>
      </c>
      <c r="C499" s="12">
        <v>1.0244825932249846E-2</v>
      </c>
      <c r="D499" s="12">
        <f t="shared" si="35"/>
        <v>2.5068991772417075E-5</v>
      </c>
      <c r="E499" s="11">
        <f t="shared" si="36"/>
        <v>1.0219756940477429E-2</v>
      </c>
      <c r="F499">
        <f t="shared" si="39"/>
        <v>1.4320391871602708E-2</v>
      </c>
      <c r="G499">
        <f t="shared" si="37"/>
        <v>0.71365064811830836</v>
      </c>
      <c r="H499">
        <f t="shared" si="38"/>
        <v>3.0724835955041638</v>
      </c>
    </row>
    <row r="500" spans="1:8" x14ac:dyDescent="0.25">
      <c r="A500" s="13">
        <v>40990</v>
      </c>
      <c r="B500">
        <v>321.81930770000002</v>
      </c>
      <c r="C500" s="12">
        <v>9.4847177907222413E-3</v>
      </c>
      <c r="D500" s="12">
        <f t="shared" si="35"/>
        <v>1.5296338494926614E-4</v>
      </c>
      <c r="E500" s="11">
        <f t="shared" si="36"/>
        <v>9.3317544057729754E-3</v>
      </c>
      <c r="F500">
        <f t="shared" si="39"/>
        <v>1.5195420472116718E-2</v>
      </c>
      <c r="G500">
        <f t="shared" si="37"/>
        <v>0.6141162347495781</v>
      </c>
      <c r="H500">
        <f t="shared" si="38"/>
        <v>3.0792532731582596</v>
      </c>
    </row>
    <row r="501" spans="1:8" x14ac:dyDescent="0.25">
      <c r="A501" s="13">
        <v>40991</v>
      </c>
      <c r="B501">
        <v>320.09576349999998</v>
      </c>
      <c r="C501" s="12">
        <v>-5.3556270825326768E-3</v>
      </c>
      <c r="D501" s="12">
        <f t="shared" si="35"/>
        <v>1.6978217727166319E-4</v>
      </c>
      <c r="E501" s="11">
        <f t="shared" si="36"/>
        <v>-5.5254092598043397E-3</v>
      </c>
      <c r="F501">
        <f t="shared" si="39"/>
        <v>1.5009502210342387E-2</v>
      </c>
      <c r="G501">
        <f t="shared" si="37"/>
        <v>-0.36812741571116353</v>
      </c>
      <c r="H501">
        <f t="shared" si="38"/>
        <v>3.2123743674508658</v>
      </c>
    </row>
    <row r="502" spans="1:8" x14ac:dyDescent="0.25">
      <c r="A502" s="13">
        <v>40994</v>
      </c>
      <c r="B502">
        <v>323.45316059999999</v>
      </c>
      <c r="C502" s="12">
        <v>1.0488727071203519E-2</v>
      </c>
      <c r="D502" s="12">
        <f t="shared" si="35"/>
        <v>-5.6626666160598895E-5</v>
      </c>
      <c r="E502" s="11">
        <f t="shared" si="36"/>
        <v>1.0545353737364118E-2</v>
      </c>
      <c r="F502">
        <f t="shared" si="39"/>
        <v>1.4489247226969794E-2</v>
      </c>
      <c r="G502">
        <f t="shared" si="37"/>
        <v>0.72780549411396289</v>
      </c>
      <c r="H502">
        <f t="shared" si="38"/>
        <v>3.0505595233729634</v>
      </c>
    </row>
    <row r="503" spans="1:8" x14ac:dyDescent="0.25">
      <c r="A503" s="13">
        <v>40995</v>
      </c>
      <c r="B503">
        <v>322.30249359999999</v>
      </c>
      <c r="C503" s="12">
        <v>-3.5574455289462126E-3</v>
      </c>
      <c r="D503" s="12">
        <f t="shared" si="35"/>
        <v>1.4487477717291288E-4</v>
      </c>
      <c r="E503" s="11">
        <f t="shared" si="36"/>
        <v>-3.7023203061191255E-3</v>
      </c>
      <c r="F503">
        <f t="shared" si="39"/>
        <v>1.5251849054782815E-2</v>
      </c>
      <c r="G503">
        <f t="shared" si="37"/>
        <v>-0.24274566925104191</v>
      </c>
      <c r="H503">
        <f t="shared" si="38"/>
        <v>3.2346532706101461</v>
      </c>
    </row>
    <row r="504" spans="1:8" x14ac:dyDescent="0.25">
      <c r="A504" s="13">
        <v>40996</v>
      </c>
      <c r="B504">
        <v>326.65616949999998</v>
      </c>
      <c r="C504" s="12">
        <v>1.3508042867962367E-2</v>
      </c>
      <c r="D504" s="12">
        <f t="shared" si="35"/>
        <v>-2.6849480395036268E-5</v>
      </c>
      <c r="E504" s="11">
        <f t="shared" si="36"/>
        <v>1.3534892348357403E-2</v>
      </c>
      <c r="F504">
        <f t="shared" si="39"/>
        <v>1.4350947987700273E-2</v>
      </c>
      <c r="G504">
        <f t="shared" si="37"/>
        <v>0.94313576775260533</v>
      </c>
      <c r="H504">
        <f t="shared" si="38"/>
        <v>2.880248205686029</v>
      </c>
    </row>
    <row r="505" spans="1:8" x14ac:dyDescent="0.25">
      <c r="A505" s="13">
        <v>40997</v>
      </c>
      <c r="B505">
        <v>322.99487740000001</v>
      </c>
      <c r="C505" s="12">
        <v>-1.1208397213510968E-2</v>
      </c>
      <c r="D505" s="12">
        <f t="shared" si="35"/>
        <v>1.9516222084380177E-4</v>
      </c>
      <c r="E505" s="11">
        <f t="shared" si="36"/>
        <v>-1.140355943435477E-2</v>
      </c>
      <c r="F505">
        <f t="shared" si="39"/>
        <v>1.594631014646224E-2</v>
      </c>
      <c r="G505">
        <f t="shared" si="37"/>
        <v>-0.71512213983149575</v>
      </c>
      <c r="H505">
        <f t="shared" si="38"/>
        <v>2.963889444650762</v>
      </c>
    </row>
    <row r="506" spans="1:8" x14ac:dyDescent="0.25">
      <c r="A506" s="13">
        <v>40998</v>
      </c>
      <c r="B506">
        <v>319.42327710000001</v>
      </c>
      <c r="C506" s="12">
        <v>-1.1057761438045599E-2</v>
      </c>
      <c r="D506" s="12">
        <f t="shared" si="35"/>
        <v>-1.3480808074328444E-4</v>
      </c>
      <c r="E506" s="11">
        <f t="shared" si="36"/>
        <v>-1.0922953357302315E-2</v>
      </c>
      <c r="F506">
        <f t="shared" si="39"/>
        <v>1.5354518176589517E-2</v>
      </c>
      <c r="G506">
        <f t="shared" si="37"/>
        <v>-0.71138366125718944</v>
      </c>
      <c r="H506">
        <f t="shared" si="38"/>
        <v>3.0043736145512798</v>
      </c>
    </row>
    <row r="507" spans="1:8" x14ac:dyDescent="0.25">
      <c r="A507" s="13">
        <v>41001</v>
      </c>
      <c r="B507">
        <v>322.25265839999997</v>
      </c>
      <c r="C507" s="12">
        <v>8.8577805778198293E-3</v>
      </c>
      <c r="D507" s="12">
        <f t="shared" si="35"/>
        <v>-1.9605030097002461E-4</v>
      </c>
      <c r="E507" s="11">
        <f t="shared" si="36"/>
        <v>9.0538308787898539E-3</v>
      </c>
      <c r="F507">
        <f t="shared" si="39"/>
        <v>1.5285725370154412E-2</v>
      </c>
      <c r="G507">
        <f t="shared" si="37"/>
        <v>0.59230626349388582</v>
      </c>
      <c r="H507">
        <f t="shared" si="38"/>
        <v>3.0864839803338011</v>
      </c>
    </row>
    <row r="508" spans="1:8" x14ac:dyDescent="0.25">
      <c r="A508" s="13">
        <v>41002</v>
      </c>
      <c r="B508">
        <v>320.11068710000001</v>
      </c>
      <c r="C508" s="12">
        <v>-6.6468692939104512E-3</v>
      </c>
      <c r="D508" s="12">
        <f t="shared" si="35"/>
        <v>1.0555292149453126E-4</v>
      </c>
      <c r="E508" s="11">
        <f t="shared" si="36"/>
        <v>-6.7524222154049822E-3</v>
      </c>
      <c r="F508">
        <f t="shared" si="39"/>
        <v>1.4964537051248299E-2</v>
      </c>
      <c r="G508">
        <f t="shared" si="37"/>
        <v>-0.45122827336925297</v>
      </c>
      <c r="H508">
        <f t="shared" si="38"/>
        <v>3.1813300630402042</v>
      </c>
    </row>
    <row r="509" spans="1:8" x14ac:dyDescent="0.25">
      <c r="A509" s="13">
        <v>41003</v>
      </c>
      <c r="B509">
        <v>316.38964149999998</v>
      </c>
      <c r="C509" s="12">
        <v>-1.162424670575779E-2</v>
      </c>
      <c r="D509" s="12">
        <f t="shared" si="35"/>
        <v>-7.7767494997529933E-5</v>
      </c>
      <c r="E509" s="11">
        <f t="shared" si="36"/>
        <v>-1.154647921076026E-2</v>
      </c>
      <c r="F509">
        <f t="shared" si="39"/>
        <v>1.4628100172275643E-2</v>
      </c>
      <c r="G509">
        <f t="shared" si="37"/>
        <v>-0.78933553057314165</v>
      </c>
      <c r="H509">
        <f t="shared" si="38"/>
        <v>2.9943471076195305</v>
      </c>
    </row>
    <row r="510" spans="1:8" x14ac:dyDescent="0.25">
      <c r="A510" s="13">
        <v>41004</v>
      </c>
      <c r="B510">
        <v>314.97991000000002</v>
      </c>
      <c r="C510" s="12">
        <v>-4.4556815871608091E-3</v>
      </c>
      <c r="D510" s="12">
        <f t="shared" si="35"/>
        <v>-1.928952112829453E-4</v>
      </c>
      <c r="E510" s="11">
        <f t="shared" si="36"/>
        <v>-4.2627863758778637E-3</v>
      </c>
      <c r="F510">
        <f t="shared" si="39"/>
        <v>1.5450833600340387E-2</v>
      </c>
      <c r="G510">
        <f t="shared" si="37"/>
        <v>-0.27589361753167502</v>
      </c>
      <c r="H510">
        <f t="shared" si="38"/>
        <v>3.213095145077268</v>
      </c>
    </row>
    <row r="511" spans="1:8" x14ac:dyDescent="0.25">
      <c r="A511" s="13">
        <v>41008</v>
      </c>
      <c r="B511">
        <v>314.24269570000001</v>
      </c>
      <c r="C511" s="12">
        <v>-2.34051212980535E-3</v>
      </c>
      <c r="D511" s="12">
        <f t="shared" si="35"/>
        <v>-9.7264712597348461E-5</v>
      </c>
      <c r="E511" s="11">
        <f t="shared" si="36"/>
        <v>-2.2432474172080015E-3</v>
      </c>
      <c r="F511">
        <f t="shared" si="39"/>
        <v>1.4408006739223107E-2</v>
      </c>
      <c r="G511">
        <f t="shared" si="37"/>
        <v>-0.15569450082926317</v>
      </c>
      <c r="H511">
        <f t="shared" si="38"/>
        <v>3.3089122813679337</v>
      </c>
    </row>
    <row r="512" spans="1:8" x14ac:dyDescent="0.25">
      <c r="A512" s="13">
        <v>41009</v>
      </c>
      <c r="B512">
        <v>312.26011790000001</v>
      </c>
      <c r="C512" s="12">
        <v>-6.3090656588967731E-3</v>
      </c>
      <c r="D512" s="12">
        <f t="shared" si="35"/>
        <v>-4.6850457427735488E-5</v>
      </c>
      <c r="E512" s="11">
        <f t="shared" si="36"/>
        <v>-6.2622152014690374E-3</v>
      </c>
      <c r="F512">
        <f t="shared" si="39"/>
        <v>1.4192171906204819E-2</v>
      </c>
      <c r="G512">
        <f t="shared" si="37"/>
        <v>-0.44124431713874579</v>
      </c>
      <c r="H512">
        <f t="shared" si="38"/>
        <v>3.238777933685054</v>
      </c>
    </row>
    <row r="513" spans="1:8" x14ac:dyDescent="0.25">
      <c r="A513" s="13">
        <v>41010</v>
      </c>
      <c r="B513">
        <v>316.79311510000002</v>
      </c>
      <c r="C513" s="12">
        <v>1.4516734415157329E-2</v>
      </c>
      <c r="D513" s="12">
        <f t="shared" si="35"/>
        <v>-1.0143761383794109E-4</v>
      </c>
      <c r="E513" s="11">
        <f t="shared" si="36"/>
        <v>1.461817202899527E-2</v>
      </c>
      <c r="F513">
        <f t="shared" si="39"/>
        <v>1.4535131243683176E-2</v>
      </c>
      <c r="G513">
        <f t="shared" si="37"/>
        <v>1.0057131087377131</v>
      </c>
      <c r="H513">
        <f t="shared" si="38"/>
        <v>2.8065187537707863</v>
      </c>
    </row>
    <row r="514" spans="1:8" x14ac:dyDescent="0.25">
      <c r="A514" s="13">
        <v>41011</v>
      </c>
      <c r="B514">
        <v>324.29004579999997</v>
      </c>
      <c r="C514" s="12">
        <v>2.366506828165571E-2</v>
      </c>
      <c r="D514" s="12">
        <f t="shared" si="35"/>
        <v>2.0334676800674606E-4</v>
      </c>
      <c r="E514" s="11">
        <f t="shared" si="36"/>
        <v>2.3461721513648965E-2</v>
      </c>
      <c r="F514">
        <f t="shared" si="39"/>
        <v>1.6194748550452883E-2</v>
      </c>
      <c r="G514">
        <f t="shared" si="37"/>
        <v>1.448724037953208</v>
      </c>
      <c r="H514">
        <f t="shared" si="38"/>
        <v>2.1547290505720547</v>
      </c>
    </row>
    <row r="515" spans="1:8" x14ac:dyDescent="0.25">
      <c r="A515" s="13">
        <v>41012</v>
      </c>
      <c r="B515">
        <v>311.13432269999998</v>
      </c>
      <c r="C515" s="12">
        <v>-4.0567767251522557E-2</v>
      </c>
      <c r="D515" s="12">
        <f t="shared" si="35"/>
        <v>3.9523404589361942E-4</v>
      </c>
      <c r="E515" s="11">
        <f t="shared" si="36"/>
        <v>-4.0963001297416174E-2</v>
      </c>
      <c r="F515">
        <f t="shared" si="39"/>
        <v>1.8270402359198325E-2</v>
      </c>
      <c r="G515">
        <f t="shared" si="37"/>
        <v>-2.2420415539887193</v>
      </c>
      <c r="H515">
        <f t="shared" si="38"/>
        <v>0.57015918777934793</v>
      </c>
    </row>
    <row r="516" spans="1:8" x14ac:dyDescent="0.25">
      <c r="A516" s="13">
        <v>41015</v>
      </c>
      <c r="B516">
        <v>301.90389909999999</v>
      </c>
      <c r="C516" s="12">
        <v>-2.9667005298223192E-2</v>
      </c>
      <c r="D516" s="12">
        <f t="shared" si="35"/>
        <v>-5.5275573759003109E-4</v>
      </c>
      <c r="E516" s="11">
        <f t="shared" si="36"/>
        <v>-2.911424956063316E-2</v>
      </c>
      <c r="F516">
        <f t="shared" si="39"/>
        <v>2.2806039721589254E-2</v>
      </c>
      <c r="G516">
        <f t="shared" si="37"/>
        <v>-1.2766025980859914</v>
      </c>
      <c r="H516">
        <f t="shared" si="38"/>
        <v>2.0469342481072421</v>
      </c>
    </row>
    <row r="517" spans="1:8" x14ac:dyDescent="0.25">
      <c r="A517" s="13">
        <v>41016</v>
      </c>
      <c r="B517">
        <v>303.64737109999999</v>
      </c>
      <c r="C517" s="12">
        <v>5.7749237595057235E-3</v>
      </c>
      <c r="D517" s="12">
        <f t="shared" si="35"/>
        <v>-5.5296179251924395E-4</v>
      </c>
      <c r="E517" s="11">
        <f t="shared" si="36"/>
        <v>6.3278855520249675E-3</v>
      </c>
      <c r="F517">
        <f t="shared" si="39"/>
        <v>1.8161845777952032E-2</v>
      </c>
      <c r="G517">
        <f t="shared" si="37"/>
        <v>0.34841643461739125</v>
      </c>
      <c r="H517">
        <f t="shared" si="38"/>
        <v>3.0287967320584719</v>
      </c>
    </row>
    <row r="518" spans="1:8" x14ac:dyDescent="0.25">
      <c r="A518" s="13">
        <v>41017</v>
      </c>
      <c r="B518">
        <v>302.59133939999998</v>
      </c>
      <c r="C518" s="12">
        <v>-3.4778226341114493E-3</v>
      </c>
      <c r="D518" s="12">
        <f t="shared" ref="D518:D581" si="40">+C517*$K$11+C516*$K$10</f>
        <v>1.1100495842747353E-5</v>
      </c>
      <c r="E518" s="11">
        <f t="shared" ref="E518:E581" si="41">C518-D518</f>
        <v>-3.4889231299541968E-3</v>
      </c>
      <c r="F518">
        <f t="shared" si="39"/>
        <v>1.4802931137208201E-2</v>
      </c>
      <c r="G518">
        <f t="shared" ref="G518:G581" si="42">E518/F518</f>
        <v>-0.23569137068972407</v>
      </c>
      <c r="H518">
        <f t="shared" ref="H518:H581" si="43">1/2*(-LN(PI()*2)-2*LN(F518)-(E518/F518)^2)</f>
        <v>3.2662163236965043</v>
      </c>
    </row>
    <row r="519" spans="1:8" x14ac:dyDescent="0.25">
      <c r="A519" s="13">
        <v>41018</v>
      </c>
      <c r="B519">
        <v>298.53154849999999</v>
      </c>
      <c r="C519" s="12">
        <v>-1.3416745198491231E-2</v>
      </c>
      <c r="D519" s="12">
        <f t="shared" si="40"/>
        <v>-3.775954841732112E-5</v>
      </c>
      <c r="E519" s="11">
        <f t="shared" si="41"/>
        <v>-1.3378985650073911E-2</v>
      </c>
      <c r="F519">
        <f t="shared" ref="F519:F582" si="44">SQRT($K$6+$K$7*G518^2+$K$8*F518^2)</f>
        <v>1.4298448562459126E-2</v>
      </c>
      <c r="G519">
        <f t="shared" si="42"/>
        <v>-0.93569491764307322</v>
      </c>
      <c r="H519">
        <f t="shared" si="43"/>
        <v>2.8909032170814868</v>
      </c>
    </row>
    <row r="520" spans="1:8" x14ac:dyDescent="0.25">
      <c r="A520" s="13">
        <v>41019</v>
      </c>
      <c r="B520">
        <v>296.91759300000001</v>
      </c>
      <c r="C520" s="12">
        <v>-5.4063147031174763E-3</v>
      </c>
      <c r="D520" s="12">
        <f t="shared" si="40"/>
        <v>-2.118618093336404E-4</v>
      </c>
      <c r="E520" s="11">
        <f t="shared" si="41"/>
        <v>-5.1944528937838356E-3</v>
      </c>
      <c r="F520">
        <f t="shared" si="44"/>
        <v>1.5914881990375721E-2</v>
      </c>
      <c r="G520">
        <f t="shared" si="42"/>
        <v>-0.3263896582409534</v>
      </c>
      <c r="H520">
        <f t="shared" si="43"/>
        <v>3.1682969955612479</v>
      </c>
    </row>
    <row r="521" spans="1:8" x14ac:dyDescent="0.25">
      <c r="A521" s="13">
        <v>41022</v>
      </c>
      <c r="B521">
        <v>297.68471460000001</v>
      </c>
      <c r="C521" s="12">
        <v>2.583617872720545E-3</v>
      </c>
      <c r="D521" s="12">
        <f t="shared" si="40"/>
        <v>-1.1624939852674634E-4</v>
      </c>
      <c r="E521" s="11">
        <f t="shared" si="41"/>
        <v>2.6998672712472914E-3</v>
      </c>
      <c r="F521">
        <f t="shared" si="44"/>
        <v>1.4520808354617313E-2</v>
      </c>
      <c r="G521">
        <f t="shared" si="42"/>
        <v>0.18593092101437936</v>
      </c>
      <c r="H521">
        <f t="shared" si="43"/>
        <v>3.2959489124302044</v>
      </c>
    </row>
    <row r="522" spans="1:8" x14ac:dyDescent="0.25">
      <c r="A522" s="13">
        <v>41023</v>
      </c>
      <c r="B522">
        <v>299.5128732</v>
      </c>
      <c r="C522" s="12">
        <v>6.1412578823756281E-3</v>
      </c>
      <c r="D522" s="12">
        <f t="shared" si="40"/>
        <v>2.5182306988864251E-5</v>
      </c>
      <c r="E522" s="11">
        <f t="shared" si="41"/>
        <v>6.1160755753867637E-3</v>
      </c>
      <c r="F522">
        <f t="shared" si="44"/>
        <v>1.4225487966044469E-2</v>
      </c>
      <c r="G522">
        <f t="shared" si="42"/>
        <v>0.42993784044424566</v>
      </c>
      <c r="H522">
        <f t="shared" si="43"/>
        <v>3.2413581896178711</v>
      </c>
    </row>
    <row r="523" spans="1:8" x14ac:dyDescent="0.25">
      <c r="A523" s="13">
        <v>41024</v>
      </c>
      <c r="B523">
        <v>303.72210899999999</v>
      </c>
      <c r="C523" s="12">
        <v>1.4053605626457522E-2</v>
      </c>
      <c r="D523" s="12">
        <f t="shared" si="40"/>
        <v>9.952435055891087E-5</v>
      </c>
      <c r="E523" s="11">
        <f t="shared" si="41"/>
        <v>1.3954081275898611E-2</v>
      </c>
      <c r="F523">
        <f t="shared" si="44"/>
        <v>1.4517487587333828E-2</v>
      </c>
      <c r="G523">
        <f t="shared" si="42"/>
        <v>0.9611911973028463</v>
      </c>
      <c r="H523">
        <f t="shared" si="43"/>
        <v>2.8515185236415523</v>
      </c>
    </row>
    <row r="524" spans="1:8" x14ac:dyDescent="0.25">
      <c r="A524" s="13">
        <v>41025</v>
      </c>
      <c r="B524">
        <v>306.58637149999998</v>
      </c>
      <c r="C524" s="12">
        <v>9.4305367147309305E-3</v>
      </c>
      <c r="D524" s="12">
        <f t="shared" si="40"/>
        <v>2.2833906776576079E-4</v>
      </c>
      <c r="E524" s="11">
        <f t="shared" si="41"/>
        <v>9.2021976469651694E-3</v>
      </c>
      <c r="F524">
        <f t="shared" si="44"/>
        <v>1.6026669616465372E-2</v>
      </c>
      <c r="G524">
        <f t="shared" si="42"/>
        <v>0.57418027994481635</v>
      </c>
      <c r="H524">
        <f t="shared" si="43"/>
        <v>3.0497210632242258</v>
      </c>
    </row>
    <row r="525" spans="1:8" x14ac:dyDescent="0.25">
      <c r="A525" s="13">
        <v>41026</v>
      </c>
      <c r="B525">
        <v>306.34229190000002</v>
      </c>
      <c r="C525" s="12">
        <v>-7.9612018892349923E-4</v>
      </c>
      <c r="D525" s="12">
        <f t="shared" si="40"/>
        <v>1.7875115996150145E-4</v>
      </c>
      <c r="E525" s="11">
        <f t="shared" si="41"/>
        <v>-9.7487134888500073E-4</v>
      </c>
      <c r="F525">
        <f t="shared" si="44"/>
        <v>1.4995744890310546E-2</v>
      </c>
      <c r="G525">
        <f t="shared" si="42"/>
        <v>-6.5009864866060155E-2</v>
      </c>
      <c r="H525">
        <f t="shared" si="43"/>
        <v>3.2789371176326734</v>
      </c>
    </row>
    <row r="526" spans="1:8" x14ac:dyDescent="0.25">
      <c r="A526" s="13">
        <v>41029</v>
      </c>
      <c r="B526">
        <v>301.29620139999997</v>
      </c>
      <c r="C526" s="12">
        <v>-1.6472066160709065E-2</v>
      </c>
      <c r="D526" s="12">
        <f t="shared" si="40"/>
        <v>1.2195148232159094E-5</v>
      </c>
      <c r="E526" s="11">
        <f t="shared" si="41"/>
        <v>-1.6484261308941223E-2</v>
      </c>
      <c r="F526">
        <f t="shared" si="44"/>
        <v>1.420749214782225E-2</v>
      </c>
      <c r="G526">
        <f t="shared" si="42"/>
        <v>-1.1602513052571324</v>
      </c>
      <c r="H526">
        <f t="shared" si="43"/>
        <v>2.661955758591394</v>
      </c>
    </row>
    <row r="527" spans="1:8" x14ac:dyDescent="0.25">
      <c r="A527" s="13">
        <v>41030</v>
      </c>
      <c r="B527">
        <v>301.08697260000002</v>
      </c>
      <c r="C527" s="12">
        <v>-6.9442893414439766E-4</v>
      </c>
      <c r="D527" s="12">
        <f t="shared" si="40"/>
        <v>-2.5118064689751374E-4</v>
      </c>
      <c r="E527" s="11">
        <f t="shared" si="41"/>
        <v>-4.4324828724688392E-4</v>
      </c>
      <c r="F527">
        <f t="shared" si="44"/>
        <v>1.6789189640561804E-2</v>
      </c>
      <c r="G527">
        <f t="shared" si="42"/>
        <v>-2.6400814853864016E-2</v>
      </c>
      <c r="H527">
        <f t="shared" si="43"/>
        <v>3.1677330387499656</v>
      </c>
    </row>
    <row r="528" spans="1:8" x14ac:dyDescent="0.25">
      <c r="A528" s="13">
        <v>41031</v>
      </c>
      <c r="B528">
        <v>302.49670409999999</v>
      </c>
      <c r="C528" s="12">
        <v>4.6821404719918913E-3</v>
      </c>
      <c r="D528" s="12">
        <f t="shared" si="40"/>
        <v>-5.2835746074178489E-5</v>
      </c>
      <c r="E528" s="11">
        <f t="shared" si="41"/>
        <v>4.7349762180660697E-3</v>
      </c>
      <c r="F528">
        <f t="shared" si="44"/>
        <v>1.4391575881103066E-2</v>
      </c>
      <c r="G528">
        <f t="shared" si="42"/>
        <v>0.32901026664379091</v>
      </c>
      <c r="H528">
        <f t="shared" si="43"/>
        <v>3.2680498408578278</v>
      </c>
    </row>
    <row r="529" spans="1:8" x14ac:dyDescent="0.25">
      <c r="A529" s="13">
        <v>41032</v>
      </c>
      <c r="B529">
        <v>304.36966230000002</v>
      </c>
      <c r="C529" s="12">
        <v>6.1916648168862665E-3</v>
      </c>
      <c r="D529" s="12">
        <f t="shared" si="40"/>
        <v>6.9031188855128066E-5</v>
      </c>
      <c r="E529" s="11">
        <f t="shared" si="41"/>
        <v>6.1226336280311381E-3</v>
      </c>
      <c r="F529">
        <f t="shared" si="44"/>
        <v>1.4370815335516214E-2</v>
      </c>
      <c r="G529">
        <f t="shared" si="42"/>
        <v>0.4260463644605873</v>
      </c>
      <c r="H529">
        <f t="shared" si="43"/>
        <v>3.2328595562334277</v>
      </c>
    </row>
    <row r="530" spans="1:8" x14ac:dyDescent="0.25">
      <c r="A530" s="13">
        <v>41033</v>
      </c>
      <c r="B530">
        <v>297.37090189999998</v>
      </c>
      <c r="C530" s="12">
        <v>-2.2994277245350969E-2</v>
      </c>
      <c r="D530" s="12">
        <f t="shared" si="40"/>
        <v>1.0567988152680637E-4</v>
      </c>
      <c r="E530" s="11">
        <f t="shared" si="41"/>
        <v>-2.3099957126877776E-2</v>
      </c>
      <c r="F530">
        <f t="shared" si="44"/>
        <v>1.4524217387384344E-2</v>
      </c>
      <c r="G530">
        <f t="shared" si="42"/>
        <v>-1.5904441878529216</v>
      </c>
      <c r="H530">
        <f t="shared" si="43"/>
        <v>2.0482429675401397</v>
      </c>
    </row>
    <row r="531" spans="1:8" x14ac:dyDescent="0.25">
      <c r="A531" s="13">
        <v>41036</v>
      </c>
      <c r="B531">
        <v>302.64114369999999</v>
      </c>
      <c r="C531" s="12">
        <v>1.7722789171121578E-2</v>
      </c>
      <c r="D531" s="12">
        <f t="shared" si="40"/>
        <v>-3.3186856166467872E-4</v>
      </c>
      <c r="E531" s="11">
        <f t="shared" si="41"/>
        <v>1.8054657732786257E-2</v>
      </c>
      <c r="F531">
        <f t="shared" si="44"/>
        <v>1.8848561179829155E-2</v>
      </c>
      <c r="G531">
        <f t="shared" si="42"/>
        <v>0.95787989123050432</v>
      </c>
      <c r="H531">
        <f t="shared" si="43"/>
        <v>2.5936132217673831</v>
      </c>
    </row>
    <row r="532" spans="1:8" x14ac:dyDescent="0.25">
      <c r="A532" s="13">
        <v>41037</v>
      </c>
      <c r="B532">
        <v>305.25137790000002</v>
      </c>
      <c r="C532" s="12">
        <v>8.6248491136666772E-3</v>
      </c>
      <c r="D532" s="12">
        <f t="shared" si="40"/>
        <v>2.0895679101660145E-4</v>
      </c>
      <c r="E532" s="11">
        <f t="shared" si="41"/>
        <v>8.4158923226500763E-3</v>
      </c>
      <c r="F532">
        <f t="shared" si="44"/>
        <v>1.6442603937747009E-2</v>
      </c>
      <c r="G532">
        <f t="shared" si="42"/>
        <v>0.51183452174079647</v>
      </c>
      <c r="H532">
        <f t="shared" si="43"/>
        <v>3.0579536894951409</v>
      </c>
    </row>
    <row r="533" spans="1:8" x14ac:dyDescent="0.25">
      <c r="A533" s="13">
        <v>41038</v>
      </c>
      <c r="B533">
        <v>303.4381727</v>
      </c>
      <c r="C533" s="12">
        <v>-5.9400393618993519E-3</v>
      </c>
      <c r="D533" s="12">
        <f t="shared" si="40"/>
        <v>1.7599509291133365E-4</v>
      </c>
      <c r="E533" s="11">
        <f t="shared" si="41"/>
        <v>-6.1160344548106859E-3</v>
      </c>
      <c r="F533">
        <f t="shared" si="44"/>
        <v>1.4900388410596625E-2</v>
      </c>
      <c r="G533">
        <f t="shared" si="42"/>
        <v>-0.41046141122476915</v>
      </c>
      <c r="H533">
        <f t="shared" si="43"/>
        <v>3.2031901802882197</v>
      </c>
    </row>
    <row r="534" spans="1:8" x14ac:dyDescent="0.25">
      <c r="A534" s="13">
        <v>41039</v>
      </c>
      <c r="B534">
        <v>305.68475899999999</v>
      </c>
      <c r="C534" s="12">
        <v>7.4037695389799207E-3</v>
      </c>
      <c r="D534" s="12">
        <f t="shared" si="40"/>
        <v>-6.7675549401099774E-5</v>
      </c>
      <c r="E534" s="11">
        <f t="shared" si="41"/>
        <v>7.4714450883810206E-3</v>
      </c>
      <c r="F534">
        <f t="shared" si="44"/>
        <v>1.4548002879736973E-2</v>
      </c>
      <c r="G534">
        <f t="shared" si="42"/>
        <v>0.51357187307046392</v>
      </c>
      <c r="H534">
        <f t="shared" si="43"/>
        <v>3.1794849863009129</v>
      </c>
    </row>
    <row r="535" spans="1:8" x14ac:dyDescent="0.25">
      <c r="A535" s="13">
        <v>41040</v>
      </c>
      <c r="B535">
        <v>301.48547189999999</v>
      </c>
      <c r="C535" s="12">
        <v>-1.3737312628007037E-2</v>
      </c>
      <c r="D535" s="12">
        <f t="shared" si="40"/>
        <v>9.6713875598518706E-5</v>
      </c>
      <c r="E535" s="11">
        <f t="shared" si="41"/>
        <v>-1.3834026503605556E-2</v>
      </c>
      <c r="F535">
        <f t="shared" si="44"/>
        <v>1.4713442836230464E-2</v>
      </c>
      <c r="G535">
        <f t="shared" si="42"/>
        <v>-0.94023041769262672</v>
      </c>
      <c r="H535">
        <f t="shared" si="43"/>
        <v>2.8580385720412775</v>
      </c>
    </row>
    <row r="536" spans="1:8" x14ac:dyDescent="0.25">
      <c r="A536" s="13">
        <v>41043</v>
      </c>
      <c r="B536">
        <v>300.8727695</v>
      </c>
      <c r="C536" s="12">
        <v>-2.0322783586839144E-3</v>
      </c>
      <c r="D536" s="12">
        <f t="shared" si="40"/>
        <v>-1.8874490972234503E-4</v>
      </c>
      <c r="E536" s="11">
        <f t="shared" si="41"/>
        <v>-1.8435334489615694E-3</v>
      </c>
      <c r="F536">
        <f t="shared" si="44"/>
        <v>1.5967544445546468E-2</v>
      </c>
      <c r="G536">
        <f t="shared" si="42"/>
        <v>-0.11545503788942026</v>
      </c>
      <c r="H536">
        <f t="shared" si="43"/>
        <v>3.2115936229400672</v>
      </c>
    </row>
    <row r="537" spans="1:8" x14ac:dyDescent="0.25">
      <c r="A537" s="13">
        <v>41044</v>
      </c>
      <c r="B537">
        <v>304.41449269999998</v>
      </c>
      <c r="C537" s="12">
        <v>1.1771497985296975E-2</v>
      </c>
      <c r="D537" s="12">
        <f t="shared" si="40"/>
        <v>-6.6042045698476811E-5</v>
      </c>
      <c r="E537" s="11">
        <f t="shared" si="41"/>
        <v>1.1837540030995452E-2</v>
      </c>
      <c r="F537">
        <f t="shared" si="44"/>
        <v>1.4328427581267117E-2</v>
      </c>
      <c r="G537">
        <f t="shared" si="42"/>
        <v>0.82615764806403225</v>
      </c>
      <c r="H537">
        <f t="shared" si="43"/>
        <v>2.985303009381655</v>
      </c>
    </row>
    <row r="538" spans="1:8" x14ac:dyDescent="0.25">
      <c r="A538" s="13">
        <v>41045</v>
      </c>
      <c r="B538">
        <v>313.2912475</v>
      </c>
      <c r="C538" s="12">
        <v>2.9160092613422561E-2</v>
      </c>
      <c r="D538" s="12">
        <f t="shared" si="40"/>
        <v>1.7281718011847078E-4</v>
      </c>
      <c r="E538" s="11">
        <f t="shared" si="41"/>
        <v>2.898727543330409E-2</v>
      </c>
      <c r="F538">
        <f t="shared" si="44"/>
        <v>1.554153550248555E-2</v>
      </c>
      <c r="G538">
        <f t="shared" si="42"/>
        <v>1.8651487447085373</v>
      </c>
      <c r="H538">
        <f t="shared" si="43"/>
        <v>1.5059106760916467</v>
      </c>
    </row>
    <row r="539" spans="1:8" x14ac:dyDescent="0.25">
      <c r="A539" s="13">
        <v>41046</v>
      </c>
      <c r="B539">
        <v>310.36222670000001</v>
      </c>
      <c r="C539" s="12">
        <v>-9.3491944743844257E-3</v>
      </c>
      <c r="D539" s="12">
        <f t="shared" si="40"/>
        <v>4.7128932258523137E-4</v>
      </c>
      <c r="E539" s="11">
        <f t="shared" si="41"/>
        <v>-9.8204837969696566E-3</v>
      </c>
      <c r="F539">
        <f t="shared" si="44"/>
        <v>2.0405434879077672E-2</v>
      </c>
      <c r="G539">
        <f t="shared" si="42"/>
        <v>-0.48126804722201261</v>
      </c>
      <c r="H539">
        <f t="shared" si="43"/>
        <v>2.8572059981301314</v>
      </c>
    </row>
    <row r="540" spans="1:8" x14ac:dyDescent="0.25">
      <c r="A540" s="13">
        <v>41047</v>
      </c>
      <c r="B540">
        <v>299.07949209999998</v>
      </c>
      <c r="C540" s="12">
        <v>-3.6353440043159768E-2</v>
      </c>
      <c r="D540" s="12">
        <f t="shared" si="40"/>
        <v>-6.6462928371868125E-5</v>
      </c>
      <c r="E540" s="11">
        <f t="shared" si="41"/>
        <v>-3.6286977114787899E-2</v>
      </c>
      <c r="F540">
        <f t="shared" si="44"/>
        <v>1.5303633202376835E-2</v>
      </c>
      <c r="G540">
        <f t="shared" si="42"/>
        <v>-2.3711347909953897</v>
      </c>
      <c r="H540">
        <f t="shared" si="43"/>
        <v>0.44958638282722552</v>
      </c>
    </row>
    <row r="541" spans="1:8" x14ac:dyDescent="0.25">
      <c r="A541" s="13">
        <v>41050</v>
      </c>
      <c r="B541">
        <v>305.9089108</v>
      </c>
      <c r="C541" s="12">
        <v>2.2834794362017075E-2</v>
      </c>
      <c r="D541" s="12">
        <f t="shared" si="40"/>
        <v>-5.7386111181024243E-4</v>
      </c>
      <c r="E541" s="11">
        <f t="shared" si="41"/>
        <v>2.3408655473827318E-2</v>
      </c>
      <c r="F541">
        <f t="shared" si="44"/>
        <v>2.3388747229872442E-2</v>
      </c>
      <c r="G541">
        <f t="shared" si="42"/>
        <v>1.0008511889824288</v>
      </c>
      <c r="H541">
        <f t="shared" si="43"/>
        <v>2.3357101754458571</v>
      </c>
    </row>
    <row r="542" spans="1:8" x14ac:dyDescent="0.25">
      <c r="A542" s="13">
        <v>41051</v>
      </c>
      <c r="B542">
        <v>299.27874179999998</v>
      </c>
      <c r="C542" s="12">
        <v>-2.1673670710215975E-2</v>
      </c>
      <c r="D542" s="12">
        <f t="shared" si="40"/>
        <v>2.5194154354310705E-4</v>
      </c>
      <c r="E542" s="11">
        <f t="shared" si="41"/>
        <v>-2.1925612253759084E-2</v>
      </c>
      <c r="F542">
        <f t="shared" si="44"/>
        <v>1.7145121965730488E-2</v>
      </c>
      <c r="G542">
        <f t="shared" si="42"/>
        <v>-1.2788250965833778</v>
      </c>
      <c r="H542">
        <f t="shared" si="43"/>
        <v>2.329406232283751</v>
      </c>
    </row>
    <row r="543" spans="1:8" x14ac:dyDescent="0.25">
      <c r="A543" s="13">
        <v>41052</v>
      </c>
      <c r="B543">
        <v>303.5925919</v>
      </c>
      <c r="C543" s="12">
        <v>1.4414154757717013E-2</v>
      </c>
      <c r="D543" s="12">
        <f t="shared" si="40"/>
        <v>-2.69122455162703E-4</v>
      </c>
      <c r="E543" s="11">
        <f t="shared" si="41"/>
        <v>1.4683277212879715E-2</v>
      </c>
      <c r="F543">
        <f t="shared" si="44"/>
        <v>1.7562907049078289E-2</v>
      </c>
      <c r="G543">
        <f t="shared" si="42"/>
        <v>0.83603911196753167</v>
      </c>
      <c r="H543">
        <f t="shared" si="43"/>
        <v>2.7735469234106391</v>
      </c>
    </row>
    <row r="544" spans="1:8" x14ac:dyDescent="0.25">
      <c r="A544" s="13">
        <v>41053</v>
      </c>
      <c r="B544">
        <v>300.70339630000001</v>
      </c>
      <c r="C544" s="12">
        <v>-9.5166867607614503E-3</v>
      </c>
      <c r="D544" s="12">
        <f t="shared" si="40"/>
        <v>1.6230869273976031E-4</v>
      </c>
      <c r="E544" s="11">
        <f t="shared" si="41"/>
        <v>-9.6789954535012098E-3</v>
      </c>
      <c r="F544">
        <f t="shared" si="44"/>
        <v>1.5889108773330694E-2</v>
      </c>
      <c r="G544">
        <f t="shared" si="42"/>
        <v>-0.6091591159440648</v>
      </c>
      <c r="H544">
        <f t="shared" si="43"/>
        <v>3.0376454397997028</v>
      </c>
    </row>
    <row r="545" spans="1:8" x14ac:dyDescent="0.25">
      <c r="A545" s="13">
        <v>41054</v>
      </c>
      <c r="B545">
        <v>294.66105800000003</v>
      </c>
      <c r="C545" s="12">
        <v>-2.009401414931733E-2</v>
      </c>
      <c r="D545" s="12">
        <f t="shared" si="40"/>
        <v>-1.0689282920167461E-4</v>
      </c>
      <c r="E545" s="11">
        <f t="shared" si="41"/>
        <v>-1.9987121320115656E-2</v>
      </c>
      <c r="F545">
        <f t="shared" si="44"/>
        <v>1.5066081059629607E-2</v>
      </c>
      <c r="G545">
        <f t="shared" si="42"/>
        <v>-1.3266304117845382</v>
      </c>
      <c r="H545">
        <f t="shared" si="43"/>
        <v>2.3963966913506498</v>
      </c>
    </row>
    <row r="546" spans="1:8" x14ac:dyDescent="0.25">
      <c r="A546" s="13">
        <v>41058</v>
      </c>
      <c r="B546">
        <v>296.06081039999998</v>
      </c>
      <c r="C546" s="12">
        <v>4.75038136868422E-3</v>
      </c>
      <c r="D546" s="12">
        <f t="shared" si="40"/>
        <v>-3.2837303599720193E-4</v>
      </c>
      <c r="E546" s="11">
        <f t="shared" si="41"/>
        <v>5.0787544046814216E-3</v>
      </c>
      <c r="F546">
        <f t="shared" si="44"/>
        <v>1.759686626402255E-2</v>
      </c>
      <c r="G546">
        <f t="shared" si="42"/>
        <v>0.28861698034638844</v>
      </c>
      <c r="H546">
        <f t="shared" si="43"/>
        <v>3.0794460320951109</v>
      </c>
    </row>
    <row r="547" spans="1:8" x14ac:dyDescent="0.25">
      <c r="A547" s="13">
        <v>41059</v>
      </c>
      <c r="B547">
        <v>293.01719559999998</v>
      </c>
      <c r="C547" s="12">
        <v>-1.0280370427574792E-2</v>
      </c>
      <c r="D547" s="12">
        <f t="shared" si="40"/>
        <v>2.0206936377637927E-5</v>
      </c>
      <c r="E547" s="11">
        <f t="shared" si="41"/>
        <v>-1.0300577363952431E-2</v>
      </c>
      <c r="F547">
        <f t="shared" si="44"/>
        <v>1.4657755876679102E-2</v>
      </c>
      <c r="G547">
        <f t="shared" si="42"/>
        <v>-0.70273904481796812</v>
      </c>
      <c r="H547">
        <f t="shared" si="43"/>
        <v>3.0569260564699023</v>
      </c>
    </row>
    <row r="548" spans="1:8" x14ac:dyDescent="0.25">
      <c r="A548" s="13">
        <v>41060</v>
      </c>
      <c r="B548">
        <v>289.34595530000001</v>
      </c>
      <c r="C548" s="12">
        <v>-1.2529095067211005E-2</v>
      </c>
      <c r="D548" s="12">
        <f t="shared" si="40"/>
        <v>-1.4327891474109799E-4</v>
      </c>
      <c r="E548" s="11">
        <f t="shared" si="41"/>
        <v>-1.2385816152469907E-2</v>
      </c>
      <c r="F548">
        <f t="shared" si="44"/>
        <v>1.5195185296455867E-2</v>
      </c>
      <c r="G548">
        <f t="shared" si="42"/>
        <v>-0.81511451889690234</v>
      </c>
      <c r="H548">
        <f t="shared" si="43"/>
        <v>2.9356322854571184</v>
      </c>
    </row>
    <row r="549" spans="1:8" x14ac:dyDescent="0.25">
      <c r="A549" s="13">
        <v>41061</v>
      </c>
      <c r="B549">
        <v>284.42440749999997</v>
      </c>
      <c r="C549" s="12">
        <v>-1.7009215818818979E-2</v>
      </c>
      <c r="D549" s="12">
        <f t="shared" si="40"/>
        <v>-2.1591874132576065E-4</v>
      </c>
      <c r="E549" s="11">
        <f t="shared" si="41"/>
        <v>-1.6793297077493219E-2</v>
      </c>
      <c r="F549">
        <f t="shared" si="44"/>
        <v>1.5584897608820385E-2</v>
      </c>
      <c r="G549">
        <f t="shared" si="42"/>
        <v>-1.0775365677082749</v>
      </c>
      <c r="H549">
        <f t="shared" si="43"/>
        <v>2.6619718750598027</v>
      </c>
    </row>
    <row r="550" spans="1:8" x14ac:dyDescent="0.25">
      <c r="A550" s="13">
        <v>41064</v>
      </c>
      <c r="B550">
        <v>288.21518520000001</v>
      </c>
      <c r="C550" s="12">
        <v>1.3327891700011918E-2</v>
      </c>
      <c r="D550" s="12">
        <f t="shared" si="40"/>
        <v>-2.8945826734366986E-4</v>
      </c>
      <c r="E550" s="11">
        <f t="shared" si="41"/>
        <v>1.3617349967355587E-2</v>
      </c>
      <c r="F550">
        <f t="shared" si="44"/>
        <v>1.6567418156999913E-2</v>
      </c>
      <c r="G550">
        <f t="shared" si="42"/>
        <v>0.82193555074857028</v>
      </c>
      <c r="H550">
        <f t="shared" si="43"/>
        <v>2.8435897159900874</v>
      </c>
    </row>
    <row r="551" spans="1:8" x14ac:dyDescent="0.25">
      <c r="A551" s="13">
        <v>41065</v>
      </c>
      <c r="B551">
        <v>284.1404713</v>
      </c>
      <c r="C551" s="12">
        <v>-1.4137748839196163E-2</v>
      </c>
      <c r="D551" s="12">
        <f t="shared" si="40"/>
        <v>1.5786683182396341E-4</v>
      </c>
      <c r="E551" s="11">
        <f t="shared" si="41"/>
        <v>-1.4295615671020126E-2</v>
      </c>
      <c r="F551">
        <f t="shared" si="44"/>
        <v>1.5740521871594804E-2</v>
      </c>
      <c r="G551">
        <f t="shared" si="42"/>
        <v>-0.90820468264256593</v>
      </c>
      <c r="H551">
        <f t="shared" si="43"/>
        <v>2.8201604747951996</v>
      </c>
    </row>
    <row r="552" spans="1:8" x14ac:dyDescent="0.25">
      <c r="A552" s="13">
        <v>41066</v>
      </c>
      <c r="B552">
        <v>289.2014848</v>
      </c>
      <c r="C552" s="12">
        <v>1.7811660116015204E-2</v>
      </c>
      <c r="D552" s="12">
        <f t="shared" si="40"/>
        <v>-1.7957655422912053E-4</v>
      </c>
      <c r="E552" s="11">
        <f t="shared" si="41"/>
        <v>1.7991236670244326E-2</v>
      </c>
      <c r="F552">
        <f t="shared" si="44"/>
        <v>1.5948108035718569E-2</v>
      </c>
      <c r="G552">
        <f t="shared" si="42"/>
        <v>1.1281110354877089</v>
      </c>
      <c r="H552">
        <f t="shared" si="43"/>
        <v>2.583159287838007</v>
      </c>
    </row>
    <row r="553" spans="1:8" x14ac:dyDescent="0.25">
      <c r="A553" s="13">
        <v>41067</v>
      </c>
      <c r="B553">
        <v>288.03586389999998</v>
      </c>
      <c r="C553" s="12">
        <v>-4.0304803442006154E-3</v>
      </c>
      <c r="D553" s="12">
        <f t="shared" si="40"/>
        <v>2.3306195741091938E-4</v>
      </c>
      <c r="E553" s="11">
        <f t="shared" si="41"/>
        <v>-4.2635423016115347E-3</v>
      </c>
      <c r="F553">
        <f t="shared" si="44"/>
        <v>1.6805251608824429E-2</v>
      </c>
      <c r="G553">
        <f t="shared" si="42"/>
        <v>-0.2537029733831983</v>
      </c>
      <c r="H553">
        <f t="shared" si="43"/>
        <v>3.1349427131010308</v>
      </c>
    </row>
    <row r="554" spans="1:8" x14ac:dyDescent="0.25">
      <c r="A554" s="13">
        <v>41068</v>
      </c>
      <c r="B554">
        <v>289.1417313</v>
      </c>
      <c r="C554" s="12">
        <v>3.8393392580584607E-3</v>
      </c>
      <c r="D554" s="12">
        <f t="shared" si="40"/>
        <v>-1.518425158582211E-5</v>
      </c>
      <c r="E554" s="11">
        <f t="shared" si="41"/>
        <v>3.8545235096442828E-3</v>
      </c>
      <c r="F554">
        <f t="shared" si="44"/>
        <v>1.4528283814858864E-2</v>
      </c>
      <c r="G554">
        <f t="shared" si="42"/>
        <v>0.26531168848051084</v>
      </c>
      <c r="H554">
        <f t="shared" si="43"/>
        <v>3.2775242423727522</v>
      </c>
    </row>
    <row r="555" spans="1:8" x14ac:dyDescent="0.25">
      <c r="A555" s="13">
        <v>41071</v>
      </c>
      <c r="B555">
        <v>283.18902300000002</v>
      </c>
      <c r="C555" s="12">
        <v>-2.0587510053412972E-2</v>
      </c>
      <c r="D555" s="12">
        <f t="shared" si="40"/>
        <v>4.7710538930396873E-5</v>
      </c>
      <c r="E555" s="11">
        <f t="shared" si="41"/>
        <v>-2.0635220592343368E-2</v>
      </c>
      <c r="F555">
        <f t="shared" si="44"/>
        <v>1.4303163825811307E-2</v>
      </c>
      <c r="G555">
        <f t="shared" si="42"/>
        <v>-1.4427032259188217</v>
      </c>
      <c r="H555">
        <f t="shared" si="43"/>
        <v>2.2876396873844946</v>
      </c>
    </row>
    <row r="556" spans="1:8" x14ac:dyDescent="0.25">
      <c r="A556" s="13">
        <v>41072</v>
      </c>
      <c r="B556">
        <v>281.49535580000003</v>
      </c>
      <c r="C556" s="12">
        <v>-5.9806950921257318E-3</v>
      </c>
      <c r="D556" s="12">
        <f t="shared" si="40"/>
        <v>-3.0151239976275728E-4</v>
      </c>
      <c r="E556" s="11">
        <f t="shared" si="41"/>
        <v>-5.6791826923629747E-3</v>
      </c>
      <c r="F556">
        <f t="shared" si="44"/>
        <v>1.8088505023416464E-2</v>
      </c>
      <c r="G556">
        <f t="shared" si="42"/>
        <v>-0.31396639385128799</v>
      </c>
      <c r="H556">
        <f t="shared" si="43"/>
        <v>3.0442526426006231</v>
      </c>
    </row>
    <row r="557" spans="1:8" x14ac:dyDescent="0.25">
      <c r="A557" s="13">
        <v>41073</v>
      </c>
      <c r="B557">
        <v>279.49785489999999</v>
      </c>
      <c r="C557" s="12">
        <v>-7.0960350103226322E-3</v>
      </c>
      <c r="D557" s="12">
        <f t="shared" si="40"/>
        <v>-1.4336537363836483E-4</v>
      </c>
      <c r="E557" s="11">
        <f t="shared" si="41"/>
        <v>-6.9526696366842677E-3</v>
      </c>
      <c r="F557">
        <f t="shared" si="44"/>
        <v>1.4746957432984351E-2</v>
      </c>
      <c r="G557">
        <f t="shared" si="42"/>
        <v>-0.4714646847174937</v>
      </c>
      <c r="H557">
        <f t="shared" si="43"/>
        <v>3.1866404855313917</v>
      </c>
    </row>
    <row r="558" spans="1:8" x14ac:dyDescent="0.25">
      <c r="A558" s="13">
        <v>41074</v>
      </c>
      <c r="B558">
        <v>278.48164789999998</v>
      </c>
      <c r="C558" s="12">
        <v>-3.6358311242267183E-3</v>
      </c>
      <c r="D558" s="12">
        <f t="shared" si="40"/>
        <v>-1.2269543431626969E-4</v>
      </c>
      <c r="E558" s="11">
        <f t="shared" si="41"/>
        <v>-3.5131356899104488E-3</v>
      </c>
      <c r="F558">
        <f t="shared" si="44"/>
        <v>1.4645955143125717E-2</v>
      </c>
      <c r="G558">
        <f t="shared" si="42"/>
        <v>-0.23987071212350314</v>
      </c>
      <c r="H558">
        <f t="shared" si="43"/>
        <v>3.2758835686148822</v>
      </c>
    </row>
    <row r="559" spans="1:8" x14ac:dyDescent="0.25">
      <c r="A559" s="13">
        <v>41075</v>
      </c>
      <c r="B559">
        <v>281.2014709</v>
      </c>
      <c r="C559" s="12">
        <v>9.7666148577828515E-3</v>
      </c>
      <c r="D559" s="12">
        <f t="shared" si="40"/>
        <v>-7.3227367804231742E-5</v>
      </c>
      <c r="E559" s="11">
        <f t="shared" si="41"/>
        <v>9.8398422255870834E-3</v>
      </c>
      <c r="F559">
        <f t="shared" si="44"/>
        <v>1.4287160609812395E-2</v>
      </c>
      <c r="G559">
        <f t="shared" si="42"/>
        <v>0.68871922800595509</v>
      </c>
      <c r="H559">
        <f t="shared" si="43"/>
        <v>3.092288383769954</v>
      </c>
    </row>
    <row r="560" spans="1:8" x14ac:dyDescent="0.25">
      <c r="A560" s="13">
        <v>41078</v>
      </c>
      <c r="B560">
        <v>284.35964869999998</v>
      </c>
      <c r="C560" s="12">
        <v>1.1231014510315607E-2</v>
      </c>
      <c r="D560" s="12">
        <f t="shared" si="40"/>
        <v>1.383728908591476E-4</v>
      </c>
      <c r="E560" s="11">
        <f t="shared" si="41"/>
        <v>1.1092641619456459E-2</v>
      </c>
      <c r="F560">
        <f t="shared" si="44"/>
        <v>1.5121732799572966E-2</v>
      </c>
      <c r="G560">
        <f t="shared" si="42"/>
        <v>0.73355625089273579</v>
      </c>
      <c r="H560">
        <f t="shared" si="43"/>
        <v>3.0036313918342525</v>
      </c>
    </row>
    <row r="561" spans="1:8" x14ac:dyDescent="0.25">
      <c r="A561" s="13">
        <v>41079</v>
      </c>
      <c r="B561">
        <v>289.67969590000001</v>
      </c>
      <c r="C561" s="12">
        <v>1.8708868238941578E-2</v>
      </c>
      <c r="D561" s="12">
        <f t="shared" si="40"/>
        <v>1.9496535829258558E-4</v>
      </c>
      <c r="E561" s="11">
        <f t="shared" si="41"/>
        <v>1.8513902880648993E-2</v>
      </c>
      <c r="F561">
        <f t="shared" si="44"/>
        <v>1.5327577334624157E-2</v>
      </c>
      <c r="G561">
        <f t="shared" si="42"/>
        <v>1.2078818769895945</v>
      </c>
      <c r="H561">
        <f t="shared" si="43"/>
        <v>2.5296737852736122</v>
      </c>
    </row>
    <row r="562" spans="1:8" x14ac:dyDescent="0.25">
      <c r="A562" s="13">
        <v>41080</v>
      </c>
      <c r="B562">
        <v>287.67722070000002</v>
      </c>
      <c r="C562" s="12">
        <v>-6.9127219765214853E-3</v>
      </c>
      <c r="D562" s="12">
        <f t="shared" si="40"/>
        <v>3.1182892761628738E-4</v>
      </c>
      <c r="E562" s="11">
        <f t="shared" si="41"/>
        <v>-7.2245509041377731E-3</v>
      </c>
      <c r="F562">
        <f t="shared" si="44"/>
        <v>1.7087128327484862E-2</v>
      </c>
      <c r="G562">
        <f t="shared" si="42"/>
        <v>-0.42280661593188784</v>
      </c>
      <c r="H562">
        <f t="shared" si="43"/>
        <v>3.0611085778608245</v>
      </c>
    </row>
    <row r="563" spans="1:8" x14ac:dyDescent="0.25">
      <c r="A563" s="13">
        <v>41081</v>
      </c>
      <c r="B563">
        <v>281.55016540000003</v>
      </c>
      <c r="C563" s="12">
        <v>-2.1298367959378672E-2</v>
      </c>
      <c r="D563" s="12">
        <f t="shared" si="40"/>
        <v>-5.6471419482102668E-5</v>
      </c>
      <c r="E563" s="11">
        <f t="shared" si="41"/>
        <v>-2.1241896539896568E-2</v>
      </c>
      <c r="F563">
        <f t="shared" si="44"/>
        <v>1.4798656037720528E-2</v>
      </c>
      <c r="G563">
        <f t="shared" si="42"/>
        <v>-1.4353936253233242</v>
      </c>
      <c r="H563">
        <f t="shared" si="43"/>
        <v>2.2641029475834236</v>
      </c>
    </row>
    <row r="564" spans="1:8" x14ac:dyDescent="0.25">
      <c r="A564" s="13">
        <v>41082</v>
      </c>
      <c r="B564">
        <v>284.67346199999997</v>
      </c>
      <c r="C564" s="12">
        <v>1.1093215291003933E-2</v>
      </c>
      <c r="D564" s="12">
        <f t="shared" si="40"/>
        <v>-3.3989638119631243E-4</v>
      </c>
      <c r="E564" s="11">
        <f t="shared" si="41"/>
        <v>1.1433111672200244E-2</v>
      </c>
      <c r="F564">
        <f t="shared" si="44"/>
        <v>1.8091191840534079E-2</v>
      </c>
      <c r="G564">
        <f t="shared" si="42"/>
        <v>0.63197116989185176</v>
      </c>
      <c r="H564">
        <f t="shared" si="43"/>
        <v>2.8936977848099863</v>
      </c>
    </row>
    <row r="565" spans="1:8" x14ac:dyDescent="0.25">
      <c r="A565" s="13">
        <v>41085</v>
      </c>
      <c r="B565">
        <v>279.30357959999998</v>
      </c>
      <c r="C565" s="12">
        <v>-1.886330521388746E-2</v>
      </c>
      <c r="D565" s="12">
        <f t="shared" si="40"/>
        <v>1.1304508110565384E-4</v>
      </c>
      <c r="E565" s="11">
        <f t="shared" si="41"/>
        <v>-1.8976350294993113E-2</v>
      </c>
      <c r="F565">
        <f t="shared" si="44"/>
        <v>1.535957035519415E-2</v>
      </c>
      <c r="G565">
        <f t="shared" si="42"/>
        <v>-1.2354740305985106</v>
      </c>
      <c r="H565">
        <f t="shared" si="43"/>
        <v>2.4938799499745352</v>
      </c>
    </row>
    <row r="566" spans="1:8" x14ac:dyDescent="0.25">
      <c r="A566" s="13">
        <v>41086</v>
      </c>
      <c r="B566">
        <v>281.28615739999998</v>
      </c>
      <c r="C566" s="12">
        <v>7.0982899783786912E-3</v>
      </c>
      <c r="D566" s="12">
        <f t="shared" si="40"/>
        <v>-2.5679211063925735E-4</v>
      </c>
      <c r="E566" s="11">
        <f t="shared" si="41"/>
        <v>7.3550820890179482E-3</v>
      </c>
      <c r="F566">
        <f t="shared" si="44"/>
        <v>1.7210340046894347E-2</v>
      </c>
      <c r="G566">
        <f t="shared" si="42"/>
        <v>0.4273641351058135</v>
      </c>
      <c r="H566">
        <f t="shared" si="43"/>
        <v>3.0519863250811756</v>
      </c>
    </row>
    <row r="567" spans="1:8" x14ac:dyDescent="0.25">
      <c r="A567" s="13">
        <v>41087</v>
      </c>
      <c r="B567">
        <v>283.58752229999999</v>
      </c>
      <c r="C567" s="12">
        <v>8.1815789346768586E-3</v>
      </c>
      <c r="D567" s="12">
        <f t="shared" si="40"/>
        <v>5.8881176563870127E-5</v>
      </c>
      <c r="E567" s="11">
        <f t="shared" si="41"/>
        <v>8.122697758112989E-3</v>
      </c>
      <c r="F567">
        <f t="shared" si="44"/>
        <v>1.4820390553566687E-2</v>
      </c>
      <c r="G567">
        <f t="shared" si="42"/>
        <v>0.54807582355906093</v>
      </c>
      <c r="H567">
        <f t="shared" si="43"/>
        <v>3.1426192189296382</v>
      </c>
    </row>
    <row r="568" spans="1:8" x14ac:dyDescent="0.25">
      <c r="A568" s="13">
        <v>41088</v>
      </c>
      <c r="B568">
        <v>281.10183080000002</v>
      </c>
      <c r="C568" s="12">
        <v>-8.7651652648187417E-3</v>
      </c>
      <c r="D568" s="12">
        <f t="shared" si="40"/>
        <v>1.4198611954473818E-4</v>
      </c>
      <c r="E568" s="11">
        <f t="shared" si="41"/>
        <v>-8.9071513843634806E-3</v>
      </c>
      <c r="F568">
        <f t="shared" si="44"/>
        <v>1.4815510799130717E-2</v>
      </c>
      <c r="G568">
        <f t="shared" si="42"/>
        <v>-0.6012044744948043</v>
      </c>
      <c r="H568">
        <f t="shared" si="43"/>
        <v>3.1124186767596775</v>
      </c>
    </row>
    <row r="569" spans="1:8" x14ac:dyDescent="0.25">
      <c r="A569" s="13">
        <v>41089</v>
      </c>
      <c r="B569">
        <v>288.95243040000003</v>
      </c>
      <c r="C569" s="12">
        <v>2.792795613482002E-2</v>
      </c>
      <c r="D569" s="12">
        <f t="shared" si="40"/>
        <v>-1.1154385100381924E-4</v>
      </c>
      <c r="E569" s="11">
        <f t="shared" si="41"/>
        <v>2.8039499985823838E-2</v>
      </c>
      <c r="F569">
        <f t="shared" si="44"/>
        <v>1.4940793036753067E-2</v>
      </c>
      <c r="G569">
        <f t="shared" si="42"/>
        <v>1.8767076096194546</v>
      </c>
      <c r="H569">
        <f t="shared" si="43"/>
        <v>1.5237057600371382</v>
      </c>
    </row>
    <row r="570" spans="1:8" x14ac:dyDescent="0.25">
      <c r="A570" s="13">
        <v>41092</v>
      </c>
      <c r="B570">
        <v>289.15168</v>
      </c>
      <c r="C570" s="12">
        <v>6.8955848450258372E-4</v>
      </c>
      <c r="D570" s="12">
        <f t="shared" si="40"/>
        <v>3.9987502770674733E-4</v>
      </c>
      <c r="E570" s="11">
        <f t="shared" si="41"/>
        <v>2.896834567958364E-4</v>
      </c>
      <c r="F570">
        <f t="shared" si="44"/>
        <v>2.0427227617169016E-2</v>
      </c>
      <c r="G570">
        <f t="shared" si="42"/>
        <v>1.4181241929881783E-2</v>
      </c>
      <c r="H570">
        <f t="shared" si="43"/>
        <v>2.9718474939029371</v>
      </c>
    </row>
    <row r="571" spans="1:8" x14ac:dyDescent="0.25">
      <c r="A571" s="13">
        <v>41093</v>
      </c>
      <c r="B571">
        <v>292.81794600000001</v>
      </c>
      <c r="C571" s="12">
        <v>1.2679386818710503E-2</v>
      </c>
      <c r="D571" s="12">
        <f t="shared" si="40"/>
        <v>8.2203388550236228E-5</v>
      </c>
      <c r="E571" s="11">
        <f t="shared" si="41"/>
        <v>1.2597183430160266E-2</v>
      </c>
      <c r="F571">
        <f t="shared" si="44"/>
        <v>1.4835938707491775E-2</v>
      </c>
      <c r="G571">
        <f t="shared" si="42"/>
        <v>0.84909918263540729</v>
      </c>
      <c r="H571">
        <f t="shared" si="43"/>
        <v>2.9312795065190898</v>
      </c>
    </row>
    <row r="572" spans="1:8" x14ac:dyDescent="0.25">
      <c r="A572" s="13">
        <v>41095</v>
      </c>
      <c r="B572">
        <v>296.84785979999998</v>
      </c>
      <c r="C572" s="12">
        <v>1.3762523284689632E-2</v>
      </c>
      <c r="D572" s="12">
        <f t="shared" si="40"/>
        <v>1.9354374540835436E-4</v>
      </c>
      <c r="E572" s="11">
        <f t="shared" si="41"/>
        <v>1.3568979539281278E-2</v>
      </c>
      <c r="F572">
        <f t="shared" si="44"/>
        <v>1.5662620465971042E-2</v>
      </c>
      <c r="G572">
        <f t="shared" si="42"/>
        <v>0.86632882209982331</v>
      </c>
      <c r="H572">
        <f t="shared" si="43"/>
        <v>2.862276920221547</v>
      </c>
    </row>
    <row r="573" spans="1:8" x14ac:dyDescent="0.25">
      <c r="A573" s="13">
        <v>41096</v>
      </c>
      <c r="B573">
        <v>291.89640509999998</v>
      </c>
      <c r="C573" s="12">
        <v>-1.6680109141888444E-2</v>
      </c>
      <c r="D573" s="12">
        <f t="shared" si="40"/>
        <v>2.407393446353702E-4</v>
      </c>
      <c r="E573" s="11">
        <f t="shared" si="41"/>
        <v>-1.6920848486523813E-2</v>
      </c>
      <c r="F573">
        <f t="shared" si="44"/>
        <v>1.5797249414763393E-2</v>
      </c>
      <c r="G573">
        <f t="shared" si="42"/>
        <v>-1.071126247504224</v>
      </c>
      <c r="H573">
        <f t="shared" si="43"/>
        <v>2.6553251895265237</v>
      </c>
    </row>
    <row r="574" spans="1:8" x14ac:dyDescent="0.25">
      <c r="A574" s="13">
        <v>41099</v>
      </c>
      <c r="B574">
        <v>291.91135860000003</v>
      </c>
      <c r="C574" s="12">
        <v>5.1228791238200344E-5</v>
      </c>
      <c r="D574" s="12">
        <f t="shared" si="40"/>
        <v>-2.1691193595165041E-4</v>
      </c>
      <c r="E574" s="11">
        <f t="shared" si="41"/>
        <v>2.6814072718985075E-4</v>
      </c>
      <c r="F574">
        <f t="shared" si="44"/>
        <v>1.6561280554279783E-2</v>
      </c>
      <c r="G574">
        <f t="shared" si="42"/>
        <v>1.6190820891598116E-2</v>
      </c>
      <c r="H574">
        <f t="shared" si="43"/>
        <v>3.1816182003124549</v>
      </c>
    </row>
    <row r="575" spans="1:8" x14ac:dyDescent="0.25">
      <c r="A575" s="13">
        <v>41100</v>
      </c>
      <c r="B575">
        <v>289.76438250000001</v>
      </c>
      <c r="C575" s="12">
        <v>-7.3548905746486648E-3</v>
      </c>
      <c r="D575" s="12">
        <f t="shared" si="40"/>
        <v>-4.2092580054208919E-5</v>
      </c>
      <c r="E575" s="11">
        <f t="shared" si="41"/>
        <v>-7.3127979945944556E-3</v>
      </c>
      <c r="F575">
        <f t="shared" si="44"/>
        <v>1.4365235609291135E-2</v>
      </c>
      <c r="G575">
        <f t="shared" si="42"/>
        <v>-0.50906216880039823</v>
      </c>
      <c r="H575">
        <f t="shared" si="43"/>
        <v>3.1944335060074529</v>
      </c>
    </row>
    <row r="576" spans="1:8" x14ac:dyDescent="0.25">
      <c r="A576" s="13">
        <v>41101</v>
      </c>
      <c r="B576">
        <v>284.52899150000002</v>
      </c>
      <c r="C576" s="12">
        <v>-1.8067751995019532E-2</v>
      </c>
      <c r="D576" s="12">
        <f t="shared" si="40"/>
        <v>-1.1110867029315447E-4</v>
      </c>
      <c r="E576" s="11">
        <f t="shared" si="41"/>
        <v>-1.7956643324726379E-2</v>
      </c>
      <c r="F576">
        <f t="shared" si="44"/>
        <v>1.4686548124746924E-2</v>
      </c>
      <c r="G576">
        <f t="shared" si="42"/>
        <v>-1.2226592097886722</v>
      </c>
      <c r="H576">
        <f t="shared" si="43"/>
        <v>2.5544369928605892</v>
      </c>
    </row>
    <row r="577" spans="1:8" x14ac:dyDescent="0.25">
      <c r="A577" s="13">
        <v>41102</v>
      </c>
      <c r="B577">
        <v>284.17532260000002</v>
      </c>
      <c r="C577" s="12">
        <v>-1.2429977631998046E-3</v>
      </c>
      <c r="D577" s="12">
        <f t="shared" si="40"/>
        <v>-2.9217072644261875E-4</v>
      </c>
      <c r="E577" s="11">
        <f t="shared" si="41"/>
        <v>-9.5082703675718585E-4</v>
      </c>
      <c r="F577">
        <f t="shared" si="44"/>
        <v>1.7097400710660769E-2</v>
      </c>
      <c r="G577">
        <f t="shared" si="42"/>
        <v>-5.5612373649540497E-2</v>
      </c>
      <c r="H577">
        <f t="shared" si="43"/>
        <v>3.1483439309958632</v>
      </c>
    </row>
    <row r="578" spans="1:8" x14ac:dyDescent="0.25">
      <c r="A578" s="13">
        <v>41103</v>
      </c>
      <c r="B578">
        <v>287.18405569999999</v>
      </c>
      <c r="C578" s="12">
        <v>1.0587594561245695E-2</v>
      </c>
      <c r="D578" s="12">
        <f t="shared" si="40"/>
        <v>-6.523353763872685E-5</v>
      </c>
      <c r="E578" s="11">
        <f t="shared" si="41"/>
        <v>1.0652828098884421E-2</v>
      </c>
      <c r="F578">
        <f t="shared" si="44"/>
        <v>1.443150954936368E-2</v>
      </c>
      <c r="G578">
        <f t="shared" si="42"/>
        <v>0.73816450472113848</v>
      </c>
      <c r="H578">
        <f t="shared" si="43"/>
        <v>3.0469593485725088</v>
      </c>
    </row>
    <row r="579" spans="1:8" x14ac:dyDescent="0.25">
      <c r="A579" s="13">
        <v>41106</v>
      </c>
      <c r="B579">
        <v>286.38705700000003</v>
      </c>
      <c r="C579" s="12">
        <v>-2.7752191815012539E-3</v>
      </c>
      <c r="D579" s="12">
        <f t="shared" si="40"/>
        <v>1.5693945438791546E-4</v>
      </c>
      <c r="E579" s="11">
        <f t="shared" si="41"/>
        <v>-2.9321586358891693E-3</v>
      </c>
      <c r="F579">
        <f t="shared" si="44"/>
        <v>1.5277073422899305E-2</v>
      </c>
      <c r="G579">
        <f t="shared" si="42"/>
        <v>-0.19193195939570867</v>
      </c>
      <c r="H579">
        <f t="shared" si="43"/>
        <v>3.2440445717795154</v>
      </c>
    </row>
    <row r="580" spans="1:8" x14ac:dyDescent="0.25">
      <c r="A580" s="13">
        <v>41107</v>
      </c>
      <c r="B580">
        <v>287.28867000000002</v>
      </c>
      <c r="C580" s="12">
        <v>3.1482323588387651E-3</v>
      </c>
      <c r="D580" s="12">
        <f t="shared" si="40"/>
        <v>-1.4764474816138504E-5</v>
      </c>
      <c r="E580" s="11">
        <f t="shared" si="41"/>
        <v>3.1629968336549037E-3</v>
      </c>
      <c r="F580">
        <f t="shared" si="44"/>
        <v>1.4306298809758151E-2</v>
      </c>
      <c r="G580">
        <f t="shared" si="42"/>
        <v>0.2210912043510137</v>
      </c>
      <c r="H580">
        <f t="shared" si="43"/>
        <v>3.303676168965215</v>
      </c>
    </row>
    <row r="581" spans="1:8" x14ac:dyDescent="0.25">
      <c r="A581" s="13">
        <v>41108</v>
      </c>
      <c r="B581">
        <v>289.29615050000001</v>
      </c>
      <c r="C581" s="12">
        <v>6.9876772376717966E-3</v>
      </c>
      <c r="D581" s="12">
        <f t="shared" si="40"/>
        <v>4.0483756894247282E-5</v>
      </c>
      <c r="E581" s="11">
        <f t="shared" si="41"/>
        <v>6.9471934807775497E-3</v>
      </c>
      <c r="F581">
        <f t="shared" si="44"/>
        <v>1.4235412102277476E-2</v>
      </c>
      <c r="G581">
        <f t="shared" si="42"/>
        <v>0.48802194350707218</v>
      </c>
      <c r="H581">
        <f t="shared" si="43"/>
        <v>3.2140013668626137</v>
      </c>
    </row>
    <row r="582" spans="1:8" x14ac:dyDescent="0.25">
      <c r="A582" s="13">
        <v>41109</v>
      </c>
      <c r="B582">
        <v>295.42317489999999</v>
      </c>
      <c r="C582" s="12">
        <v>2.1179073380030999E-2</v>
      </c>
      <c r="D582" s="12">
        <f t="shared" ref="D582:D645" si="45">+C581*$K$11+C580*$K$10</f>
        <v>1.1377721082580773E-4</v>
      </c>
      <c r="E582" s="11">
        <f t="shared" ref="E582:E645" si="46">C582-D582</f>
        <v>2.1065296169205192E-2</v>
      </c>
      <c r="F582">
        <f t="shared" si="44"/>
        <v>1.4630518524331041E-2</v>
      </c>
      <c r="G582">
        <f t="shared" ref="G582:G645" si="47">E582/F582</f>
        <v>1.4398188371911016</v>
      </c>
      <c r="H582">
        <f t="shared" ref="H582:H645" si="48">1/2*(-LN(PI()*2)-2*LN(F582)-(E582/F582)^2)</f>
        <v>2.2691679468703287</v>
      </c>
    </row>
    <row r="583" spans="1:8" x14ac:dyDescent="0.25">
      <c r="A583" s="13">
        <v>41110</v>
      </c>
      <c r="B583">
        <v>304.27005309999998</v>
      </c>
      <c r="C583" s="12">
        <v>2.9946459694621508E-2</v>
      </c>
      <c r="D583" s="12">
        <f t="shared" si="45"/>
        <v>3.3828472235655386E-4</v>
      </c>
      <c r="E583" s="11">
        <f t="shared" si="46"/>
        <v>2.9608174972264954E-2</v>
      </c>
      <c r="F583">
        <f t="shared" ref="F583:F646" si="49">SQRT($K$6+$K$7*G582^2+$K$8*F582^2)</f>
        <v>1.8099590534044564E-2</v>
      </c>
      <c r="G583">
        <f t="shared" si="47"/>
        <v>1.6358477787977153</v>
      </c>
      <c r="H583">
        <f t="shared" si="48"/>
        <v>1.7549284524913431</v>
      </c>
    </row>
    <row r="584" spans="1:8" x14ac:dyDescent="0.25">
      <c r="A584" s="13">
        <v>41113</v>
      </c>
      <c r="B584">
        <v>306.60629979999999</v>
      </c>
      <c r="C584" s="12">
        <v>7.6782012432625724E-3</v>
      </c>
      <c r="D584" s="12">
        <f t="shared" si="45"/>
        <v>5.0736006593893313E-4</v>
      </c>
      <c r="E584" s="11">
        <f t="shared" si="46"/>
        <v>7.1708411773236391E-3</v>
      </c>
      <c r="F584">
        <f t="shared" si="49"/>
        <v>1.9376793005125986E-2</v>
      </c>
      <c r="G584">
        <f t="shared" si="47"/>
        <v>0.37007368429990695</v>
      </c>
      <c r="H584">
        <f t="shared" si="48"/>
        <v>2.9562633667141145</v>
      </c>
    </row>
    <row r="585" spans="1:8" x14ac:dyDescent="0.25">
      <c r="A585" s="13">
        <v>41114</v>
      </c>
      <c r="B585">
        <v>302.65112329999999</v>
      </c>
      <c r="C585" s="12">
        <v>-1.2899853990540833E-2</v>
      </c>
      <c r="D585" s="12">
        <f t="shared" si="45"/>
        <v>1.9309183217598131E-4</v>
      </c>
      <c r="E585" s="11">
        <f t="shared" si="46"/>
        <v>-1.3092945822716815E-2</v>
      </c>
      <c r="F585">
        <f t="shared" si="49"/>
        <v>1.4982170647506569E-2</v>
      </c>
      <c r="G585">
        <f t="shared" si="47"/>
        <v>-0.87390179505770271</v>
      </c>
      <c r="H585">
        <f t="shared" si="48"/>
        <v>2.9001037014454631</v>
      </c>
    </row>
    <row r="586" spans="1:8" x14ac:dyDescent="0.25">
      <c r="A586" s="13">
        <v>41115</v>
      </c>
      <c r="B586">
        <v>302.86032169999999</v>
      </c>
      <c r="C586" s="12">
        <v>6.9121963837104339E-4</v>
      </c>
      <c r="D586" s="12">
        <f t="shared" si="45"/>
        <v>-1.7537333876721447E-4</v>
      </c>
      <c r="E586" s="11">
        <f t="shared" si="46"/>
        <v>8.6659297713825791E-4</v>
      </c>
      <c r="F586">
        <f t="shared" si="49"/>
        <v>1.5759308034026212E-2</v>
      </c>
      <c r="G586">
        <f t="shared" si="47"/>
        <v>5.4989278416741463E-2</v>
      </c>
      <c r="H586">
        <f t="shared" si="48"/>
        <v>3.2298736584116696</v>
      </c>
    </row>
    <row r="587" spans="1:8" x14ac:dyDescent="0.25">
      <c r="A587" s="13">
        <v>41116</v>
      </c>
      <c r="B587">
        <v>305.53531409999999</v>
      </c>
      <c r="C587" s="12">
        <v>8.8324293687098709E-3</v>
      </c>
      <c r="D587" s="12">
        <f t="shared" si="45"/>
        <v>-2.2697780148264047E-5</v>
      </c>
      <c r="E587" s="11">
        <f t="shared" si="46"/>
        <v>8.855127148858135E-3</v>
      </c>
      <c r="F587">
        <f t="shared" si="49"/>
        <v>1.4284153525505565E-2</v>
      </c>
      <c r="G587">
        <f t="shared" si="47"/>
        <v>0.61992662939715371</v>
      </c>
      <c r="H587">
        <f t="shared" si="48"/>
        <v>3.1375114551100061</v>
      </c>
    </row>
    <row r="588" spans="1:8" x14ac:dyDescent="0.25">
      <c r="A588" s="13">
        <v>41117</v>
      </c>
      <c r="B588">
        <v>316.29500669999999</v>
      </c>
      <c r="C588" s="12">
        <v>3.5215872285317529E-2</v>
      </c>
      <c r="D588" s="12">
        <f t="shared" si="45"/>
        <v>1.3536403481751857E-4</v>
      </c>
      <c r="E588" s="11">
        <f t="shared" si="46"/>
        <v>3.5080508250500013E-2</v>
      </c>
      <c r="F588">
        <f t="shared" si="49"/>
        <v>1.4937926592677895E-2</v>
      </c>
      <c r="G588">
        <f t="shared" si="47"/>
        <v>2.3484188406505746</v>
      </c>
      <c r="H588">
        <f t="shared" si="48"/>
        <v>0.52737783242659386</v>
      </c>
    </row>
    <row r="589" spans="1:8" x14ac:dyDescent="0.25">
      <c r="A589" s="13">
        <v>41120</v>
      </c>
      <c r="B589">
        <v>314.96996130000002</v>
      </c>
      <c r="C589" s="12">
        <v>-4.189270686959512E-3</v>
      </c>
      <c r="D589" s="12">
        <f t="shared" si="45"/>
        <v>5.5532769821477722E-4</v>
      </c>
      <c r="E589" s="11">
        <f t="shared" si="46"/>
        <v>-4.7445983851742892E-3</v>
      </c>
      <c r="F589">
        <f t="shared" si="49"/>
        <v>2.3224990484435045E-2</v>
      </c>
      <c r="G589">
        <f t="shared" si="47"/>
        <v>-0.20428849640881577</v>
      </c>
      <c r="H589">
        <f t="shared" si="48"/>
        <v>2.8227209759073202</v>
      </c>
    </row>
    <row r="590" spans="1:8" x14ac:dyDescent="0.25">
      <c r="A590" s="13">
        <v>41121</v>
      </c>
      <c r="B590">
        <v>315.3037023</v>
      </c>
      <c r="C590" s="12">
        <v>1.0595962822057547E-3</v>
      </c>
      <c r="D590" s="12">
        <f t="shared" si="45"/>
        <v>2.7142418871832854E-5</v>
      </c>
      <c r="E590" s="11">
        <f t="shared" si="46"/>
        <v>1.0324538633339219E-3</v>
      </c>
      <c r="F590">
        <f t="shared" si="49"/>
        <v>1.5309890757008789E-2</v>
      </c>
      <c r="G590">
        <f t="shared" si="47"/>
        <v>6.7437049664202858E-2</v>
      </c>
      <c r="H590">
        <f t="shared" si="48"/>
        <v>3.2580437937007471</v>
      </c>
    </row>
    <row r="591" spans="1:8" x14ac:dyDescent="0.25">
      <c r="A591" s="13">
        <v>41122</v>
      </c>
      <c r="B591">
        <v>315.1592622</v>
      </c>
      <c r="C591" s="12">
        <v>-4.5809833169219161E-4</v>
      </c>
      <c r="D591" s="12">
        <f t="shared" si="45"/>
        <v>5.2597442975611312E-6</v>
      </c>
      <c r="E591" s="11">
        <f t="shared" si="46"/>
        <v>-4.6335807598975272E-4</v>
      </c>
      <c r="F591">
        <f t="shared" si="49"/>
        <v>1.4240361843069383E-2</v>
      </c>
      <c r="G591">
        <f t="shared" si="47"/>
        <v>-3.2538363919120752E-2</v>
      </c>
      <c r="H591">
        <f t="shared" si="48"/>
        <v>3.3322070572252991</v>
      </c>
    </row>
    <row r="592" spans="1:8" x14ac:dyDescent="0.25">
      <c r="A592" s="13">
        <v>41123</v>
      </c>
      <c r="B592">
        <v>313.20158709999998</v>
      </c>
      <c r="C592" s="12">
        <v>-6.2117009867781459E-3</v>
      </c>
      <c r="D592" s="12">
        <f t="shared" si="45"/>
        <v>-4.205456361622201E-6</v>
      </c>
      <c r="E592" s="11">
        <f t="shared" si="46"/>
        <v>-6.2074955304165236E-3</v>
      </c>
      <c r="F592">
        <f t="shared" si="49"/>
        <v>1.4125697576180389E-2</v>
      </c>
      <c r="G592">
        <f t="shared" si="47"/>
        <v>-0.43944700762134253</v>
      </c>
      <c r="H592">
        <f t="shared" si="48"/>
        <v>3.2442642477864529</v>
      </c>
    </row>
    <row r="593" spans="1:8" x14ac:dyDescent="0.25">
      <c r="A593" s="13">
        <v>41124</v>
      </c>
      <c r="B593">
        <v>319.4681076</v>
      </c>
      <c r="C593" s="12">
        <v>2.0007946185787384E-2</v>
      </c>
      <c r="D593" s="12">
        <f t="shared" si="45"/>
        <v>-9.5127255746620373E-5</v>
      </c>
      <c r="E593" s="11">
        <f t="shared" si="46"/>
        <v>2.0103073441534003E-2</v>
      </c>
      <c r="F593">
        <f t="shared" si="49"/>
        <v>1.4525565321104826E-2</v>
      </c>
      <c r="G593">
        <f t="shared" si="47"/>
        <v>1.3839787297176911</v>
      </c>
      <c r="H593">
        <f t="shared" si="48"/>
        <v>2.3552079610833867</v>
      </c>
    </row>
    <row r="594" spans="1:8" x14ac:dyDescent="0.25">
      <c r="A594" s="13">
        <v>41127</v>
      </c>
      <c r="B594">
        <v>320.21032709999997</v>
      </c>
      <c r="C594" s="12">
        <v>2.3232976386153847E-3</v>
      </c>
      <c r="D594" s="12">
        <f t="shared" si="45"/>
        <v>2.8664978370305421E-4</v>
      </c>
      <c r="E594" s="11">
        <f t="shared" si="46"/>
        <v>2.0366478549123305E-3</v>
      </c>
      <c r="F594">
        <f t="shared" si="49"/>
        <v>1.782240152664424E-2</v>
      </c>
      <c r="G594">
        <f t="shared" si="47"/>
        <v>0.11427460277267183</v>
      </c>
      <c r="H594">
        <f t="shared" si="48"/>
        <v>3.1018312245905184</v>
      </c>
    </row>
    <row r="595" spans="1:8" x14ac:dyDescent="0.25">
      <c r="A595" s="13">
        <v>41128</v>
      </c>
      <c r="B595">
        <v>319.07458259999999</v>
      </c>
      <c r="C595" s="12">
        <v>-3.5468703032969229E-3</v>
      </c>
      <c r="D595" s="12">
        <f t="shared" si="45"/>
        <v>8.6558964793175805E-5</v>
      </c>
      <c r="E595" s="11">
        <f t="shared" si="46"/>
        <v>-3.6334292680900988E-3</v>
      </c>
      <c r="F595">
        <f t="shared" si="49"/>
        <v>1.4536622031112919E-2</v>
      </c>
      <c r="G595">
        <f t="shared" si="47"/>
        <v>-0.24995004068437796</v>
      </c>
      <c r="H595">
        <f t="shared" si="48"/>
        <v>3.2809081117259957</v>
      </c>
    </row>
    <row r="596" spans="1:8" x14ac:dyDescent="0.25">
      <c r="A596" s="13">
        <v>41129</v>
      </c>
      <c r="B596">
        <v>319.91641170000003</v>
      </c>
      <c r="C596" s="12">
        <v>2.6383458473575594E-3</v>
      </c>
      <c r="D596" s="12">
        <f t="shared" si="45"/>
        <v>-4.7674451411253061E-5</v>
      </c>
      <c r="E596" s="11">
        <f t="shared" si="46"/>
        <v>2.6860202987688125E-3</v>
      </c>
      <c r="F596">
        <f t="shared" si="49"/>
        <v>1.4287012846938193E-2</v>
      </c>
      <c r="G596">
        <f t="shared" si="47"/>
        <v>0.18800433145438414</v>
      </c>
      <c r="H596">
        <f t="shared" si="48"/>
        <v>3.3117929993672974</v>
      </c>
    </row>
    <row r="597" spans="1:8" x14ac:dyDescent="0.25">
      <c r="A597" s="13">
        <v>41130</v>
      </c>
      <c r="B597">
        <v>319.97619570000001</v>
      </c>
      <c r="C597" s="12">
        <v>1.8687381395121605E-4</v>
      </c>
      <c r="D597" s="12">
        <f t="shared" si="45"/>
        <v>3.0788768213537844E-5</v>
      </c>
      <c r="E597" s="11">
        <f t="shared" si="46"/>
        <v>1.5608504573767822E-4</v>
      </c>
      <c r="F597">
        <f t="shared" si="49"/>
        <v>1.4204381255947723E-2</v>
      </c>
      <c r="G597">
        <f t="shared" si="47"/>
        <v>1.0988514242556082E-2</v>
      </c>
      <c r="H597">
        <f t="shared" si="48"/>
        <v>3.3352059158847873</v>
      </c>
    </row>
    <row r="598" spans="1:8" x14ac:dyDescent="0.25">
      <c r="A598" s="13">
        <v>41131</v>
      </c>
      <c r="B598">
        <v>319.80184819999999</v>
      </c>
      <c r="C598" s="12">
        <v>-5.4487647000922568E-4</v>
      </c>
      <c r="D598" s="12">
        <f t="shared" si="45"/>
        <v>9.6068782759109174E-6</v>
      </c>
      <c r="E598" s="11">
        <f t="shared" si="46"/>
        <v>-5.5448334828513655E-4</v>
      </c>
      <c r="F598">
        <f t="shared" si="49"/>
        <v>1.4120178677244744E-2</v>
      </c>
      <c r="G598">
        <f t="shared" si="47"/>
        <v>-3.9268862027837477E-2</v>
      </c>
      <c r="H598">
        <f t="shared" si="48"/>
        <v>3.3404408378341479</v>
      </c>
    </row>
    <row r="599" spans="1:8" x14ac:dyDescent="0.25">
      <c r="A599" s="13">
        <v>41134</v>
      </c>
      <c r="B599">
        <v>328.77323819999998</v>
      </c>
      <c r="C599" s="12">
        <v>2.8052964829613503E-2</v>
      </c>
      <c r="D599" s="12">
        <f t="shared" si="45"/>
        <v>-7.7608190111607422E-6</v>
      </c>
      <c r="E599" s="11">
        <f t="shared" si="46"/>
        <v>2.8060725648624663E-2</v>
      </c>
      <c r="F599">
        <f t="shared" si="49"/>
        <v>1.4115141899444267E-2</v>
      </c>
      <c r="G599">
        <f t="shared" si="47"/>
        <v>1.9879874994192905</v>
      </c>
      <c r="H599">
        <f t="shared" si="48"/>
        <v>1.3655214821032706</v>
      </c>
    </row>
    <row r="600" spans="1:8" x14ac:dyDescent="0.25">
      <c r="A600" s="13">
        <v>41135</v>
      </c>
      <c r="B600">
        <v>333.08211399999999</v>
      </c>
      <c r="C600" s="12">
        <v>1.310592012777767E-2</v>
      </c>
      <c r="D600" s="12">
        <f t="shared" si="45"/>
        <v>4.2289164838020028E-4</v>
      </c>
      <c r="E600" s="11">
        <f t="shared" si="46"/>
        <v>1.268302847939747E-2</v>
      </c>
      <c r="F600">
        <f t="shared" si="49"/>
        <v>2.1007617330116048E-2</v>
      </c>
      <c r="G600">
        <f t="shared" si="47"/>
        <v>0.60373474440699015</v>
      </c>
      <c r="H600">
        <f t="shared" si="48"/>
        <v>2.7616838230170524</v>
      </c>
    </row>
    <row r="601" spans="1:8" x14ac:dyDescent="0.25">
      <c r="A601" s="13">
        <v>41136</v>
      </c>
      <c r="B601">
        <v>332.52419070000002</v>
      </c>
      <c r="C601" s="12">
        <v>-1.6750323014942392E-3</v>
      </c>
      <c r="D601" s="12">
        <f t="shared" si="45"/>
        <v>2.7031808710520285E-4</v>
      </c>
      <c r="E601" s="11">
        <f t="shared" si="46"/>
        <v>-1.9453503885994421E-3</v>
      </c>
      <c r="F601">
        <f t="shared" si="49"/>
        <v>1.5644227974398885E-2</v>
      </c>
      <c r="G601">
        <f t="shared" si="47"/>
        <v>-0.12434940169517636</v>
      </c>
      <c r="H601">
        <f t="shared" si="48"/>
        <v>3.2309833294982053</v>
      </c>
    </row>
    <row r="602" spans="1:8" x14ac:dyDescent="0.25">
      <c r="A602" s="13">
        <v>41137</v>
      </c>
      <c r="B602">
        <v>335.17925539999999</v>
      </c>
      <c r="C602" s="12">
        <v>7.9845760827528256E-3</v>
      </c>
      <c r="D602" s="12">
        <f t="shared" si="45"/>
        <v>8.347517753966897E-6</v>
      </c>
      <c r="E602" s="11">
        <f t="shared" si="46"/>
        <v>7.9762285649988586E-3</v>
      </c>
      <c r="F602">
        <f t="shared" si="49"/>
        <v>1.4298665966020094E-2</v>
      </c>
      <c r="G602">
        <f t="shared" si="47"/>
        <v>0.55783026080571985</v>
      </c>
      <c r="H602">
        <f t="shared" si="48"/>
        <v>3.173063202017516</v>
      </c>
    </row>
    <row r="603" spans="1:8" x14ac:dyDescent="0.25">
      <c r="A603" s="13">
        <v>41138</v>
      </c>
      <c r="B603">
        <v>337.30627279999999</v>
      </c>
      <c r="C603" s="12">
        <v>6.3459100339060548E-3</v>
      </c>
      <c r="D603" s="12">
        <f t="shared" si="45"/>
        <v>1.1645933058249278E-4</v>
      </c>
      <c r="E603" s="11">
        <f t="shared" si="46"/>
        <v>6.2294507033235618E-3</v>
      </c>
      <c r="F603">
        <f t="shared" si="49"/>
        <v>1.478850007192698E-2</v>
      </c>
      <c r="G603">
        <f t="shared" si="47"/>
        <v>0.42123614112488206</v>
      </c>
      <c r="H603">
        <f t="shared" si="48"/>
        <v>3.2062469459177949</v>
      </c>
    </row>
    <row r="604" spans="1:8" x14ac:dyDescent="0.25">
      <c r="A604" s="13">
        <v>41141</v>
      </c>
      <c r="B604">
        <v>336.50927460000003</v>
      </c>
      <c r="C604" s="12">
        <v>-2.3628324293646363E-3</v>
      </c>
      <c r="D604" s="12">
        <f t="shared" si="45"/>
        <v>1.1649995440703165E-4</v>
      </c>
      <c r="E604" s="11">
        <f t="shared" si="46"/>
        <v>-2.479332383771668E-3</v>
      </c>
      <c r="F604">
        <f t="shared" si="49"/>
        <v>1.4555897842659274E-2</v>
      </c>
      <c r="G604">
        <f t="shared" si="47"/>
        <v>-0.17033180711844767</v>
      </c>
      <c r="H604">
        <f t="shared" si="48"/>
        <v>3.29631402202302</v>
      </c>
    </row>
    <row r="605" spans="1:8" x14ac:dyDescent="0.25">
      <c r="A605" s="13">
        <v>41142</v>
      </c>
      <c r="B605">
        <v>333.505516</v>
      </c>
      <c r="C605" s="12">
        <v>-8.926228269846348E-3</v>
      </c>
      <c r="D605" s="12">
        <f t="shared" si="45"/>
        <v>-1.9428266128163317E-5</v>
      </c>
      <c r="E605" s="11">
        <f t="shared" si="46"/>
        <v>-8.9068000037181849E-3</v>
      </c>
      <c r="F605">
        <f t="shared" si="49"/>
        <v>1.4216963152947421E-2</v>
      </c>
      <c r="G605">
        <f t="shared" si="47"/>
        <v>-0.6264910380577059</v>
      </c>
      <c r="H605">
        <f t="shared" si="48"/>
        <v>3.1381353955039972</v>
      </c>
    </row>
    <row r="606" spans="1:8" x14ac:dyDescent="0.25">
      <c r="A606" s="13">
        <v>41143</v>
      </c>
      <c r="B606">
        <v>337.32620109999999</v>
      </c>
      <c r="C606" s="12">
        <v>1.1456137655006637E-2</v>
      </c>
      <c r="D606" s="12">
        <f t="shared" si="45"/>
        <v>-1.4107870928159255E-4</v>
      </c>
      <c r="E606" s="11">
        <f t="shared" si="46"/>
        <v>1.159721636428823E-2</v>
      </c>
      <c r="F606">
        <f t="shared" si="49"/>
        <v>1.4948542825621827E-2</v>
      </c>
      <c r="G606">
        <f t="shared" si="47"/>
        <v>0.77580915408093043</v>
      </c>
      <c r="H606">
        <f t="shared" si="48"/>
        <v>2.9832629987714521</v>
      </c>
    </row>
    <row r="607" spans="1:8" x14ac:dyDescent="0.25">
      <c r="A607" s="13">
        <v>41144</v>
      </c>
      <c r="B607">
        <v>337.13690009999999</v>
      </c>
      <c r="C607" s="12">
        <v>-5.6118083736955704E-4</v>
      </c>
      <c r="D607" s="12">
        <f t="shared" si="45"/>
        <v>1.5033020552738814E-4</v>
      </c>
      <c r="E607" s="11">
        <f t="shared" si="46"/>
        <v>-7.1151104289694518E-4</v>
      </c>
      <c r="F607">
        <f t="shared" si="49"/>
        <v>1.5438333469748083E-2</v>
      </c>
      <c r="G607">
        <f t="shared" si="47"/>
        <v>-4.6087295904779765E-2</v>
      </c>
      <c r="H607">
        <f t="shared" si="48"/>
        <v>3.2509011234815697</v>
      </c>
    </row>
    <row r="608" spans="1:8" x14ac:dyDescent="0.25">
      <c r="A608" s="13">
        <v>41145</v>
      </c>
      <c r="B608">
        <v>338.04849230000002</v>
      </c>
      <c r="C608" s="12">
        <v>2.7039229456331526E-3</v>
      </c>
      <c r="D608" s="12">
        <f t="shared" si="45"/>
        <v>2.0954265406689942E-5</v>
      </c>
      <c r="E608" s="11">
        <f t="shared" si="46"/>
        <v>2.6829686802264628E-3</v>
      </c>
      <c r="F608">
        <f t="shared" si="49"/>
        <v>1.4248477243456155E-2</v>
      </c>
      <c r="G608">
        <f t="shared" si="47"/>
        <v>0.18829862548706106</v>
      </c>
      <c r="H608">
        <f t="shared" si="48"/>
        <v>3.3144385187009342</v>
      </c>
    </row>
    <row r="609" spans="1:8" x14ac:dyDescent="0.25">
      <c r="A609" s="13">
        <v>41148</v>
      </c>
      <c r="B609">
        <v>333.36104549999999</v>
      </c>
      <c r="C609" s="12">
        <v>-1.3866196438587219E-2</v>
      </c>
      <c r="D609" s="12">
        <f t="shared" si="45"/>
        <v>3.9453736202479855E-5</v>
      </c>
      <c r="E609" s="11">
        <f t="shared" si="46"/>
        <v>-1.3905650174789699E-2</v>
      </c>
      <c r="F609">
        <f t="shared" si="49"/>
        <v>1.4200898047304294E-2</v>
      </c>
      <c r="G609">
        <f t="shared" si="47"/>
        <v>-0.97920921116882176</v>
      </c>
      <c r="H609">
        <f t="shared" si="48"/>
        <v>2.8560862007831482</v>
      </c>
    </row>
    <row r="610" spans="1:8" x14ac:dyDescent="0.25">
      <c r="A610" s="13">
        <v>41149</v>
      </c>
      <c r="B610">
        <v>337.36108280000002</v>
      </c>
      <c r="C610" s="12">
        <v>1.1999114335631056E-2</v>
      </c>
      <c r="D610" s="12">
        <f t="shared" si="45"/>
        <v>-2.0277270545696391E-4</v>
      </c>
      <c r="E610" s="11">
        <f t="shared" si="46"/>
        <v>1.220188704108802E-2</v>
      </c>
      <c r="F610">
        <f t="shared" si="49"/>
        <v>1.6066191256277802E-2</v>
      </c>
      <c r="G610">
        <f t="shared" si="47"/>
        <v>0.75947602306303807</v>
      </c>
      <c r="H610">
        <f t="shared" si="48"/>
        <v>2.9236976888812118</v>
      </c>
    </row>
    <row r="611" spans="1:8" x14ac:dyDescent="0.25">
      <c r="A611" s="13">
        <v>41150</v>
      </c>
      <c r="B611">
        <v>342.72098560000001</v>
      </c>
      <c r="C611" s="12">
        <v>1.5887732975938818E-2</v>
      </c>
      <c r="D611" s="12">
        <f t="shared" si="45"/>
        <v>1.4584697559708398E-4</v>
      </c>
      <c r="E611" s="11">
        <f t="shared" si="46"/>
        <v>1.5741886000341734E-2</v>
      </c>
      <c r="F611">
        <f t="shared" si="49"/>
        <v>1.5496396125715232E-2</v>
      </c>
      <c r="G611">
        <f t="shared" si="47"/>
        <v>1.0158417397590351</v>
      </c>
      <c r="H611">
        <f t="shared" si="48"/>
        <v>2.7322420367864835</v>
      </c>
    </row>
    <row r="612" spans="1:8" x14ac:dyDescent="0.25">
      <c r="A612" s="13">
        <v>41151</v>
      </c>
      <c r="B612">
        <v>339.5678125</v>
      </c>
      <c r="C612" s="12">
        <v>-9.200408590328224E-3</v>
      </c>
      <c r="D612" s="12">
        <f t="shared" si="45"/>
        <v>2.7113416907632398E-4</v>
      </c>
      <c r="E612" s="11">
        <f t="shared" si="46"/>
        <v>-9.4715427594045474E-3</v>
      </c>
      <c r="F612">
        <f t="shared" si="49"/>
        <v>1.6318710109345033E-2</v>
      </c>
      <c r="G612">
        <f t="shared" si="47"/>
        <v>-0.58041001377802504</v>
      </c>
      <c r="H612">
        <f t="shared" si="48"/>
        <v>3.0280665447358048</v>
      </c>
    </row>
    <row r="613" spans="1:8" x14ac:dyDescent="0.25">
      <c r="A613" s="13">
        <v>41152</v>
      </c>
      <c r="B613">
        <v>341.26642370000002</v>
      </c>
      <c r="C613" s="12">
        <v>5.0022738830701741E-3</v>
      </c>
      <c r="D613" s="12">
        <f t="shared" si="45"/>
        <v>-9.832217131352009E-5</v>
      </c>
      <c r="E613" s="11">
        <f t="shared" si="46"/>
        <v>5.1005960543836944E-3</v>
      </c>
      <c r="F613">
        <f t="shared" si="49"/>
        <v>1.5040657758540228E-2</v>
      </c>
      <c r="G613">
        <f t="shared" si="47"/>
        <v>0.33912054487693716</v>
      </c>
      <c r="H613">
        <f t="shared" si="48"/>
        <v>3.2205583222877623</v>
      </c>
    </row>
    <row r="614" spans="1:8" x14ac:dyDescent="0.25">
      <c r="A614" s="13">
        <v>41156</v>
      </c>
      <c r="B614">
        <v>339.24899499999998</v>
      </c>
      <c r="C614" s="12">
        <v>-5.9115944607943671E-3</v>
      </c>
      <c r="D614" s="12">
        <f t="shared" si="45"/>
        <v>5.2012980428308868E-5</v>
      </c>
      <c r="E614" s="11">
        <f t="shared" si="46"/>
        <v>-5.9636074412226757E-3</v>
      </c>
      <c r="F614">
        <f t="shared" si="49"/>
        <v>1.4448913655313055E-2</v>
      </c>
      <c r="G614">
        <f t="shared" si="47"/>
        <v>-0.41273742673586944</v>
      </c>
      <c r="H614">
        <f t="shared" si="48"/>
        <v>3.2330214218939846</v>
      </c>
    </row>
    <row r="615" spans="1:8" x14ac:dyDescent="0.25">
      <c r="A615" s="13">
        <v>41157</v>
      </c>
      <c r="B615">
        <v>339.08960139999999</v>
      </c>
      <c r="C615" s="12">
        <v>-4.6984251198733951E-4</v>
      </c>
      <c r="D615" s="12">
        <f t="shared" si="45"/>
        <v>-7.6555243267271359E-5</v>
      </c>
      <c r="E615" s="11">
        <f t="shared" si="46"/>
        <v>-3.9328726872006815E-4</v>
      </c>
      <c r="F615">
        <f t="shared" si="49"/>
        <v>1.450810781328624E-2</v>
      </c>
      <c r="G615">
        <f t="shared" si="47"/>
        <v>-2.7108102157877775E-2</v>
      </c>
      <c r="H615">
        <f t="shared" si="48"/>
        <v>3.313741668484095</v>
      </c>
    </row>
    <row r="616" spans="1:8" x14ac:dyDescent="0.25">
      <c r="A616" s="13">
        <v>41158</v>
      </c>
      <c r="B616">
        <v>348.39473199999998</v>
      </c>
      <c r="C616" s="12">
        <v>2.7441509741324532E-2</v>
      </c>
      <c r="D616" s="12">
        <f t="shared" si="45"/>
        <v>-2.2298842182122159E-5</v>
      </c>
      <c r="E616" s="11">
        <f t="shared" si="46"/>
        <v>2.7463808583506655E-2</v>
      </c>
      <c r="F616">
        <f t="shared" si="49"/>
        <v>1.4151168370266309E-2</v>
      </c>
      <c r="G616">
        <f t="shared" si="47"/>
        <v>1.9407449522833864</v>
      </c>
      <c r="H616">
        <f t="shared" si="48"/>
        <v>1.4557740698533967</v>
      </c>
    </row>
    <row r="617" spans="1:8" x14ac:dyDescent="0.25">
      <c r="A617" s="13">
        <v>41159</v>
      </c>
      <c r="B617">
        <v>351.75713389999999</v>
      </c>
      <c r="C617" s="12">
        <v>9.651127273646587E-3</v>
      </c>
      <c r="D617" s="12">
        <f t="shared" si="45"/>
        <v>4.1383642423056994E-4</v>
      </c>
      <c r="E617" s="11">
        <f t="shared" si="46"/>
        <v>9.2372908494160171E-3</v>
      </c>
      <c r="F617">
        <f t="shared" si="49"/>
        <v>2.0737497823619663E-2</v>
      </c>
      <c r="G617">
        <f t="shared" si="47"/>
        <v>0.44543902682872849</v>
      </c>
      <c r="H617">
        <f t="shared" si="48"/>
        <v>2.8576652318988662</v>
      </c>
    </row>
    <row r="618" spans="1:8" x14ac:dyDescent="0.25">
      <c r="A618" s="13">
        <v>41162</v>
      </c>
      <c r="B618">
        <v>349.0771671</v>
      </c>
      <c r="C618" s="12">
        <v>-7.6187987157123604E-3</v>
      </c>
      <c r="D618" s="12">
        <f t="shared" si="45"/>
        <v>2.1649404738590522E-4</v>
      </c>
      <c r="E618" s="11">
        <f t="shared" si="46"/>
        <v>-7.8352927630982658E-3</v>
      </c>
      <c r="F618">
        <f t="shared" si="49"/>
        <v>1.5280053648202879E-2</v>
      </c>
      <c r="G618">
        <f t="shared" si="47"/>
        <v>-0.51277913962165911</v>
      </c>
      <c r="H618">
        <f t="shared" si="48"/>
        <v>3.1307972280216467</v>
      </c>
    </row>
    <row r="619" spans="1:8" x14ac:dyDescent="0.25">
      <c r="A619" s="13">
        <v>41163</v>
      </c>
      <c r="B619">
        <v>344.80317309999998</v>
      </c>
      <c r="C619" s="12">
        <v>-1.2243693953135737E-2</v>
      </c>
      <c r="D619" s="12">
        <f t="shared" si="45"/>
        <v>-9.042873315568961E-5</v>
      </c>
      <c r="E619" s="11">
        <f t="shared" si="46"/>
        <v>-1.2153265219980048E-2</v>
      </c>
      <c r="F619">
        <f t="shared" si="49"/>
        <v>1.4782929566733089E-2</v>
      </c>
      <c r="G619">
        <f t="shared" si="47"/>
        <v>-0.82211480242246893</v>
      </c>
      <c r="H619">
        <f t="shared" si="48"/>
        <v>2.9574072641660254</v>
      </c>
    </row>
    <row r="620" spans="1:8" x14ac:dyDescent="0.25">
      <c r="A620" s="13">
        <v>41164</v>
      </c>
      <c r="B620">
        <v>344.15064489999997</v>
      </c>
      <c r="C620" s="12">
        <v>-1.8924657628099917E-3</v>
      </c>
      <c r="D620" s="12">
        <f t="shared" si="45"/>
        <v>-2.0476197989315905E-4</v>
      </c>
      <c r="E620" s="11">
        <f t="shared" si="46"/>
        <v>-1.6877037829168325E-3</v>
      </c>
      <c r="F620">
        <f t="shared" si="49"/>
        <v>1.5569300577093406E-2</v>
      </c>
      <c r="G620">
        <f t="shared" si="47"/>
        <v>-0.10839946049984384</v>
      </c>
      <c r="H620">
        <f t="shared" si="48"/>
        <v>3.2376404606108218</v>
      </c>
    </row>
    <row r="621" spans="1:8" x14ac:dyDescent="0.25">
      <c r="A621" s="13">
        <v>41165</v>
      </c>
      <c r="B621">
        <v>351.70232429999999</v>
      </c>
      <c r="C621" s="12">
        <v>2.1942947113158251E-2</v>
      </c>
      <c r="D621" s="12">
        <f t="shared" si="45"/>
        <v>-6.0088868812249525E-5</v>
      </c>
      <c r="E621" s="11">
        <f t="shared" si="46"/>
        <v>2.2003035981970502E-2</v>
      </c>
      <c r="F621">
        <f t="shared" si="49"/>
        <v>1.4282838768274802E-2</v>
      </c>
      <c r="G621">
        <f t="shared" si="47"/>
        <v>1.5405226047110387</v>
      </c>
      <c r="H621">
        <f t="shared" si="48"/>
        <v>2.1431530675133983</v>
      </c>
    </row>
    <row r="622" spans="1:8" x14ac:dyDescent="0.25">
      <c r="A622" s="13">
        <v>41166</v>
      </c>
      <c r="B622">
        <v>353.51555990000003</v>
      </c>
      <c r="C622" s="12">
        <v>5.1555974320298681E-3</v>
      </c>
      <c r="D622" s="12">
        <f t="shared" si="45"/>
        <v>3.2701635292570945E-4</v>
      </c>
      <c r="E622" s="11">
        <f t="shared" si="46"/>
        <v>4.8285810791041583E-3</v>
      </c>
      <c r="F622">
        <f t="shared" si="49"/>
        <v>1.8574746324809526E-2</v>
      </c>
      <c r="G622">
        <f t="shared" si="47"/>
        <v>0.25995407930038972</v>
      </c>
      <c r="H622">
        <f t="shared" si="48"/>
        <v>3.0332257504014639</v>
      </c>
    </row>
    <row r="623" spans="1:8" x14ac:dyDescent="0.25">
      <c r="A623" s="13">
        <v>41169</v>
      </c>
      <c r="B623">
        <v>353.66497390000001</v>
      </c>
      <c r="C623" s="12">
        <v>4.2265183473744194E-4</v>
      </c>
      <c r="D623" s="12">
        <f t="shared" si="45"/>
        <v>1.3436947410468174E-4</v>
      </c>
      <c r="E623" s="11">
        <f t="shared" si="46"/>
        <v>2.882823606327602E-4</v>
      </c>
      <c r="F623">
        <f t="shared" si="49"/>
        <v>1.4740663334260969E-2</v>
      </c>
      <c r="G623">
        <f t="shared" si="47"/>
        <v>1.9556946257820045E-2</v>
      </c>
      <c r="H623">
        <f t="shared" si="48"/>
        <v>3.2980156206310292</v>
      </c>
    </row>
    <row r="624" spans="1:8" x14ac:dyDescent="0.25">
      <c r="A624" s="13">
        <v>41170</v>
      </c>
      <c r="B624">
        <v>357.79950259999998</v>
      </c>
      <c r="C624" s="12">
        <v>1.1690523532502883E-2</v>
      </c>
      <c r="D624" s="12">
        <f t="shared" si="45"/>
        <v>1.9642208009273545E-5</v>
      </c>
      <c r="E624" s="11">
        <f t="shared" si="46"/>
        <v>1.167088132449361E-2</v>
      </c>
      <c r="F624">
        <f t="shared" si="49"/>
        <v>1.4173495374622064E-2</v>
      </c>
      <c r="G624">
        <f t="shared" si="47"/>
        <v>0.82343000198741123</v>
      </c>
      <c r="H624">
        <f t="shared" si="48"/>
        <v>2.9984245641222254</v>
      </c>
    </row>
    <row r="625" spans="1:8" x14ac:dyDescent="0.25">
      <c r="A625" s="13">
        <v>41171</v>
      </c>
      <c r="B625">
        <v>362.39228379999997</v>
      </c>
      <c r="C625" s="12">
        <v>1.2836186653770953E-2</v>
      </c>
      <c r="D625" s="12">
        <f t="shared" si="45"/>
        <v>1.7790156757787424E-4</v>
      </c>
      <c r="E625" s="11">
        <f t="shared" si="46"/>
        <v>1.2658285086193079E-2</v>
      </c>
      <c r="F625">
        <f t="shared" si="49"/>
        <v>1.5518988700073915E-2</v>
      </c>
      <c r="G625">
        <f t="shared" si="47"/>
        <v>0.81566430202586515</v>
      </c>
      <c r="H625">
        <f t="shared" si="48"/>
        <v>2.9140982674235079</v>
      </c>
    </row>
    <row r="626" spans="1:8" x14ac:dyDescent="0.25">
      <c r="A626" s="13">
        <v>41172</v>
      </c>
      <c r="B626">
        <v>362.70112260000002</v>
      </c>
      <c r="C626" s="12">
        <v>8.5222233972981343E-4</v>
      </c>
      <c r="D626" s="12">
        <f t="shared" si="45"/>
        <v>2.2418745441221151E-4</v>
      </c>
      <c r="E626" s="11">
        <f t="shared" si="46"/>
        <v>6.2803488531760197E-4</v>
      </c>
      <c r="F626">
        <f t="shared" si="49"/>
        <v>1.5617304780940125E-2</v>
      </c>
      <c r="G626">
        <f t="shared" si="47"/>
        <v>4.0214037833472806E-2</v>
      </c>
      <c r="H626">
        <f t="shared" si="48"/>
        <v>3.2396285810704075</v>
      </c>
    </row>
    <row r="627" spans="1:8" x14ac:dyDescent="0.25">
      <c r="A627" s="13">
        <v>41173</v>
      </c>
      <c r="B627">
        <v>365.62516909999999</v>
      </c>
      <c r="C627" s="12">
        <v>8.0618622821984065E-3</v>
      </c>
      <c r="D627" s="12">
        <f t="shared" si="45"/>
        <v>4.5878214644825226E-5</v>
      </c>
      <c r="E627" s="11">
        <f t="shared" si="46"/>
        <v>8.0159840675535811E-3</v>
      </c>
      <c r="F627">
        <f t="shared" si="49"/>
        <v>1.4266129195593983E-2</v>
      </c>
      <c r="G627">
        <f t="shared" si="47"/>
        <v>0.5618892102862264</v>
      </c>
      <c r="H627">
        <f t="shared" si="48"/>
        <v>3.173068863455466</v>
      </c>
    </row>
    <row r="628" spans="1:8" x14ac:dyDescent="0.25">
      <c r="A628" s="13">
        <v>41176</v>
      </c>
      <c r="B628">
        <v>373.29144200000002</v>
      </c>
      <c r="C628" s="12">
        <v>2.0967574302586556E-2</v>
      </c>
      <c r="D628" s="12">
        <f t="shared" si="45"/>
        <v>1.2412323065464175E-4</v>
      </c>
      <c r="E628" s="11">
        <f t="shared" si="46"/>
        <v>2.0843451071931914E-2</v>
      </c>
      <c r="F628">
        <f t="shared" si="49"/>
        <v>1.4794894099653804E-2</v>
      </c>
      <c r="G628">
        <f t="shared" si="47"/>
        <v>1.4088273245848812</v>
      </c>
      <c r="H628">
        <f t="shared" si="48"/>
        <v>2.3021374025494001</v>
      </c>
    </row>
    <row r="629" spans="1:8" x14ac:dyDescent="0.25">
      <c r="A629" s="13">
        <v>41177</v>
      </c>
      <c r="B629">
        <v>373.1818533</v>
      </c>
      <c r="C629" s="12">
        <v>-2.9357410234975845E-4</v>
      </c>
      <c r="D629" s="12">
        <f t="shared" si="45"/>
        <v>3.378464921748787E-4</v>
      </c>
      <c r="E629" s="11">
        <f t="shared" si="46"/>
        <v>-6.3142059452463714E-4</v>
      </c>
      <c r="F629">
        <f t="shared" si="49"/>
        <v>1.7962462219870547E-2</v>
      </c>
      <c r="G629">
        <f t="shared" si="47"/>
        <v>-3.5152229510392125E-2</v>
      </c>
      <c r="H629">
        <f t="shared" si="48"/>
        <v>3.0999147580326674</v>
      </c>
    </row>
    <row r="630" spans="1:8" x14ac:dyDescent="0.25">
      <c r="A630" s="13">
        <v>41178</v>
      </c>
      <c r="B630">
        <v>375.32385499999998</v>
      </c>
      <c r="C630" s="12">
        <v>5.739833491523072E-3</v>
      </c>
      <c r="D630" s="12">
        <f t="shared" si="45"/>
        <v>4.9445847739462137E-5</v>
      </c>
      <c r="E630" s="11">
        <f t="shared" si="46"/>
        <v>5.6903876437836096E-3</v>
      </c>
      <c r="F630">
        <f t="shared" si="49"/>
        <v>1.4528274098503404E-2</v>
      </c>
      <c r="G630">
        <f t="shared" si="47"/>
        <v>0.39167678178440973</v>
      </c>
      <c r="H630">
        <f t="shared" si="48"/>
        <v>3.236014706489605</v>
      </c>
    </row>
    <row r="631" spans="1:8" x14ac:dyDescent="0.25">
      <c r="A631" s="13">
        <v>41179</v>
      </c>
      <c r="B631">
        <v>376.83817049999999</v>
      </c>
      <c r="C631" s="12">
        <v>4.0346902543670904E-3</v>
      </c>
      <c r="D631" s="12">
        <f t="shared" si="45"/>
        <v>8.6058636966342432E-5</v>
      </c>
      <c r="E631" s="11">
        <f t="shared" si="46"/>
        <v>3.9486316174007479E-3</v>
      </c>
      <c r="F631">
        <f t="shared" si="49"/>
        <v>1.4479920489623483E-2</v>
      </c>
      <c r="G631">
        <f t="shared" si="47"/>
        <v>0.27269705108052172</v>
      </c>
      <c r="H631">
        <f t="shared" si="48"/>
        <v>3.2788720090490657</v>
      </c>
    </row>
    <row r="632" spans="1:8" x14ac:dyDescent="0.25">
      <c r="A632" s="13">
        <v>41180</v>
      </c>
      <c r="B632">
        <v>375.84189179999998</v>
      </c>
      <c r="C632" s="12">
        <v>-2.6437839316492129E-3</v>
      </c>
      <c r="D632" s="12">
        <f t="shared" si="45"/>
        <v>7.5774583624127863E-5</v>
      </c>
      <c r="E632" s="11">
        <f t="shared" si="46"/>
        <v>-2.7195585152733409E-3</v>
      </c>
      <c r="F632">
        <f t="shared" si="49"/>
        <v>1.4306959891919617E-2</v>
      </c>
      <c r="G632">
        <f t="shared" si="47"/>
        <v>-0.19008640101167207</v>
      </c>
      <c r="H632">
        <f t="shared" si="48"/>
        <v>3.3100042012609894</v>
      </c>
    </row>
    <row r="633" spans="1:8" x14ac:dyDescent="0.25">
      <c r="A633" s="13">
        <v>41183</v>
      </c>
      <c r="B633">
        <v>379.46830210000002</v>
      </c>
      <c r="C633" s="12">
        <v>9.648765555729355E-3</v>
      </c>
      <c r="D633" s="12">
        <f t="shared" si="45"/>
        <v>-2.9617334280662502E-5</v>
      </c>
      <c r="E633" s="11">
        <f t="shared" si="46"/>
        <v>9.6783828900100181E-3</v>
      </c>
      <c r="F633">
        <f t="shared" si="49"/>
        <v>1.4208009300474361E-2</v>
      </c>
      <c r="G633">
        <f t="shared" si="47"/>
        <v>0.68119204353891338</v>
      </c>
      <c r="H633">
        <f t="shared" si="48"/>
        <v>3.1029996048433062</v>
      </c>
    </row>
    <row r="634" spans="1:8" x14ac:dyDescent="0.25">
      <c r="A634" s="13">
        <v>41184</v>
      </c>
      <c r="B634">
        <v>377.08225069999997</v>
      </c>
      <c r="C634" s="12">
        <v>-6.2878806656457842E-3</v>
      </c>
      <c r="D634" s="12">
        <f t="shared" si="45"/>
        <v>1.3913999115073742E-4</v>
      </c>
      <c r="E634" s="11">
        <f t="shared" si="46"/>
        <v>-6.427020656796522E-3</v>
      </c>
      <c r="F634">
        <f t="shared" si="49"/>
        <v>1.5093642237633039E-2</v>
      </c>
      <c r="G634">
        <f t="shared" si="47"/>
        <v>-0.42580979167321226</v>
      </c>
      <c r="H634">
        <f t="shared" si="48"/>
        <v>3.1838861451434117</v>
      </c>
    </row>
    <row r="635" spans="1:8" x14ac:dyDescent="0.25">
      <c r="A635" s="13">
        <v>41185</v>
      </c>
      <c r="B635">
        <v>379.82697569999999</v>
      </c>
      <c r="C635" s="12">
        <v>7.2788496273819003E-3</v>
      </c>
      <c r="D635" s="12">
        <f t="shared" si="45"/>
        <v>-7.0305100249376737E-5</v>
      </c>
      <c r="E635" s="11">
        <f t="shared" si="46"/>
        <v>7.3491547276312774E-3</v>
      </c>
      <c r="F635">
        <f t="shared" si="49"/>
        <v>1.4594118146402194E-2</v>
      </c>
      <c r="G635">
        <f t="shared" si="47"/>
        <v>0.50356963359536888</v>
      </c>
      <c r="H635">
        <f t="shared" si="48"/>
        <v>3.1814069769808526</v>
      </c>
    </row>
    <row r="636" spans="1:8" x14ac:dyDescent="0.25">
      <c r="A636" s="13">
        <v>41186</v>
      </c>
      <c r="B636">
        <v>382.59159829999999</v>
      </c>
      <c r="C636" s="12">
        <v>7.2786367921997552E-3</v>
      </c>
      <c r="D636" s="12">
        <f t="shared" si="45"/>
        <v>9.3930560475402489E-5</v>
      </c>
      <c r="E636" s="11">
        <f t="shared" si="46"/>
        <v>7.1847062317243532E-3</v>
      </c>
      <c r="F636">
        <f t="shared" si="49"/>
        <v>1.4696637471588668E-2</v>
      </c>
      <c r="G636">
        <f t="shared" si="47"/>
        <v>0.48886735116204139</v>
      </c>
      <c r="H636">
        <f t="shared" si="48"/>
        <v>3.181702378071789</v>
      </c>
    </row>
    <row r="637" spans="1:8" x14ac:dyDescent="0.25">
      <c r="A637" s="13">
        <v>41187</v>
      </c>
      <c r="B637">
        <v>382.39234859999999</v>
      </c>
      <c r="C637" s="12">
        <v>-5.2078953350087609E-4</v>
      </c>
      <c r="D637" s="12">
        <f t="shared" si="45"/>
        <v>1.2879344652330955E-4</v>
      </c>
      <c r="E637" s="11">
        <f t="shared" si="46"/>
        <v>-6.4958298002418561E-4</v>
      </c>
      <c r="F637">
        <f t="shared" si="49"/>
        <v>1.4676024946326536E-2</v>
      </c>
      <c r="G637">
        <f t="shared" si="47"/>
        <v>-4.4261506940731839E-2</v>
      </c>
      <c r="H637">
        <f t="shared" si="48"/>
        <v>3.3016219989833346</v>
      </c>
    </row>
    <row r="638" spans="1:8" x14ac:dyDescent="0.25">
      <c r="A638" s="13">
        <v>41190</v>
      </c>
      <c r="B638">
        <v>377.50565210000002</v>
      </c>
      <c r="C638" s="12">
        <v>-1.2779273743031117E-2</v>
      </c>
      <c r="D638" s="12">
        <f t="shared" si="45"/>
        <v>1.0829114144016932E-5</v>
      </c>
      <c r="E638" s="11">
        <f t="shared" si="46"/>
        <v>-1.2790102857175134E-2</v>
      </c>
      <c r="F638">
        <f t="shared" si="49"/>
        <v>1.4170454008081552E-2</v>
      </c>
      <c r="G638">
        <f t="shared" si="47"/>
        <v>-0.90258949006720679</v>
      </c>
      <c r="H638">
        <f t="shared" si="48"/>
        <v>2.930323758707817</v>
      </c>
    </row>
    <row r="639" spans="1:8" x14ac:dyDescent="0.25">
      <c r="A639" s="13">
        <v>41191</v>
      </c>
      <c r="B639">
        <v>370.65633609999998</v>
      </c>
      <c r="C639" s="12">
        <v>-1.8143611789382397E-2</v>
      </c>
      <c r="D639" s="12">
        <f t="shared" si="45"/>
        <v>-1.9462077130666383E-4</v>
      </c>
      <c r="E639" s="11">
        <f t="shared" si="46"/>
        <v>-1.7948991018075733E-2</v>
      </c>
      <c r="F639">
        <f t="shared" si="49"/>
        <v>1.5786186564976656E-2</v>
      </c>
      <c r="G639">
        <f t="shared" si="47"/>
        <v>-1.1370061378786369</v>
      </c>
      <c r="H639">
        <f t="shared" si="48"/>
        <v>2.5832899773923441</v>
      </c>
    </row>
    <row r="640" spans="1:8" x14ac:dyDescent="0.25">
      <c r="A640" s="13">
        <v>41192</v>
      </c>
      <c r="B640">
        <v>370.89043709999999</v>
      </c>
      <c r="C640" s="12">
        <v>6.3158504846616559E-4</v>
      </c>
      <c r="D640" s="12">
        <f t="shared" si="45"/>
        <v>-3.0725858926159425E-4</v>
      </c>
      <c r="E640" s="11">
        <f t="shared" si="46"/>
        <v>9.3884363772775989E-4</v>
      </c>
      <c r="F640">
        <f t="shared" si="49"/>
        <v>1.6827274178351979E-2</v>
      </c>
      <c r="G640">
        <f t="shared" si="47"/>
        <v>5.5792972039141513E-2</v>
      </c>
      <c r="H640">
        <f t="shared" si="48"/>
        <v>3.1642592848981312</v>
      </c>
    </row>
    <row r="641" spans="1:8" x14ac:dyDescent="0.25">
      <c r="A641" s="13">
        <v>41193</v>
      </c>
      <c r="B641">
        <v>374.33752559999999</v>
      </c>
      <c r="C641" s="12">
        <v>9.2940883754051296E-3</v>
      </c>
      <c r="D641" s="12">
        <f t="shared" si="45"/>
        <v>-3.7076040045046091E-5</v>
      </c>
      <c r="E641" s="11">
        <f t="shared" si="46"/>
        <v>9.3311644154501754E-3</v>
      </c>
      <c r="F641">
        <f t="shared" si="49"/>
        <v>1.4400993011196128E-2</v>
      </c>
      <c r="G641">
        <f t="shared" si="47"/>
        <v>0.64795284659853747</v>
      </c>
      <c r="H641">
        <f t="shared" si="48"/>
        <v>3.1115981367546635</v>
      </c>
    </row>
    <row r="642" spans="1:8" x14ac:dyDescent="0.25">
      <c r="A642" s="13">
        <v>41194</v>
      </c>
      <c r="B642">
        <v>370.98510279999999</v>
      </c>
      <c r="C642" s="12">
        <v>-8.9556151086552793E-3</v>
      </c>
      <c r="D642" s="12">
        <f t="shared" si="45"/>
        <v>1.4219321790509106E-4</v>
      </c>
      <c r="E642" s="11">
        <f t="shared" si="46"/>
        <v>-9.0978083265603697E-3</v>
      </c>
      <c r="F642">
        <f t="shared" si="49"/>
        <v>1.5021367211258338E-2</v>
      </c>
      <c r="G642">
        <f t="shared" si="47"/>
        <v>-0.60565780721622131</v>
      </c>
      <c r="H642">
        <f t="shared" si="48"/>
        <v>3.0959323878139573</v>
      </c>
    </row>
    <row r="643" spans="1:8" x14ac:dyDescent="0.25">
      <c r="A643" s="13">
        <v>41197</v>
      </c>
      <c r="B643">
        <v>369.10713929999997</v>
      </c>
      <c r="C643" s="12">
        <v>-5.0620994908586736E-3</v>
      </c>
      <c r="D643" s="12">
        <f t="shared" si="45"/>
        <v>-1.1156522578456111E-4</v>
      </c>
      <c r="E643" s="11">
        <f t="shared" si="46"/>
        <v>-4.9505342650741123E-3</v>
      </c>
      <c r="F643">
        <f t="shared" si="49"/>
        <v>1.4971546809097484E-2</v>
      </c>
      <c r="G643">
        <f t="shared" si="47"/>
        <v>-0.33066284520888067</v>
      </c>
      <c r="H643">
        <f t="shared" si="48"/>
        <v>3.2279962668219846</v>
      </c>
    </row>
    <row r="644" spans="1:8" x14ac:dyDescent="0.25">
      <c r="A644" s="13">
        <v>41198</v>
      </c>
      <c r="B644">
        <v>370.96020010000001</v>
      </c>
      <c r="C644" s="12">
        <v>5.020387314952357E-3</v>
      </c>
      <c r="D644" s="12">
        <f t="shared" si="45"/>
        <v>-9.9578279927297746E-5</v>
      </c>
      <c r="E644" s="11">
        <f t="shared" si="46"/>
        <v>5.1199655948796548E-3</v>
      </c>
      <c r="F644">
        <f t="shared" si="49"/>
        <v>1.4429987079946676E-2</v>
      </c>
      <c r="G644">
        <f t="shared" si="47"/>
        <v>0.35481428822586131</v>
      </c>
      <c r="H644">
        <f t="shared" si="48"/>
        <v>3.256561678788064</v>
      </c>
    </row>
    <row r="645" spans="1:8" x14ac:dyDescent="0.25">
      <c r="A645" s="13">
        <v>41199</v>
      </c>
      <c r="B645">
        <v>376.33505680000002</v>
      </c>
      <c r="C645" s="12">
        <v>1.4489038712377056E-2</v>
      </c>
      <c r="D645" s="12">
        <f t="shared" si="45"/>
        <v>6.2922275082837563E-5</v>
      </c>
      <c r="E645" s="11">
        <f t="shared" si="46"/>
        <v>1.4426116437294217E-2</v>
      </c>
      <c r="F645">
        <f t="shared" si="49"/>
        <v>1.4412082349698326E-2</v>
      </c>
      <c r="G645">
        <f t="shared" si="47"/>
        <v>1.0009737723706655</v>
      </c>
      <c r="H645">
        <f t="shared" si="48"/>
        <v>2.8197755924535506</v>
      </c>
    </row>
    <row r="646" spans="1:8" x14ac:dyDescent="0.25">
      <c r="A646" s="13">
        <v>41200</v>
      </c>
      <c r="B646">
        <v>346.20295579999998</v>
      </c>
      <c r="C646" s="12">
        <v>-8.0067217910058996E-2</v>
      </c>
      <c r="D646" s="12">
        <f t="shared" ref="D646:D709" si="50">+C645*$K$11+C644*$K$10</f>
        <v>2.3204424651618812E-4</v>
      </c>
      <c r="E646" s="11">
        <f t="shared" ref="E646:E709" si="51">C646-D646</f>
        <v>-8.029926215657518E-2</v>
      </c>
      <c r="F646">
        <f t="shared" si="49"/>
        <v>1.6166155878395382E-2</v>
      </c>
      <c r="G646">
        <f t="shared" ref="G646:G709" si="52">E646/F646</f>
        <v>-4.9671216064350796</v>
      </c>
      <c r="H646">
        <f t="shared" ref="H646:H709" si="53">1/2*(-LN(PI()*2)-2*LN(F646)-(E646/F646)^2)</f>
        <v>-9.1302516944050289</v>
      </c>
    </row>
    <row r="647" spans="1:8" x14ac:dyDescent="0.25">
      <c r="A647" s="13">
        <v>41201</v>
      </c>
      <c r="B647">
        <v>339.62259160000002</v>
      </c>
      <c r="C647" s="12">
        <v>-1.9007244420528369E-2</v>
      </c>
      <c r="D647" s="12">
        <f t="shared" si="50"/>
        <v>-1.1737542075030191E-3</v>
      </c>
      <c r="E647" s="11">
        <f t="shared" si="51"/>
        <v>-1.7833490213025348E-2</v>
      </c>
      <c r="F647">
        <f t="shared" ref="F647:F710" si="54">SQRT($K$6+$K$7*G646^2+$K$8*F646^2)</f>
        <v>4.1437423801472008E-2</v>
      </c>
      <c r="G647">
        <f t="shared" si="52"/>
        <v>-0.43037159593864127</v>
      </c>
      <c r="H647">
        <f t="shared" si="53"/>
        <v>2.1720224614161912</v>
      </c>
    </row>
    <row r="648" spans="1:8" x14ac:dyDescent="0.25">
      <c r="A648" s="13">
        <v>41204</v>
      </c>
      <c r="B648">
        <v>338.06842010000003</v>
      </c>
      <c r="C648" s="12">
        <v>-4.5761723113828534E-3</v>
      </c>
      <c r="D648" s="12">
        <f t="shared" si="50"/>
        <v>-4.9324882535410337E-4</v>
      </c>
      <c r="E648" s="11">
        <f t="shared" si="51"/>
        <v>-4.0829234860287498E-3</v>
      </c>
      <c r="F648">
        <f t="shared" si="54"/>
        <v>1.8878986336745562E-2</v>
      </c>
      <c r="G648">
        <f t="shared" si="52"/>
        <v>-0.21626815196543975</v>
      </c>
      <c r="H648">
        <f t="shared" si="53"/>
        <v>3.0273813195152037</v>
      </c>
    </row>
    <row r="649" spans="1:8" x14ac:dyDescent="0.25">
      <c r="A649" s="13">
        <v>41205</v>
      </c>
      <c r="B649">
        <v>338.90527479999997</v>
      </c>
      <c r="C649" s="12">
        <v>2.4754003930695934E-3</v>
      </c>
      <c r="D649" s="12">
        <f t="shared" si="50"/>
        <v>-1.1806118653722811E-4</v>
      </c>
      <c r="E649" s="11">
        <f t="shared" si="51"/>
        <v>2.5934615796068213E-3</v>
      </c>
      <c r="F649">
        <f t="shared" si="54"/>
        <v>1.4734579888902621E-2</v>
      </c>
      <c r="G649">
        <f t="shared" si="52"/>
        <v>0.17601191205730218</v>
      </c>
      <c r="H649">
        <f t="shared" si="53"/>
        <v>3.28312954450386</v>
      </c>
    </row>
    <row r="650" spans="1:8" x14ac:dyDescent="0.25">
      <c r="A650" s="13">
        <v>41206</v>
      </c>
      <c r="B650">
        <v>337.38598500000001</v>
      </c>
      <c r="C650" s="12">
        <v>-4.4829334712968016E-3</v>
      </c>
      <c r="D650" s="12">
        <f t="shared" si="50"/>
        <v>2.5678994797160596E-5</v>
      </c>
      <c r="E650" s="11">
        <f t="shared" si="51"/>
        <v>-4.5086124660939624E-3</v>
      </c>
      <c r="F650">
        <f t="shared" si="54"/>
        <v>1.4238883729885694E-2</v>
      </c>
      <c r="G650">
        <f t="shared" si="52"/>
        <v>-0.31664086536720082</v>
      </c>
      <c r="H650">
        <f t="shared" si="53"/>
        <v>3.2827095138112456</v>
      </c>
    </row>
    <row r="651" spans="1:8" x14ac:dyDescent="0.25">
      <c r="A651" s="13">
        <v>41207</v>
      </c>
      <c r="B651">
        <v>337.6151112</v>
      </c>
      <c r="C651" s="12">
        <v>6.7912186690266552E-4</v>
      </c>
      <c r="D651" s="12">
        <f t="shared" si="50"/>
        <v>-6.1441202564086839E-5</v>
      </c>
      <c r="E651" s="11">
        <f t="shared" si="51"/>
        <v>7.405630694667523E-4</v>
      </c>
      <c r="F651">
        <f t="shared" si="54"/>
        <v>1.4339127971451178E-2</v>
      </c>
      <c r="G651">
        <f t="shared" si="52"/>
        <v>5.1646311473137953E-2</v>
      </c>
      <c r="H651">
        <f t="shared" si="53"/>
        <v>3.3244910526275921</v>
      </c>
    </row>
    <row r="652" spans="1:8" x14ac:dyDescent="0.25">
      <c r="A652" s="13">
        <v>41208</v>
      </c>
      <c r="B652">
        <v>336.31499930000001</v>
      </c>
      <c r="C652" s="12">
        <v>-3.850869990324024E-3</v>
      </c>
      <c r="D652" s="12">
        <f t="shared" si="50"/>
        <v>-1.2495123113093567E-6</v>
      </c>
      <c r="E652" s="11">
        <f t="shared" si="51"/>
        <v>-3.8496204780127147E-3</v>
      </c>
      <c r="F652">
        <f t="shared" si="54"/>
        <v>1.4138787312036095E-2</v>
      </c>
      <c r="G652">
        <f t="shared" si="52"/>
        <v>-0.27227373840864005</v>
      </c>
      <c r="H652">
        <f t="shared" si="53"/>
        <v>3.3028283576128361</v>
      </c>
    </row>
    <row r="653" spans="1:8" x14ac:dyDescent="0.25">
      <c r="A653" s="13">
        <v>41213</v>
      </c>
      <c r="B653">
        <v>338.88037220000001</v>
      </c>
      <c r="C653" s="12">
        <v>7.6278872644381934E-3</v>
      </c>
      <c r="D653" s="12">
        <f t="shared" si="50"/>
        <v>-5.6497832019492743E-5</v>
      </c>
      <c r="E653" s="11">
        <f t="shared" si="51"/>
        <v>7.6843850964576858E-3</v>
      </c>
      <c r="F653">
        <f t="shared" si="54"/>
        <v>1.4273622026219315E-2</v>
      </c>
      <c r="G653">
        <f t="shared" si="52"/>
        <v>0.53836265821962959</v>
      </c>
      <c r="H653">
        <f t="shared" si="53"/>
        <v>3.1854863495746817</v>
      </c>
    </row>
    <row r="654" spans="1:8" x14ac:dyDescent="0.25">
      <c r="A654" s="13">
        <v>41214</v>
      </c>
      <c r="B654">
        <v>342.5117568</v>
      </c>
      <c r="C654" s="12">
        <v>1.0715830416571981E-2</v>
      </c>
      <c r="D654" s="12">
        <f t="shared" si="50"/>
        <v>1.0547268823238078E-4</v>
      </c>
      <c r="E654" s="11">
        <f t="shared" si="51"/>
        <v>1.06103577283396E-2</v>
      </c>
      <c r="F654">
        <f t="shared" si="54"/>
        <v>1.4741884820751226E-2</v>
      </c>
      <c r="G654">
        <f t="shared" si="52"/>
        <v>0.71974227565555693</v>
      </c>
      <c r="H654">
        <f t="shared" si="53"/>
        <v>3.0391095243581572</v>
      </c>
    </row>
    <row r="655" spans="1:8" x14ac:dyDescent="0.25">
      <c r="A655" s="13">
        <v>41215</v>
      </c>
      <c r="B655">
        <v>342.67615510000002</v>
      </c>
      <c r="C655" s="12">
        <v>4.7997856054915466E-4</v>
      </c>
      <c r="D655" s="12">
        <f t="shared" si="50"/>
        <v>1.8167689834663468E-4</v>
      </c>
      <c r="E655" s="11">
        <f t="shared" si="51"/>
        <v>2.9830166220251998E-4</v>
      </c>
      <c r="F655">
        <f t="shared" si="54"/>
        <v>1.5251677690767225E-2</v>
      </c>
      <c r="G655">
        <f t="shared" si="52"/>
        <v>1.9558613042491728E-2</v>
      </c>
      <c r="H655">
        <f t="shared" si="53"/>
        <v>3.2639359665935763</v>
      </c>
    </row>
    <row r="656" spans="1:8" x14ac:dyDescent="0.25">
      <c r="A656" s="13">
        <v>41218</v>
      </c>
      <c r="B656">
        <v>340.20541759999998</v>
      </c>
      <c r="C656" s="12">
        <v>-7.2101237953923203E-3</v>
      </c>
      <c r="D656" s="12">
        <f t="shared" si="50"/>
        <v>3.4798894301539636E-5</v>
      </c>
      <c r="E656" s="11">
        <f t="shared" si="51"/>
        <v>-7.2449226896938602E-3</v>
      </c>
      <c r="F656">
        <f t="shared" si="54"/>
        <v>1.4225385681087914E-2</v>
      </c>
      <c r="G656">
        <f t="shared" si="52"/>
        <v>-0.50929534369853313</v>
      </c>
      <c r="H656">
        <f t="shared" si="53"/>
        <v>3.2040977796701102</v>
      </c>
    </row>
    <row r="657" spans="1:8" x14ac:dyDescent="0.25">
      <c r="A657" s="13">
        <v>41219</v>
      </c>
      <c r="B657">
        <v>339.58774030000001</v>
      </c>
      <c r="C657" s="12">
        <v>-1.8156010105818687E-3</v>
      </c>
      <c r="D657" s="12">
        <f t="shared" si="50"/>
        <v>-1.0781724533422832E-4</v>
      </c>
      <c r="E657" s="11">
        <f t="shared" si="51"/>
        <v>-1.7077837652476405E-3</v>
      </c>
      <c r="F657">
        <f t="shared" si="54"/>
        <v>1.467394995910856E-2</v>
      </c>
      <c r="G657">
        <f t="shared" si="52"/>
        <v>-0.11638200825317439</v>
      </c>
      <c r="H657">
        <f t="shared" si="53"/>
        <v>3.2959705497428304</v>
      </c>
    </row>
    <row r="658" spans="1:8" x14ac:dyDescent="0.25">
      <c r="A658" s="13">
        <v>41220</v>
      </c>
      <c r="B658">
        <v>332.31496190000001</v>
      </c>
      <c r="C658" s="12">
        <v>-2.1416492814419708E-2</v>
      </c>
      <c r="D658" s="12">
        <f t="shared" si="50"/>
        <v>-4.5990184485086575E-5</v>
      </c>
      <c r="E658" s="11">
        <f t="shared" si="51"/>
        <v>-2.1370502629934621E-2</v>
      </c>
      <c r="F658">
        <f t="shared" si="54"/>
        <v>1.4195277444278179E-2</v>
      </c>
      <c r="G658">
        <f t="shared" si="52"/>
        <v>-1.5054656531950086</v>
      </c>
      <c r="H658">
        <f t="shared" si="53"/>
        <v>2.2026939943570314</v>
      </c>
    </row>
    <row r="659" spans="1:8" x14ac:dyDescent="0.25">
      <c r="A659" s="13">
        <v>41221</v>
      </c>
      <c r="B659">
        <v>324.9276509</v>
      </c>
      <c r="C659" s="12">
        <v>-2.2229847725673602E-2</v>
      </c>
      <c r="D659" s="12">
        <f t="shared" si="50"/>
        <v>-3.2858352749135975E-4</v>
      </c>
      <c r="E659" s="11">
        <f t="shared" si="51"/>
        <v>-2.1901264198182242E-2</v>
      </c>
      <c r="F659">
        <f t="shared" si="54"/>
        <v>1.8391237114916387E-2</v>
      </c>
      <c r="G659">
        <f t="shared" si="52"/>
        <v>-1.190853234142635</v>
      </c>
      <c r="H659">
        <f t="shared" si="53"/>
        <v>2.367876725723157</v>
      </c>
    </row>
    <row r="660" spans="1:8" x14ac:dyDescent="0.25">
      <c r="A660" s="13">
        <v>41222</v>
      </c>
      <c r="B660">
        <v>330.27760499999999</v>
      </c>
      <c r="C660" s="12">
        <v>1.646506256140845E-2</v>
      </c>
      <c r="D660" s="12">
        <f t="shared" si="50"/>
        <v>-3.9125898183050504E-4</v>
      </c>
      <c r="E660" s="11">
        <f t="shared" si="51"/>
        <v>1.6856321543238954E-2</v>
      </c>
      <c r="F660">
        <f t="shared" si="54"/>
        <v>1.7303155865800533E-2</v>
      </c>
      <c r="G660">
        <f t="shared" si="52"/>
        <v>0.97417613723027596</v>
      </c>
      <c r="H660">
        <f t="shared" si="53"/>
        <v>2.6634182677473133</v>
      </c>
    </row>
    <row r="661" spans="1:8" x14ac:dyDescent="0.25">
      <c r="A661" s="13">
        <v>41225</v>
      </c>
      <c r="B661">
        <v>331.7072642</v>
      </c>
      <c r="C661" s="12">
        <v>4.3286592198705787E-3</v>
      </c>
      <c r="D661" s="12">
        <f t="shared" si="50"/>
        <v>1.9189864707625442E-4</v>
      </c>
      <c r="E661" s="11">
        <f t="shared" si="51"/>
        <v>4.1367605727943239E-3</v>
      </c>
      <c r="F661">
        <f t="shared" si="54"/>
        <v>1.6337593574702748E-2</v>
      </c>
      <c r="G661">
        <f t="shared" si="52"/>
        <v>0.25320501173439119</v>
      </c>
      <c r="H661">
        <f t="shared" si="53"/>
        <v>3.1632915502575094</v>
      </c>
    </row>
    <row r="662" spans="1:8" x14ac:dyDescent="0.25">
      <c r="A662" s="13">
        <v>41226</v>
      </c>
      <c r="B662">
        <v>328.29502710000003</v>
      </c>
      <c r="C662" s="12">
        <v>-1.0286892897053312E-2</v>
      </c>
      <c r="D662" s="12">
        <f t="shared" si="50"/>
        <v>1.0778429759202785E-4</v>
      </c>
      <c r="E662" s="11">
        <f t="shared" si="51"/>
        <v>-1.039467719464534E-2</v>
      </c>
      <c r="F662">
        <f t="shared" si="54"/>
        <v>1.4476370587950958E-2</v>
      </c>
      <c r="G662">
        <f t="shared" si="52"/>
        <v>-0.71804442498156873</v>
      </c>
      <c r="H662">
        <f t="shared" si="53"/>
        <v>3.0585051421176876</v>
      </c>
    </row>
    <row r="663" spans="1:8" x14ac:dyDescent="0.25">
      <c r="A663" s="13">
        <v>41227</v>
      </c>
      <c r="B663">
        <v>325.05716740000003</v>
      </c>
      <c r="C663" s="12">
        <v>-9.8626522874918354E-3</v>
      </c>
      <c r="D663" s="12">
        <f t="shared" si="50"/>
        <v>-1.4446137871481162E-4</v>
      </c>
      <c r="E663" s="11">
        <f t="shared" si="51"/>
        <v>-9.7181909087770239E-3</v>
      </c>
      <c r="F663">
        <f t="shared" si="54"/>
        <v>1.5222291793025559E-2</v>
      </c>
      <c r="G663">
        <f t="shared" si="52"/>
        <v>-0.63841838278449214</v>
      </c>
      <c r="H663">
        <f t="shared" si="53"/>
        <v>3.0622668112126745</v>
      </c>
    </row>
    <row r="664" spans="1:8" x14ac:dyDescent="0.25">
      <c r="A664" s="13">
        <v>41228</v>
      </c>
      <c r="B664">
        <v>322.42203110000003</v>
      </c>
      <c r="C664" s="12">
        <v>-8.1066857287823701E-3</v>
      </c>
      <c r="D664" s="12">
        <f t="shared" si="50"/>
        <v>-1.7560642444783547E-4</v>
      </c>
      <c r="E664" s="11">
        <f t="shared" si="51"/>
        <v>-7.9310793043345339E-3</v>
      </c>
      <c r="F664">
        <f t="shared" si="54"/>
        <v>1.5074120701509354E-2</v>
      </c>
      <c r="G664">
        <f t="shared" si="52"/>
        <v>-0.52613876864740805</v>
      </c>
      <c r="H664">
        <f t="shared" si="53"/>
        <v>3.1374263311865547</v>
      </c>
    </row>
    <row r="665" spans="1:8" x14ac:dyDescent="0.25">
      <c r="A665" s="13">
        <v>41229</v>
      </c>
      <c r="B665">
        <v>322.38217500000002</v>
      </c>
      <c r="C665" s="12">
        <v>-1.2361469178778783E-4</v>
      </c>
      <c r="D665" s="12">
        <f t="shared" si="50"/>
        <v>-1.4795771548719019E-4</v>
      </c>
      <c r="E665" s="11">
        <f t="shared" si="51"/>
        <v>2.4343023699402352E-5</v>
      </c>
      <c r="F665">
        <f t="shared" si="54"/>
        <v>1.479136746806806E-2</v>
      </c>
      <c r="G665">
        <f t="shared" si="52"/>
        <v>1.6457588354798585E-3</v>
      </c>
      <c r="H665">
        <f t="shared" si="53"/>
        <v>3.2947716601043928</v>
      </c>
    </row>
    <row r="666" spans="1:8" x14ac:dyDescent="0.25">
      <c r="A666" s="13">
        <v>41232</v>
      </c>
      <c r="B666">
        <v>332.85793180000002</v>
      </c>
      <c r="C666" s="12">
        <v>3.2494838773266643E-2</v>
      </c>
      <c r="D666" s="12">
        <f t="shared" si="50"/>
        <v>-2.2703580232196043E-5</v>
      </c>
      <c r="E666" s="11">
        <f t="shared" si="51"/>
        <v>3.2517542353498838E-2</v>
      </c>
      <c r="F666">
        <f t="shared" si="54"/>
        <v>1.4177752676243325E-2</v>
      </c>
      <c r="G666">
        <f t="shared" si="52"/>
        <v>2.293561123265059</v>
      </c>
      <c r="H666">
        <f t="shared" si="53"/>
        <v>0.70693140961252743</v>
      </c>
    </row>
    <row r="667" spans="1:8" x14ac:dyDescent="0.25">
      <c r="A667" s="13">
        <v>41233</v>
      </c>
      <c r="B667">
        <v>333.73464209999997</v>
      </c>
      <c r="C667" s="12">
        <v>2.6338873622717696E-3</v>
      </c>
      <c r="D667" s="12">
        <f t="shared" si="50"/>
        <v>4.9115617708709116E-4</v>
      </c>
      <c r="E667" s="11">
        <f t="shared" si="51"/>
        <v>2.1427311851846785E-3</v>
      </c>
      <c r="F667">
        <f t="shared" si="54"/>
        <v>2.2840027334165409E-2</v>
      </c>
      <c r="G667">
        <f t="shared" si="52"/>
        <v>9.3814738215284868E-2</v>
      </c>
      <c r="H667">
        <f t="shared" si="53"/>
        <v>2.855901561669858</v>
      </c>
    </row>
    <row r="668" spans="1:8" x14ac:dyDescent="0.25">
      <c r="A668" s="13">
        <v>41234</v>
      </c>
      <c r="B668">
        <v>331.69231079999997</v>
      </c>
      <c r="C668" s="12">
        <v>-6.1196263209261081E-3</v>
      </c>
      <c r="D668" s="12">
        <f t="shared" si="50"/>
        <v>1.233474866918743E-4</v>
      </c>
      <c r="E668" s="11">
        <f t="shared" si="51"/>
        <v>-6.2429738076179827E-3</v>
      </c>
      <c r="F668">
        <f t="shared" si="54"/>
        <v>1.5187809473110355E-2</v>
      </c>
      <c r="G668">
        <f t="shared" si="52"/>
        <v>-0.41105162786450639</v>
      </c>
      <c r="H668">
        <f t="shared" si="53"/>
        <v>3.1838419276689596</v>
      </c>
    </row>
    <row r="669" spans="1:8" x14ac:dyDescent="0.25">
      <c r="A669" s="13">
        <v>41236</v>
      </c>
      <c r="B669">
        <v>332.73839379999998</v>
      </c>
      <c r="C669" s="12">
        <v>3.1537752487447168E-3</v>
      </c>
      <c r="D669" s="12">
        <f t="shared" si="50"/>
        <v>-8.5788342433135435E-5</v>
      </c>
      <c r="E669" s="11">
        <f t="shared" si="51"/>
        <v>3.2395635911778523E-3</v>
      </c>
      <c r="F669">
        <f t="shared" si="54"/>
        <v>1.4577571558300077E-2</v>
      </c>
      <c r="G669">
        <f t="shared" si="52"/>
        <v>0.22222930466997654</v>
      </c>
      <c r="H669">
        <f t="shared" si="53"/>
        <v>3.2846396609298978</v>
      </c>
    </row>
    <row r="670" spans="1:8" x14ac:dyDescent="0.25">
      <c r="A670" s="13">
        <v>41239</v>
      </c>
      <c r="B670">
        <v>329.3411102</v>
      </c>
      <c r="C670" s="12">
        <v>-1.0210073929857288E-2</v>
      </c>
      <c r="D670" s="12">
        <f t="shared" si="50"/>
        <v>3.1972561522693149E-5</v>
      </c>
      <c r="E670" s="11">
        <f t="shared" si="51"/>
        <v>-1.0242046491379981E-2</v>
      </c>
      <c r="F670">
        <f t="shared" si="54"/>
        <v>1.4262932381652568E-2</v>
      </c>
      <c r="G670">
        <f t="shared" si="52"/>
        <v>-0.71808841389131595</v>
      </c>
      <c r="H670">
        <f t="shared" si="53"/>
        <v>3.0733272299871714</v>
      </c>
    </row>
    <row r="671" spans="1:8" x14ac:dyDescent="0.25">
      <c r="A671" s="13">
        <v>41240</v>
      </c>
      <c r="B671">
        <v>334.1032644</v>
      </c>
      <c r="C671" s="12">
        <v>1.445964093917107E-2</v>
      </c>
      <c r="D671" s="12">
        <f t="shared" si="50"/>
        <v>-1.4631893471208851E-4</v>
      </c>
      <c r="E671" s="11">
        <f t="shared" si="51"/>
        <v>1.4605959873883159E-2</v>
      </c>
      <c r="F671">
        <f t="shared" si="54"/>
        <v>1.5203034474845693E-2</v>
      </c>
      <c r="G671">
        <f t="shared" si="52"/>
        <v>0.96072661665337733</v>
      </c>
      <c r="H671">
        <f t="shared" si="53"/>
        <v>2.8058238853738198</v>
      </c>
    </row>
    <row r="672" spans="1:8" x14ac:dyDescent="0.25">
      <c r="A672" s="13">
        <v>41241</v>
      </c>
      <c r="B672">
        <v>340.55908590000001</v>
      </c>
      <c r="C672" s="12">
        <v>1.9322832752304064E-2</v>
      </c>
      <c r="D672" s="12">
        <f t="shared" si="50"/>
        <v>1.9245776914562432E-4</v>
      </c>
      <c r="E672" s="11">
        <f t="shared" si="51"/>
        <v>1.9130374983158439E-2</v>
      </c>
      <c r="F672">
        <f t="shared" si="54"/>
        <v>1.6085969986295429E-2</v>
      </c>
      <c r="G672">
        <f t="shared" si="52"/>
        <v>1.1892584034072371</v>
      </c>
      <c r="H672">
        <f t="shared" si="53"/>
        <v>2.5037015080876737</v>
      </c>
    </row>
    <row r="673" spans="1:8" x14ac:dyDescent="0.25">
      <c r="A673" s="13">
        <v>41242</v>
      </c>
      <c r="B673">
        <v>344.6537586</v>
      </c>
      <c r="C673" s="12">
        <v>1.2023384104344004E-2</v>
      </c>
      <c r="D673" s="12">
        <f t="shared" si="50"/>
        <v>3.2941241780399849E-4</v>
      </c>
      <c r="E673" s="11">
        <f t="shared" si="51"/>
        <v>1.1693971686540005E-2</v>
      </c>
      <c r="F673">
        <f t="shared" si="54"/>
        <v>1.7074096660417922E-2</v>
      </c>
      <c r="G673">
        <f t="shared" si="52"/>
        <v>0.68489548344010442</v>
      </c>
      <c r="H673">
        <f t="shared" si="53"/>
        <v>2.9167133343232594</v>
      </c>
    </row>
    <row r="674" spans="1:8" x14ac:dyDescent="0.25">
      <c r="A674" s="13">
        <v>41243</v>
      </c>
      <c r="B674">
        <v>347.8816392</v>
      </c>
      <c r="C674" s="12">
        <v>9.3655749268826138E-3</v>
      </c>
      <c r="D674" s="12">
        <f t="shared" si="50"/>
        <v>2.3150889463210378E-4</v>
      </c>
      <c r="E674" s="11">
        <f t="shared" si="51"/>
        <v>9.1340660322505093E-3</v>
      </c>
      <c r="F674">
        <f t="shared" si="54"/>
        <v>1.538663347406505E-2</v>
      </c>
      <c r="G674">
        <f t="shared" si="52"/>
        <v>0.59363642135535633</v>
      </c>
      <c r="H674">
        <f t="shared" si="53"/>
        <v>3.0791154690997344</v>
      </c>
    </row>
    <row r="675" spans="1:8" x14ac:dyDescent="0.25">
      <c r="A675" s="13">
        <v>41246</v>
      </c>
      <c r="B675">
        <v>346.32746759999998</v>
      </c>
      <c r="C675" s="12">
        <v>-4.4675298287487619E-3</v>
      </c>
      <c r="D675" s="12">
        <f t="shared" si="50"/>
        <v>1.7255102336881861E-4</v>
      </c>
      <c r="E675" s="11">
        <f t="shared" si="51"/>
        <v>-4.6400808521175809E-3</v>
      </c>
      <c r="F675">
        <f t="shared" si="54"/>
        <v>1.4977704392392389E-2</v>
      </c>
      <c r="G675">
        <f t="shared" si="52"/>
        <v>-0.30979920090253704</v>
      </c>
      <c r="H675">
        <f t="shared" si="53"/>
        <v>3.2342662518252738</v>
      </c>
    </row>
    <row r="676" spans="1:8" x14ac:dyDescent="0.25">
      <c r="A676" s="13">
        <v>41247</v>
      </c>
      <c r="B676">
        <v>344.22535240000002</v>
      </c>
      <c r="C676" s="12">
        <v>-6.0697328299349484E-3</v>
      </c>
      <c r="D676" s="12">
        <f t="shared" si="50"/>
        <v>-4.3500677885977793E-5</v>
      </c>
      <c r="E676" s="11">
        <f t="shared" si="51"/>
        <v>-6.0262321520489709E-3</v>
      </c>
      <c r="F676">
        <f t="shared" si="54"/>
        <v>1.44022008704137E-2</v>
      </c>
      <c r="G676">
        <f t="shared" si="52"/>
        <v>-0.41842439265158426</v>
      </c>
      <c r="H676">
        <f t="shared" si="53"/>
        <v>3.2338962264679831</v>
      </c>
    </row>
    <row r="677" spans="1:8" x14ac:dyDescent="0.25">
      <c r="A677" s="13">
        <v>41248</v>
      </c>
      <c r="B677">
        <v>342.62635030000001</v>
      </c>
      <c r="C677" s="12">
        <v>-4.6452188627348345E-3</v>
      </c>
      <c r="D677" s="12">
        <f t="shared" si="50"/>
        <v>-1.0328415674218977E-4</v>
      </c>
      <c r="E677" s="11">
        <f t="shared" si="51"/>
        <v>-4.5419347059926446E-3</v>
      </c>
      <c r="F677">
        <f t="shared" si="54"/>
        <v>1.4513623836744169E-2</v>
      </c>
      <c r="G677">
        <f t="shared" si="52"/>
        <v>-0.31294284301993691</v>
      </c>
      <c r="H677">
        <f t="shared" si="53"/>
        <v>3.2647623510286112</v>
      </c>
    </row>
    <row r="678" spans="1:8" x14ac:dyDescent="0.25">
      <c r="A678" s="13">
        <v>41249</v>
      </c>
      <c r="B678">
        <v>344.27515720000002</v>
      </c>
      <c r="C678" s="12">
        <v>4.8122594732025181E-3</v>
      </c>
      <c r="D678" s="12">
        <f t="shared" si="50"/>
        <v>-8.5856461945705212E-5</v>
      </c>
      <c r="E678" s="11">
        <f t="shared" si="51"/>
        <v>4.8981159351482234E-3</v>
      </c>
      <c r="F678">
        <f t="shared" si="54"/>
        <v>1.4360621036260481E-2</v>
      </c>
      <c r="G678">
        <f t="shared" si="52"/>
        <v>0.34107967355872076</v>
      </c>
      <c r="H678">
        <f t="shared" si="53"/>
        <v>3.2661592635846262</v>
      </c>
    </row>
    <row r="679" spans="1:8" x14ac:dyDescent="0.25">
      <c r="A679" s="13">
        <v>41250</v>
      </c>
      <c r="B679">
        <v>340.82806870000002</v>
      </c>
      <c r="C679" s="12">
        <v>-1.0012597272586521E-2</v>
      </c>
      <c r="D679" s="12">
        <f t="shared" si="50"/>
        <v>6.0845780373763972E-5</v>
      </c>
      <c r="E679" s="11">
        <f t="shared" si="51"/>
        <v>-1.0073443052960285E-2</v>
      </c>
      <c r="F679">
        <f t="shared" si="54"/>
        <v>1.4385074909970283E-2</v>
      </c>
      <c r="G679">
        <f t="shared" si="52"/>
        <v>-0.70027046198962728</v>
      </c>
      <c r="H679">
        <f t="shared" si="53"/>
        <v>3.077436181314174</v>
      </c>
    </row>
    <row r="680" spans="1:8" x14ac:dyDescent="0.25">
      <c r="A680" s="13">
        <v>41253</v>
      </c>
      <c r="B680">
        <v>341.43082249999998</v>
      </c>
      <c r="C680" s="12">
        <v>1.7684981236991693E-3</v>
      </c>
      <c r="D680" s="12">
        <f t="shared" si="50"/>
        <v>-1.3906990795805663E-4</v>
      </c>
      <c r="E680" s="11">
        <f t="shared" si="51"/>
        <v>1.907568031657226E-3</v>
      </c>
      <c r="F680">
        <f t="shared" si="54"/>
        <v>1.5163112111873945E-2</v>
      </c>
      <c r="G680">
        <f t="shared" si="52"/>
        <v>0.12580320039732779</v>
      </c>
      <c r="H680">
        <f t="shared" si="53"/>
        <v>3.2620378795916953</v>
      </c>
    </row>
    <row r="681" spans="1:8" x14ac:dyDescent="0.25">
      <c r="A681" s="13">
        <v>41254</v>
      </c>
      <c r="B681">
        <v>347.13941970000002</v>
      </c>
      <c r="C681" s="12">
        <v>1.6719630519005158E-2</v>
      </c>
      <c r="D681" s="12">
        <f t="shared" si="50"/>
        <v>1.0158728124441552E-6</v>
      </c>
      <c r="E681" s="11">
        <f t="shared" si="51"/>
        <v>1.6718614646192714E-2</v>
      </c>
      <c r="F681">
        <f t="shared" si="54"/>
        <v>1.4249527372763336E-2</v>
      </c>
      <c r="G681">
        <f t="shared" si="52"/>
        <v>1.1732750293282577</v>
      </c>
      <c r="H681">
        <f t="shared" si="53"/>
        <v>2.6438058592138498</v>
      </c>
    </row>
    <row r="682" spans="1:8" x14ac:dyDescent="0.25">
      <c r="A682" s="13">
        <v>41255</v>
      </c>
      <c r="B682">
        <v>347.47816549999999</v>
      </c>
      <c r="C682" s="12">
        <v>9.7582060917411617E-4</v>
      </c>
      <c r="D682" s="12">
        <f t="shared" si="50"/>
        <v>2.5742396047900406E-4</v>
      </c>
      <c r="E682" s="11">
        <f t="shared" si="51"/>
        <v>7.1839664869511211E-4</v>
      </c>
      <c r="F682">
        <f t="shared" si="54"/>
        <v>1.6847976882471759E-2</v>
      </c>
      <c r="G682">
        <f t="shared" si="52"/>
        <v>4.2639935566537675E-2</v>
      </c>
      <c r="H682">
        <f t="shared" si="53"/>
        <v>3.1636770804572225</v>
      </c>
    </row>
    <row r="683" spans="1:8" x14ac:dyDescent="0.25">
      <c r="A683" s="13">
        <v>41256</v>
      </c>
      <c r="B683">
        <v>350.03856400000001</v>
      </c>
      <c r="C683" s="12">
        <v>7.3685162240790802E-3</v>
      </c>
      <c r="D683" s="12">
        <f t="shared" si="50"/>
        <v>5.7727936852130776E-5</v>
      </c>
      <c r="E683" s="11">
        <f t="shared" si="51"/>
        <v>7.3107882872269492E-3</v>
      </c>
      <c r="F683">
        <f t="shared" si="54"/>
        <v>1.440056563559035E-2</v>
      </c>
      <c r="G683">
        <f t="shared" si="52"/>
        <v>0.50767368950832492</v>
      </c>
      <c r="H683">
        <f t="shared" si="53"/>
        <v>3.1926829722081309</v>
      </c>
    </row>
    <row r="684" spans="1:8" x14ac:dyDescent="0.25">
      <c r="A684" s="13">
        <v>41257</v>
      </c>
      <c r="B684">
        <v>349.66994169999998</v>
      </c>
      <c r="C684" s="12">
        <v>-1.0530905389042333E-3</v>
      </c>
      <c r="D684" s="12">
        <f t="shared" si="50"/>
        <v>1.1395424111006011E-4</v>
      </c>
      <c r="E684" s="11">
        <f t="shared" si="51"/>
        <v>-1.1670447800142935E-3</v>
      </c>
      <c r="F684">
        <f t="shared" si="54"/>
        <v>1.4686929526717483E-2</v>
      </c>
      <c r="G684">
        <f t="shared" si="52"/>
        <v>-7.9461454342194759E-2</v>
      </c>
      <c r="H684">
        <f t="shared" si="53"/>
        <v>3.2987017339984481</v>
      </c>
    </row>
    <row r="685" spans="1:8" x14ac:dyDescent="0.25">
      <c r="A685" s="13">
        <v>41260</v>
      </c>
      <c r="B685">
        <v>359.04483579999999</v>
      </c>
      <c r="C685" s="12">
        <v>2.6810694835311955E-2</v>
      </c>
      <c r="D685" s="12">
        <f t="shared" si="50"/>
        <v>3.009222182024675E-6</v>
      </c>
      <c r="E685" s="11">
        <f t="shared" si="51"/>
        <v>2.680768561312993E-2</v>
      </c>
      <c r="F685">
        <f t="shared" si="54"/>
        <v>1.4180953313879682E-2</v>
      </c>
      <c r="G685">
        <f t="shared" si="52"/>
        <v>1.8904008087306632</v>
      </c>
      <c r="H685">
        <f t="shared" si="53"/>
        <v>1.5501093886388564</v>
      </c>
    </row>
    <row r="686" spans="1:8" x14ac:dyDescent="0.25">
      <c r="A686" s="13">
        <v>41261</v>
      </c>
      <c r="B686">
        <v>359.18927539999999</v>
      </c>
      <c r="C686" s="12">
        <v>4.0228847653023259E-4</v>
      </c>
      <c r="D686" s="12">
        <f t="shared" si="50"/>
        <v>4.027966234439104E-4</v>
      </c>
      <c r="E686" s="11">
        <f t="shared" si="51"/>
        <v>-5.0814691367781321E-7</v>
      </c>
      <c r="F686">
        <f t="shared" si="54"/>
        <v>2.0452510977101154E-2</v>
      </c>
      <c r="G686">
        <f t="shared" si="52"/>
        <v>-2.4845209189558183E-5</v>
      </c>
      <c r="H686">
        <f t="shared" si="53"/>
        <v>2.9707110843513003</v>
      </c>
    </row>
    <row r="687" spans="1:8" x14ac:dyDescent="0.25">
      <c r="A687" s="13">
        <v>41262</v>
      </c>
      <c r="B687">
        <v>358.71109480000001</v>
      </c>
      <c r="C687" s="12">
        <v>-1.3312774983814668E-3</v>
      </c>
      <c r="D687" s="12">
        <f t="shared" si="50"/>
        <v>7.498719387299259E-5</v>
      </c>
      <c r="E687" s="11">
        <f t="shared" si="51"/>
        <v>-1.4062646922544594E-3</v>
      </c>
      <c r="F687">
        <f t="shared" si="54"/>
        <v>1.4838872265847729E-2</v>
      </c>
      <c r="G687">
        <f t="shared" si="52"/>
        <v>-9.4768973481295815E-2</v>
      </c>
      <c r="H687">
        <f t="shared" si="53"/>
        <v>3.2870759246258889</v>
      </c>
    </row>
    <row r="688" spans="1:8" x14ac:dyDescent="0.25">
      <c r="A688" s="13">
        <v>41263</v>
      </c>
      <c r="B688">
        <v>359.83188530000001</v>
      </c>
      <c r="C688" s="12">
        <v>3.1244935443797139E-3</v>
      </c>
      <c r="D688" s="12">
        <f t="shared" si="50"/>
        <v>-1.9101269223455282E-5</v>
      </c>
      <c r="E688" s="11">
        <f t="shared" si="51"/>
        <v>3.1435948136031692E-3</v>
      </c>
      <c r="F688">
        <f t="shared" si="54"/>
        <v>1.4201909096466271E-2</v>
      </c>
      <c r="G688">
        <f t="shared" si="52"/>
        <v>0.22135015738027508</v>
      </c>
      <c r="H688">
        <f t="shared" si="53"/>
        <v>3.3109424007077006</v>
      </c>
    </row>
    <row r="689" spans="1:8" x14ac:dyDescent="0.25">
      <c r="A689" s="13">
        <v>41264</v>
      </c>
      <c r="B689">
        <v>356.4794321</v>
      </c>
      <c r="C689" s="12">
        <v>-9.3167207714374145E-3</v>
      </c>
      <c r="D689" s="12">
        <f t="shared" si="50"/>
        <v>4.3835603481175964E-5</v>
      </c>
      <c r="E689" s="11">
        <f t="shared" si="51"/>
        <v>-9.36055637491859E-3</v>
      </c>
      <c r="F689">
        <f t="shared" si="54"/>
        <v>1.4225605231872E-2</v>
      </c>
      <c r="G689">
        <f t="shared" si="52"/>
        <v>-0.65800760124754287</v>
      </c>
      <c r="H689">
        <f t="shared" si="53"/>
        <v>3.1172862179643697</v>
      </c>
    </row>
    <row r="690" spans="1:8" x14ac:dyDescent="0.25">
      <c r="A690" s="13">
        <v>41267</v>
      </c>
      <c r="B690">
        <v>353.4258686</v>
      </c>
      <c r="C690" s="12">
        <v>-8.5658897120981514E-3</v>
      </c>
      <c r="D690" s="12">
        <f t="shared" si="50"/>
        <v>-1.3288251200492548E-4</v>
      </c>
      <c r="E690" s="11">
        <f t="shared" si="51"/>
        <v>-8.433007200093226E-3</v>
      </c>
      <c r="F690">
        <f t="shared" si="54"/>
        <v>1.5032080058139951E-2</v>
      </c>
      <c r="G690">
        <f t="shared" si="52"/>
        <v>-0.56100068436814288</v>
      </c>
      <c r="H690">
        <f t="shared" si="53"/>
        <v>3.1212692739021977</v>
      </c>
    </row>
    <row r="691" spans="1:8" x14ac:dyDescent="0.25">
      <c r="A691" s="13">
        <v>41269</v>
      </c>
      <c r="B691">
        <v>353.11205580000001</v>
      </c>
      <c r="C691" s="12">
        <v>-8.8791689539613472E-4</v>
      </c>
      <c r="D691" s="12">
        <f t="shared" si="50"/>
        <v>-1.5349999808668906E-4</v>
      </c>
      <c r="E691" s="11">
        <f t="shared" si="51"/>
        <v>-7.344168973094456E-4</v>
      </c>
      <c r="F691">
        <f t="shared" si="54"/>
        <v>1.4865578313450518E-2</v>
      </c>
      <c r="G691">
        <f t="shared" si="52"/>
        <v>-4.940385646786026E-2</v>
      </c>
      <c r="H691">
        <f t="shared" si="53"/>
        <v>3.288548015197851</v>
      </c>
    </row>
    <row r="692" spans="1:8" x14ac:dyDescent="0.25">
      <c r="A692" s="13">
        <v>41270</v>
      </c>
      <c r="B692">
        <v>351.82686649999999</v>
      </c>
      <c r="C692" s="12">
        <v>-3.6396075378630766E-3</v>
      </c>
      <c r="D692" s="12">
        <f t="shared" si="50"/>
        <v>-3.5443543350640982E-5</v>
      </c>
      <c r="E692" s="11">
        <f t="shared" si="51"/>
        <v>-3.6041639945124356E-3</v>
      </c>
      <c r="F692">
        <f t="shared" si="54"/>
        <v>1.4190478774792225E-2</v>
      </c>
      <c r="G692">
        <f t="shared" si="52"/>
        <v>-0.25398466476795861</v>
      </c>
      <c r="H692">
        <f t="shared" si="53"/>
        <v>3.3039914099106231</v>
      </c>
    </row>
    <row r="693" spans="1:8" x14ac:dyDescent="0.25">
      <c r="A693" s="13">
        <v>41271</v>
      </c>
      <c r="B693">
        <v>348.69859609999997</v>
      </c>
      <c r="C693" s="12">
        <v>-8.8915051630942266E-3</v>
      </c>
      <c r="D693" s="12">
        <f t="shared" si="50"/>
        <v>-5.7329800537115858E-5</v>
      </c>
      <c r="E693" s="11">
        <f t="shared" si="51"/>
        <v>-8.8341753625571107E-3</v>
      </c>
      <c r="F693">
        <f t="shared" si="54"/>
        <v>1.4257884184463662E-2</v>
      </c>
      <c r="G693">
        <f t="shared" si="52"/>
        <v>-0.61959932120808048</v>
      </c>
      <c r="H693">
        <f t="shared" si="53"/>
        <v>3.139555056540126</v>
      </c>
    </row>
    <row r="694" spans="1:8" x14ac:dyDescent="0.25">
      <c r="A694" s="13">
        <v>41274</v>
      </c>
      <c r="B694">
        <v>352.36983629999997</v>
      </c>
      <c r="C694" s="12">
        <v>1.0528405451185607E-2</v>
      </c>
      <c r="D694" s="12">
        <f t="shared" si="50"/>
        <v>-1.438348087518518E-4</v>
      </c>
      <c r="E694" s="11">
        <f t="shared" si="51"/>
        <v>1.067224025993746E-2</v>
      </c>
      <c r="F694">
        <f t="shared" si="54"/>
        <v>1.4934681053297184E-2</v>
      </c>
      <c r="G694">
        <f t="shared" si="52"/>
        <v>0.71459445446819969</v>
      </c>
      <c r="H694">
        <f t="shared" si="53"/>
        <v>3.029808032813766</v>
      </c>
    </row>
    <row r="695" spans="1:8" x14ac:dyDescent="0.25">
      <c r="A695" s="13">
        <v>41276</v>
      </c>
      <c r="B695">
        <v>360.275215</v>
      </c>
      <c r="C695" s="12">
        <v>2.2434890520168116E-2</v>
      </c>
      <c r="D695" s="12">
        <f t="shared" si="50"/>
        <v>1.3638779519179904E-4</v>
      </c>
      <c r="E695" s="11">
        <f t="shared" si="51"/>
        <v>2.2298502724976316E-2</v>
      </c>
      <c r="F695">
        <f t="shared" si="54"/>
        <v>1.5254878016854542E-2</v>
      </c>
      <c r="G695">
        <f t="shared" si="52"/>
        <v>1.4617293366973856</v>
      </c>
      <c r="H695">
        <f t="shared" si="53"/>
        <v>2.1955910970329673</v>
      </c>
    </row>
    <row r="696" spans="1:8" x14ac:dyDescent="0.25">
      <c r="A696" s="13">
        <v>41277</v>
      </c>
      <c r="B696">
        <v>360.48444380000001</v>
      </c>
      <c r="C696" s="12">
        <v>5.8074713799016742E-4</v>
      </c>
      <c r="D696" s="12">
        <f t="shared" si="50"/>
        <v>3.6637811725279959E-4</v>
      </c>
      <c r="E696" s="11">
        <f t="shared" si="51"/>
        <v>2.1436902073736783E-4</v>
      </c>
      <c r="F696">
        <f t="shared" si="54"/>
        <v>1.8256099781170185E-2</v>
      </c>
      <c r="G696">
        <f t="shared" si="52"/>
        <v>1.1742323021178575E-2</v>
      </c>
      <c r="H696">
        <f t="shared" si="53"/>
        <v>3.0842485459332649</v>
      </c>
    </row>
    <row r="697" spans="1:8" x14ac:dyDescent="0.25">
      <c r="A697" s="13">
        <v>41278</v>
      </c>
      <c r="B697">
        <v>367.6077469</v>
      </c>
      <c r="C697" s="12">
        <v>1.9760361986527419E-2</v>
      </c>
      <c r="D697" s="12">
        <f t="shared" si="50"/>
        <v>6.6440632323082344E-5</v>
      </c>
      <c r="E697" s="11">
        <f t="shared" si="51"/>
        <v>1.9693921354204336E-2</v>
      </c>
      <c r="F697">
        <f t="shared" si="54"/>
        <v>1.4561113487136937E-2</v>
      </c>
      <c r="G697">
        <f t="shared" si="52"/>
        <v>1.3525010550602219</v>
      </c>
      <c r="H697">
        <f t="shared" si="53"/>
        <v>2.3958326781986408</v>
      </c>
    </row>
    <row r="698" spans="1:8" x14ac:dyDescent="0.25">
      <c r="A698" s="13">
        <v>41281</v>
      </c>
      <c r="B698">
        <v>366.00377099999997</v>
      </c>
      <c r="C698" s="12">
        <v>-4.3632810067965044E-3</v>
      </c>
      <c r="D698" s="12">
        <f t="shared" si="50"/>
        <v>3.0036154879542303E-4</v>
      </c>
      <c r="E698" s="11">
        <f t="shared" si="51"/>
        <v>-4.6636425555919275E-3</v>
      </c>
      <c r="F698">
        <f t="shared" si="54"/>
        <v>1.7676502204473313E-2</v>
      </c>
      <c r="G698">
        <f t="shared" si="52"/>
        <v>-0.26383288399736232</v>
      </c>
      <c r="H698">
        <f t="shared" si="53"/>
        <v>3.0817766519150238</v>
      </c>
    </row>
    <row r="699" spans="1:8" x14ac:dyDescent="0.25">
      <c r="A699" s="13">
        <v>41282</v>
      </c>
      <c r="B699">
        <v>365.28144900000001</v>
      </c>
      <c r="C699" s="12">
        <v>-1.9735370431469557E-3</v>
      </c>
      <c r="D699" s="12">
        <f t="shared" si="50"/>
        <v>-1.5209645782886316E-5</v>
      </c>
      <c r="E699" s="11">
        <f t="shared" si="51"/>
        <v>-1.9583273973640693E-3</v>
      </c>
      <c r="F699">
        <f t="shared" si="54"/>
        <v>1.4638334077228114E-2</v>
      </c>
      <c r="G699">
        <f t="shared" si="52"/>
        <v>-0.13378075585872229</v>
      </c>
      <c r="H699">
        <f t="shared" si="53"/>
        <v>3.2962243909391589</v>
      </c>
    </row>
    <row r="700" spans="1:8" x14ac:dyDescent="0.25">
      <c r="A700" s="13">
        <v>41283</v>
      </c>
      <c r="B700">
        <v>367.68245439999998</v>
      </c>
      <c r="C700" s="12">
        <v>6.573028568992445E-3</v>
      </c>
      <c r="D700" s="12">
        <f t="shared" si="50"/>
        <v>-4.106261182492523E-5</v>
      </c>
      <c r="E700" s="11">
        <f t="shared" si="51"/>
        <v>6.6140911808173705E-3</v>
      </c>
      <c r="F700">
        <f t="shared" si="54"/>
        <v>1.4201135654341097E-2</v>
      </c>
      <c r="G700">
        <f t="shared" si="52"/>
        <v>0.46574382090319172</v>
      </c>
      <c r="H700">
        <f t="shared" si="53"/>
        <v>3.2270361553555555</v>
      </c>
    </row>
    <row r="701" spans="1:8" x14ac:dyDescent="0.25">
      <c r="A701" s="13">
        <v>41284</v>
      </c>
      <c r="B701">
        <v>369.35619380000003</v>
      </c>
      <c r="C701" s="12">
        <v>4.5521329069979632E-3</v>
      </c>
      <c r="D701" s="12">
        <f t="shared" si="50"/>
        <v>9.4342985159514485E-5</v>
      </c>
      <c r="E701" s="11">
        <f t="shared" si="51"/>
        <v>4.4577899218384487E-3</v>
      </c>
      <c r="F701">
        <f t="shared" si="54"/>
        <v>1.4582737612169282E-2</v>
      </c>
      <c r="G701">
        <f t="shared" si="52"/>
        <v>0.30568951046053428</v>
      </c>
      <c r="H701">
        <f t="shared" si="53"/>
        <v>3.262255233524761</v>
      </c>
    </row>
    <row r="702" spans="1:8" x14ac:dyDescent="0.25">
      <c r="A702" s="13">
        <v>41285</v>
      </c>
      <c r="B702">
        <v>368.6139743</v>
      </c>
      <c r="C702" s="12">
        <v>-2.0094952039763081E-3</v>
      </c>
      <c r="D702" s="12">
        <f t="shared" si="50"/>
        <v>8.5742022670095219E-5</v>
      </c>
      <c r="E702" s="11">
        <f t="shared" si="51"/>
        <v>-2.0952372266464033E-3</v>
      </c>
      <c r="F702">
        <f t="shared" si="54"/>
        <v>1.4357778644785452E-2</v>
      </c>
      <c r="G702">
        <f t="shared" si="52"/>
        <v>-0.14593045891589676</v>
      </c>
      <c r="H702">
        <f t="shared" si="53"/>
        <v>3.3138770351780402</v>
      </c>
    </row>
    <row r="703" spans="1:8" x14ac:dyDescent="0.25">
      <c r="A703" s="13">
        <v>41288</v>
      </c>
      <c r="B703">
        <v>360.275215</v>
      </c>
      <c r="C703" s="12">
        <v>-2.2621929393304541E-2</v>
      </c>
      <c r="D703" s="12">
        <f t="shared" si="50"/>
        <v>-1.8694110983473081E-5</v>
      </c>
      <c r="E703" s="11">
        <f t="shared" si="51"/>
        <v>-2.2603235282321069E-2</v>
      </c>
      <c r="F703">
        <f t="shared" si="54"/>
        <v>1.4180914771787486E-2</v>
      </c>
      <c r="G703">
        <f t="shared" si="52"/>
        <v>-1.5939194083085206</v>
      </c>
      <c r="H703">
        <f t="shared" si="53"/>
        <v>2.0666301752534073</v>
      </c>
    </row>
    <row r="704" spans="1:8" x14ac:dyDescent="0.25">
      <c r="A704" s="13">
        <v>41289</v>
      </c>
      <c r="B704">
        <v>361.11209969999999</v>
      </c>
      <c r="C704" s="12">
        <v>2.3229038944574398E-3</v>
      </c>
      <c r="D704" s="12">
        <f t="shared" si="50"/>
        <v>-3.4731366600034637E-4</v>
      </c>
      <c r="E704" s="11">
        <f t="shared" si="51"/>
        <v>2.670217560457786E-3</v>
      </c>
      <c r="F704">
        <f t="shared" si="54"/>
        <v>1.8841415108800785E-2</v>
      </c>
      <c r="G704">
        <f t="shared" si="52"/>
        <v>0.14172064810623131</v>
      </c>
      <c r="H704">
        <f t="shared" si="53"/>
        <v>3.0427169964680814</v>
      </c>
    </row>
    <row r="705" spans="1:8" x14ac:dyDescent="0.25">
      <c r="A705" s="13">
        <v>41290</v>
      </c>
      <c r="B705">
        <v>356.2602546</v>
      </c>
      <c r="C705" s="12">
        <v>-1.3435841956087158E-2</v>
      </c>
      <c r="D705" s="12">
        <f t="shared" si="50"/>
        <v>-2.3004539750406952E-5</v>
      </c>
      <c r="E705" s="11">
        <f t="shared" si="51"/>
        <v>-1.341283741633675E-2</v>
      </c>
      <c r="F705">
        <f t="shared" si="54"/>
        <v>1.4674336380809597E-2</v>
      </c>
      <c r="G705">
        <f t="shared" si="52"/>
        <v>-0.91403366177958301</v>
      </c>
      <c r="H705">
        <f t="shared" si="53"/>
        <v>2.8849878347219038</v>
      </c>
    </row>
    <row r="706" spans="1:8" x14ac:dyDescent="0.25">
      <c r="A706" s="13">
        <v>41291</v>
      </c>
      <c r="B706">
        <v>354.33248639999999</v>
      </c>
      <c r="C706" s="12">
        <v>-5.4111233995620678E-3</v>
      </c>
      <c r="D706" s="12">
        <f t="shared" si="50"/>
        <v>-1.9724294189739787E-4</v>
      </c>
      <c r="E706" s="11">
        <f t="shared" si="51"/>
        <v>-5.2138804576646698E-3</v>
      </c>
      <c r="F706">
        <f t="shared" si="54"/>
        <v>1.5870575811836925E-2</v>
      </c>
      <c r="G706">
        <f t="shared" si="52"/>
        <v>-0.32852497095763494</v>
      </c>
      <c r="H706">
        <f t="shared" si="53"/>
        <v>3.1703856005864988</v>
      </c>
    </row>
    <row r="707" spans="1:8" x14ac:dyDescent="0.25">
      <c r="A707" s="13">
        <v>41292</v>
      </c>
      <c r="B707">
        <v>350.94020740000002</v>
      </c>
      <c r="C707" s="12">
        <v>-9.5737171447793923E-3</v>
      </c>
      <c r="D707" s="12">
        <f t="shared" si="50"/>
        <v>-1.1637120661141571E-4</v>
      </c>
      <c r="E707" s="11">
        <f t="shared" si="51"/>
        <v>-9.4573459381679763E-3</v>
      </c>
      <c r="F707">
        <f t="shared" si="54"/>
        <v>1.4519096707198179E-2</v>
      </c>
      <c r="G707">
        <f t="shared" si="52"/>
        <v>-0.65137288695647833</v>
      </c>
      <c r="H707">
        <f t="shared" si="53"/>
        <v>3.1012086296330033</v>
      </c>
    </row>
    <row r="708" spans="1:8" x14ac:dyDescent="0.25">
      <c r="A708" s="13">
        <v>41296</v>
      </c>
      <c r="B708">
        <v>350.12325060000001</v>
      </c>
      <c r="C708" s="12">
        <v>-2.3279088083196786E-3</v>
      </c>
      <c r="D708" s="12">
        <f t="shared" si="50"/>
        <v>-1.5870578760837674E-4</v>
      </c>
      <c r="E708" s="11">
        <f t="shared" si="51"/>
        <v>-2.1692030207113018E-3</v>
      </c>
      <c r="F708">
        <f t="shared" si="54"/>
        <v>1.5041349513962469E-2</v>
      </c>
      <c r="G708">
        <f t="shared" si="52"/>
        <v>-0.14421598399117649</v>
      </c>
      <c r="H708">
        <f t="shared" si="53"/>
        <v>3.267614577939872</v>
      </c>
    </row>
    <row r="709" spans="1:8" x14ac:dyDescent="0.25">
      <c r="A709" s="13">
        <v>41297</v>
      </c>
      <c r="B709">
        <v>369.36617289999998</v>
      </c>
      <c r="C709" s="12">
        <v>5.4960423985050078E-2</v>
      </c>
      <c r="D709" s="12">
        <f t="shared" si="50"/>
        <v>-5.9813039889819907E-5</v>
      </c>
      <c r="E709" s="11">
        <f t="shared" si="51"/>
        <v>5.5020237024939897E-2</v>
      </c>
      <c r="F709">
        <f t="shared" si="54"/>
        <v>1.4247810293491618E-2</v>
      </c>
      <c r="G709">
        <f t="shared" si="52"/>
        <v>3.8616626619511543</v>
      </c>
      <c r="H709">
        <f t="shared" si="53"/>
        <v>-4.1240057428689472</v>
      </c>
    </row>
    <row r="710" spans="1:8" x14ac:dyDescent="0.25">
      <c r="A710" s="13">
        <v>41298</v>
      </c>
      <c r="B710">
        <v>375.69745219999999</v>
      </c>
      <c r="C710" s="12">
        <v>1.714092887903429E-2</v>
      </c>
      <c r="D710" s="12">
        <f t="shared" ref="D710:D773" si="55">+C709*$K$11+C708*$K$10</f>
        <v>8.2527587133357754E-4</v>
      </c>
      <c r="E710" s="11">
        <f t="shared" ref="E710:E773" si="56">C710-D710</f>
        <v>1.6315653007700711E-2</v>
      </c>
      <c r="F710">
        <f t="shared" si="54"/>
        <v>3.3366898983235853E-2</v>
      </c>
      <c r="G710">
        <f t="shared" ref="G710:G773" si="57">E710/F710</f>
        <v>0.48897720510071963</v>
      </c>
      <c r="H710">
        <f t="shared" ref="H710:H773" si="58">1/2*(-LN(PI()*2)-2*LN(F710)-(E710/F710)^2)</f>
        <v>2.3617030320600412</v>
      </c>
    </row>
    <row r="711" spans="1:8" x14ac:dyDescent="0.25">
      <c r="A711" s="13">
        <v>41299</v>
      </c>
      <c r="B711">
        <v>375.42843900000003</v>
      </c>
      <c r="C711" s="12">
        <v>-7.160367961631664E-4</v>
      </c>
      <c r="D711" s="12">
        <f t="shared" si="55"/>
        <v>4.0049767462760181E-4</v>
      </c>
      <c r="E711" s="11">
        <f t="shared" si="56"/>
        <v>-1.1165344707907681E-3</v>
      </c>
      <c r="F711">
        <f t="shared" ref="F711:F774" si="59">SQRT($K$6+$K$7*G710^2+$K$8*F710^2)</f>
        <v>1.7368709051467011E-2</v>
      </c>
      <c r="G711">
        <f t="shared" si="57"/>
        <v>-6.4284252069756589E-2</v>
      </c>
      <c r="H711">
        <f t="shared" si="58"/>
        <v>3.1320802563376402</v>
      </c>
    </row>
    <row r="712" spans="1:8" x14ac:dyDescent="0.25">
      <c r="A712" s="13">
        <v>41302</v>
      </c>
      <c r="B712">
        <v>373.96392839999999</v>
      </c>
      <c r="C712" s="12">
        <v>-3.9009048006617419E-3</v>
      </c>
      <c r="D712" s="12">
        <f t="shared" si="55"/>
        <v>3.3221868713130252E-5</v>
      </c>
      <c r="E712" s="11">
        <f t="shared" si="56"/>
        <v>-3.934126669374872E-3</v>
      </c>
      <c r="F712">
        <f t="shared" si="59"/>
        <v>1.4464828515427469E-2</v>
      </c>
      <c r="G712">
        <f t="shared" si="57"/>
        <v>-0.2719787977561523</v>
      </c>
      <c r="H712">
        <f t="shared" si="58"/>
        <v>3.2801104293432921</v>
      </c>
    </row>
    <row r="713" spans="1:8" x14ac:dyDescent="0.25">
      <c r="A713" s="13">
        <v>41303</v>
      </c>
      <c r="B713">
        <v>375.43344430000002</v>
      </c>
      <c r="C713" s="12">
        <v>3.929565897671905E-3</v>
      </c>
      <c r="D713" s="12">
        <f t="shared" si="55"/>
        <v>-6.0840109724093486E-5</v>
      </c>
      <c r="E713" s="11">
        <f t="shared" si="56"/>
        <v>3.9904060073959989E-3</v>
      </c>
      <c r="F713">
        <f t="shared" si="59"/>
        <v>1.4304654002127016E-2</v>
      </c>
      <c r="G713">
        <f t="shared" si="57"/>
        <v>0.27895858276632551</v>
      </c>
      <c r="H713">
        <f t="shared" si="58"/>
        <v>3.2893228613167982</v>
      </c>
    </row>
    <row r="714" spans="1:8" x14ac:dyDescent="0.25">
      <c r="A714" s="13">
        <v>41304</v>
      </c>
      <c r="B714">
        <v>375.50815130000001</v>
      </c>
      <c r="C714" s="12">
        <v>1.9898866532597204E-4</v>
      </c>
      <c r="D714" s="12">
        <f t="shared" si="55"/>
        <v>4.9408192901980615E-5</v>
      </c>
      <c r="E714" s="11">
        <f t="shared" si="56"/>
        <v>1.4958047242399143E-4</v>
      </c>
      <c r="F714">
        <f t="shared" si="59"/>
        <v>1.4297402361533047E-2</v>
      </c>
      <c r="G714">
        <f t="shared" si="57"/>
        <v>1.0462073364210237E-2</v>
      </c>
      <c r="H714">
        <f t="shared" si="58"/>
        <v>3.3286841505626223</v>
      </c>
    </row>
    <row r="715" spans="1:8" x14ac:dyDescent="0.25">
      <c r="A715" s="13">
        <v>41305</v>
      </c>
      <c r="B715">
        <v>376.43466649999999</v>
      </c>
      <c r="C715" s="12">
        <v>2.467363749075524E-3</v>
      </c>
      <c r="D715" s="12">
        <f t="shared" si="55"/>
        <v>1.3108509706071242E-5</v>
      </c>
      <c r="E715" s="11">
        <f t="shared" si="56"/>
        <v>2.4542552393694529E-3</v>
      </c>
      <c r="F715">
        <f t="shared" si="59"/>
        <v>1.4129177945726991E-2</v>
      </c>
      <c r="G715">
        <f t="shared" si="57"/>
        <v>0.17370120532112626</v>
      </c>
      <c r="H715">
        <f t="shared" si="58"/>
        <v>3.3254886743470657</v>
      </c>
    </row>
    <row r="716" spans="1:8" x14ac:dyDescent="0.25">
      <c r="A716" s="13">
        <v>41306</v>
      </c>
      <c r="B716">
        <v>386.35253039999998</v>
      </c>
      <c r="C716" s="12">
        <v>2.6346839923681697E-2</v>
      </c>
      <c r="D716" s="12">
        <f t="shared" si="55"/>
        <v>3.782946899804028E-5</v>
      </c>
      <c r="E716" s="11">
        <f t="shared" si="56"/>
        <v>2.6309010454683656E-2</v>
      </c>
      <c r="F716">
        <f t="shared" si="59"/>
        <v>1.4178017216849416E-2</v>
      </c>
      <c r="G716">
        <f t="shared" si="57"/>
        <v>1.855619869287332</v>
      </c>
      <c r="H716">
        <f t="shared" si="58"/>
        <v>1.615461514362859</v>
      </c>
    </row>
    <row r="717" spans="1:8" x14ac:dyDescent="0.25">
      <c r="A717" s="13">
        <v>41309</v>
      </c>
      <c r="B717">
        <v>378.09345239999999</v>
      </c>
      <c r="C717" s="12">
        <v>-2.1377051656551016E-2</v>
      </c>
      <c r="D717" s="12">
        <f t="shared" si="55"/>
        <v>4.0482843470082837E-4</v>
      </c>
      <c r="E717" s="11">
        <f t="shared" si="56"/>
        <v>-2.1781880091251843E-2</v>
      </c>
      <c r="F717">
        <f t="shared" si="59"/>
        <v>2.0256179398024824E-2</v>
      </c>
      <c r="G717">
        <f t="shared" si="57"/>
        <v>-1.0753202597216229</v>
      </c>
      <c r="H717">
        <f t="shared" si="58"/>
        <v>2.4022000128334682</v>
      </c>
    </row>
    <row r="718" spans="1:8" x14ac:dyDescent="0.25">
      <c r="A718" s="13">
        <v>41310</v>
      </c>
      <c r="B718">
        <v>381.44093120000002</v>
      </c>
      <c r="C718" s="12">
        <v>8.8535751644240879E-3</v>
      </c>
      <c r="D718" s="12">
        <f t="shared" si="55"/>
        <v>-2.5561033280752652E-4</v>
      </c>
      <c r="E718" s="11">
        <f t="shared" si="56"/>
        <v>9.1091854972316141E-3</v>
      </c>
      <c r="F718">
        <f t="shared" si="59"/>
        <v>1.7037737560238901E-2</v>
      </c>
      <c r="G718">
        <f t="shared" si="57"/>
        <v>0.5346476000716075</v>
      </c>
      <c r="H718">
        <f t="shared" si="58"/>
        <v>3.0104619773465999</v>
      </c>
    </row>
    <row r="719" spans="1:8" x14ac:dyDescent="0.25">
      <c r="A719" s="13">
        <v>41311</v>
      </c>
      <c r="B719">
        <v>383.64766090000001</v>
      </c>
      <c r="C719" s="12">
        <v>5.785246205900485E-3</v>
      </c>
      <c r="D719" s="12">
        <f t="shared" si="55"/>
        <v>7.8969038095475012E-5</v>
      </c>
      <c r="E719" s="11">
        <f t="shared" si="56"/>
        <v>5.7062771678050104E-3</v>
      </c>
      <c r="F719">
        <f t="shared" si="59"/>
        <v>1.501333967512339E-2</v>
      </c>
      <c r="G719">
        <f t="shared" si="57"/>
        <v>0.3800804678562042</v>
      </c>
      <c r="H719">
        <f t="shared" si="58"/>
        <v>3.2076470471808056</v>
      </c>
    </row>
    <row r="720" spans="1:8" x14ac:dyDescent="0.25">
      <c r="A720" s="13">
        <v>41312</v>
      </c>
      <c r="B720">
        <v>385.53059869999998</v>
      </c>
      <c r="C720" s="12">
        <v>4.9079871765222993E-3</v>
      </c>
      <c r="D720" s="12">
        <f t="shared" si="55"/>
        <v>1.102533989845911E-4</v>
      </c>
      <c r="E720" s="11">
        <f t="shared" si="56"/>
        <v>4.797733777537708E-3</v>
      </c>
      <c r="F720">
        <f t="shared" si="59"/>
        <v>1.4508529461224998E-2</v>
      </c>
      <c r="G720">
        <f t="shared" si="57"/>
        <v>0.33068367062009751</v>
      </c>
      <c r="H720">
        <f t="shared" si="58"/>
        <v>3.2594041855829414</v>
      </c>
    </row>
    <row r="721" spans="1:8" x14ac:dyDescent="0.25">
      <c r="A721" s="13">
        <v>41313</v>
      </c>
      <c r="B721">
        <v>391.21929849999998</v>
      </c>
      <c r="C721" s="12">
        <v>1.475550791346314E-2</v>
      </c>
      <c r="D721" s="12">
        <f t="shared" si="55"/>
        <v>8.9099624783035999E-5</v>
      </c>
      <c r="E721" s="11">
        <f t="shared" si="56"/>
        <v>1.4666408288680103E-2</v>
      </c>
      <c r="F721">
        <f t="shared" si="59"/>
        <v>1.4384469531485073E-2</v>
      </c>
      <c r="G721">
        <f t="shared" si="57"/>
        <v>1.0196002192905282</v>
      </c>
      <c r="H721">
        <f t="shared" si="58"/>
        <v>2.802875322369601</v>
      </c>
    </row>
    <row r="722" spans="1:8" x14ac:dyDescent="0.25">
      <c r="A722" s="13">
        <v>41316</v>
      </c>
      <c r="B722">
        <v>389.7497831</v>
      </c>
      <c r="C722" s="12">
        <v>-3.7562446577517061E-3</v>
      </c>
      <c r="D722" s="12">
        <f t="shared" si="55"/>
        <v>2.3578564136868442E-4</v>
      </c>
      <c r="E722" s="11">
        <f t="shared" si="56"/>
        <v>-3.9920302991203905E-3</v>
      </c>
      <c r="F722">
        <f t="shared" si="59"/>
        <v>1.6234979112986488E-2</v>
      </c>
      <c r="G722">
        <f t="shared" si="57"/>
        <v>-0.24589069510579992</v>
      </c>
      <c r="H722">
        <f t="shared" si="58"/>
        <v>3.1714175097959312</v>
      </c>
    </row>
    <row r="723" spans="1:8" x14ac:dyDescent="0.25">
      <c r="A723" s="13">
        <v>41317</v>
      </c>
      <c r="B723">
        <v>388.89300109999999</v>
      </c>
      <c r="C723" s="12">
        <v>-2.1982873041912487E-3</v>
      </c>
      <c r="D723" s="12">
        <f t="shared" si="55"/>
        <v>-1.8890748972582573E-5</v>
      </c>
      <c r="E723" s="11">
        <f t="shared" si="56"/>
        <v>-2.1793965552186663E-3</v>
      </c>
      <c r="F723">
        <f t="shared" si="59"/>
        <v>1.4457531786791019E-2</v>
      </c>
      <c r="G723">
        <f t="shared" si="57"/>
        <v>-0.15074471821046595</v>
      </c>
      <c r="H723">
        <f t="shared" si="58"/>
        <v>3.3062392510587042</v>
      </c>
    </row>
    <row r="724" spans="1:8" x14ac:dyDescent="0.25">
      <c r="A724" s="13">
        <v>41318</v>
      </c>
      <c r="B724">
        <v>389.9689611</v>
      </c>
      <c r="C724" s="12">
        <v>2.7667250296523616E-3</v>
      </c>
      <c r="D724" s="12">
        <f t="shared" si="55"/>
        <v>-4.2901820505245996E-5</v>
      </c>
      <c r="E724" s="11">
        <f t="shared" si="56"/>
        <v>2.8096268501576075E-3</v>
      </c>
      <c r="F724">
        <f t="shared" si="59"/>
        <v>1.4193739526899337E-2</v>
      </c>
      <c r="G724">
        <f t="shared" si="57"/>
        <v>0.19794831692049364</v>
      </c>
      <c r="H724">
        <f t="shared" si="58"/>
        <v>3.3164239886872431</v>
      </c>
    </row>
    <row r="725" spans="1:8" x14ac:dyDescent="0.25">
      <c r="A725" s="13">
        <v>41319</v>
      </c>
      <c r="B725">
        <v>392.4397295</v>
      </c>
      <c r="C725" s="12">
        <v>6.3358078371944515E-3</v>
      </c>
      <c r="D725" s="12">
        <f t="shared" si="55"/>
        <v>3.6196280940803956E-5</v>
      </c>
      <c r="E725" s="11">
        <f t="shared" si="56"/>
        <v>6.2996115562536474E-3</v>
      </c>
      <c r="F725">
        <f t="shared" si="59"/>
        <v>1.420366931855349E-2</v>
      </c>
      <c r="G725">
        <f t="shared" si="57"/>
        <v>0.44352000986286011</v>
      </c>
      <c r="H725">
        <f t="shared" si="58"/>
        <v>3.2369614122610701</v>
      </c>
    </row>
    <row r="726" spans="1:8" x14ac:dyDescent="0.25">
      <c r="A726" s="13">
        <v>41320</v>
      </c>
      <c r="B726">
        <v>394.96524629999999</v>
      </c>
      <c r="C726" s="12">
        <v>6.4354259014949289E-3</v>
      </c>
      <c r="D726" s="12">
        <f t="shared" si="55"/>
        <v>1.0293743542894033E-4</v>
      </c>
      <c r="E726" s="11">
        <f t="shared" si="56"/>
        <v>6.3324884660659886E-3</v>
      </c>
      <c r="F726">
        <f t="shared" si="59"/>
        <v>1.4540454546190329E-2</v>
      </c>
      <c r="G726">
        <f t="shared" si="57"/>
        <v>0.43550828799400443</v>
      </c>
      <c r="H726">
        <f t="shared" si="58"/>
        <v>3.2170482779312453</v>
      </c>
    </row>
    <row r="727" spans="1:8" x14ac:dyDescent="0.25">
      <c r="A727" s="13">
        <v>41324</v>
      </c>
      <c r="B727">
        <v>401.91920709999999</v>
      </c>
      <c r="C727" s="12">
        <v>1.7606513142976787E-2</v>
      </c>
      <c r="D727" s="12">
        <f t="shared" si="55"/>
        <v>1.1361656599509963E-4</v>
      </c>
      <c r="E727" s="11">
        <f t="shared" si="56"/>
        <v>1.7492896576981689E-2</v>
      </c>
      <c r="F727">
        <f t="shared" si="59"/>
        <v>1.4557610239512327E-2</v>
      </c>
      <c r="G727">
        <f t="shared" si="57"/>
        <v>1.2016324306789308</v>
      </c>
      <c r="H727">
        <f t="shared" si="58"/>
        <v>2.5887425991519875</v>
      </c>
    </row>
    <row r="728" spans="1:8" x14ac:dyDescent="0.25">
      <c r="A728" s="13">
        <v>41325</v>
      </c>
      <c r="B728">
        <v>394.75104320000003</v>
      </c>
      <c r="C728" s="12">
        <v>-1.7834837881277155E-2</v>
      </c>
      <c r="D728" s="12">
        <f t="shared" si="55"/>
        <v>2.8283164122309978E-4</v>
      </c>
      <c r="E728" s="11">
        <f t="shared" si="56"/>
        <v>-1.8117669522500254E-2</v>
      </c>
      <c r="F728">
        <f t="shared" si="59"/>
        <v>1.6995138418054934E-2</v>
      </c>
      <c r="G728">
        <f t="shared" si="57"/>
        <v>-1.0660501301509135</v>
      </c>
      <c r="H728">
        <f t="shared" si="58"/>
        <v>2.5876579780311566</v>
      </c>
    </row>
    <row r="729" spans="1:8" x14ac:dyDescent="0.25">
      <c r="A729" s="13">
        <v>41326</v>
      </c>
      <c r="B729">
        <v>396.2803121</v>
      </c>
      <c r="C729" s="12">
        <v>3.8740085082566988E-3</v>
      </c>
      <c r="D729" s="12">
        <f t="shared" si="55"/>
        <v>-2.2449788946953521E-4</v>
      </c>
      <c r="E729" s="11">
        <f t="shared" si="56"/>
        <v>4.0985063977262339E-3</v>
      </c>
      <c r="F729">
        <f t="shared" si="59"/>
        <v>1.6654971311144733E-2</v>
      </c>
      <c r="G729">
        <f t="shared" si="57"/>
        <v>0.24608306559998119</v>
      </c>
      <c r="H729">
        <f t="shared" si="58"/>
        <v>3.1458295590828551</v>
      </c>
    </row>
    <row r="730" spans="1:8" x14ac:dyDescent="0.25">
      <c r="A730" s="13">
        <v>41327</v>
      </c>
      <c r="B730">
        <v>398.36252990000003</v>
      </c>
      <c r="C730" s="12">
        <v>5.2544063795796347E-3</v>
      </c>
      <c r="D730" s="12">
        <f t="shared" si="55"/>
        <v>1.2758099792513434E-5</v>
      </c>
      <c r="E730" s="11">
        <f t="shared" si="56"/>
        <v>5.2416482797871212E-3</v>
      </c>
      <c r="F730">
        <f t="shared" si="59"/>
        <v>1.4503591815548937E-2</v>
      </c>
      <c r="G730">
        <f t="shared" si="57"/>
        <v>0.36140346104939891</v>
      </c>
      <c r="H730">
        <f t="shared" si="58"/>
        <v>3.2491141847799332</v>
      </c>
    </row>
    <row r="731" spans="1:8" x14ac:dyDescent="0.25">
      <c r="A731" s="13">
        <v>41330</v>
      </c>
      <c r="B731">
        <v>393.90921409999999</v>
      </c>
      <c r="C731" s="12">
        <v>-1.1179052912225318E-2</v>
      </c>
      <c r="D731" s="12">
        <f t="shared" si="55"/>
        <v>8.9427276815864836E-5</v>
      </c>
      <c r="E731" s="11">
        <f t="shared" si="56"/>
        <v>-1.1268480189041183E-2</v>
      </c>
      <c r="F731">
        <f t="shared" si="59"/>
        <v>1.4429209465608037E-2</v>
      </c>
      <c r="G731">
        <f t="shared" si="57"/>
        <v>-0.78094924159910217</v>
      </c>
      <c r="H731">
        <f t="shared" si="58"/>
        <v>3.0146212996034287</v>
      </c>
    </row>
    <row r="732" spans="1:8" x14ac:dyDescent="0.25">
      <c r="A732" s="13">
        <v>41331</v>
      </c>
      <c r="B732">
        <v>393.59039660000002</v>
      </c>
      <c r="C732" s="12">
        <v>-8.0936796751096551E-4</v>
      </c>
      <c r="D732" s="12">
        <f t="shared" si="55"/>
        <v>-1.5557586518397692E-4</v>
      </c>
      <c r="E732" s="11">
        <f t="shared" si="56"/>
        <v>-6.5379210232698862E-4</v>
      </c>
      <c r="F732">
        <f t="shared" si="59"/>
        <v>1.5406673377355892E-2</v>
      </c>
      <c r="G732">
        <f t="shared" si="57"/>
        <v>-4.2435643718384132E-2</v>
      </c>
      <c r="H732">
        <f t="shared" si="58"/>
        <v>3.2531156021000549</v>
      </c>
    </row>
    <row r="733" spans="1:8" x14ac:dyDescent="0.25">
      <c r="A733" s="13">
        <v>41332</v>
      </c>
      <c r="B733">
        <v>398.39738130000001</v>
      </c>
      <c r="C733" s="12">
        <v>1.2213165619701982E-2</v>
      </c>
      <c r="D733" s="12">
        <f t="shared" si="55"/>
        <v>-4.0971270343296006E-5</v>
      </c>
      <c r="E733" s="11">
        <f t="shared" si="56"/>
        <v>1.2254136890045278E-2</v>
      </c>
      <c r="F733">
        <f t="shared" si="59"/>
        <v>1.4244486642710469E-2</v>
      </c>
      <c r="G733">
        <f t="shared" si="57"/>
        <v>0.86027227217179214</v>
      </c>
      <c r="H733">
        <f t="shared" si="58"/>
        <v>2.9624126250609208</v>
      </c>
    </row>
    <row r="734" spans="1:8" x14ac:dyDescent="0.25">
      <c r="A734" s="13">
        <v>41333</v>
      </c>
      <c r="B734">
        <v>399.1047494</v>
      </c>
      <c r="C734" s="12">
        <v>1.7755340100173989E-3</v>
      </c>
      <c r="D734" s="12">
        <f t="shared" si="55"/>
        <v>1.826401037725495E-4</v>
      </c>
      <c r="E734" s="11">
        <f t="shared" si="56"/>
        <v>1.5928939062448493E-3</v>
      </c>
      <c r="F734">
        <f t="shared" si="59"/>
        <v>1.5647184143520239E-2</v>
      </c>
      <c r="G734">
        <f t="shared" si="57"/>
        <v>0.10180067490958067</v>
      </c>
      <c r="H734">
        <f t="shared" si="58"/>
        <v>3.2333440832056852</v>
      </c>
    </row>
    <row r="735" spans="1:8" x14ac:dyDescent="0.25">
      <c r="A735" s="13">
        <v>41334</v>
      </c>
      <c r="B735">
        <v>401.59044089999998</v>
      </c>
      <c r="C735" s="12">
        <v>6.2281681782461185E-3</v>
      </c>
      <c r="D735" s="12">
        <f t="shared" si="55"/>
        <v>5.8241857163100779E-5</v>
      </c>
      <c r="E735" s="11">
        <f t="shared" si="56"/>
        <v>6.1699263210830179E-3</v>
      </c>
      <c r="F735">
        <f t="shared" si="59"/>
        <v>1.428804545428772E-2</v>
      </c>
      <c r="G735">
        <f t="shared" si="57"/>
        <v>0.4318243765966937</v>
      </c>
      <c r="H735">
        <f t="shared" si="58"/>
        <v>3.2361573942456863</v>
      </c>
    </row>
    <row r="736" spans="1:8" x14ac:dyDescent="0.25">
      <c r="A736" s="13">
        <v>41337</v>
      </c>
      <c r="B736">
        <v>409.21685780000001</v>
      </c>
      <c r="C736" s="12">
        <v>1.8990533945251631E-2</v>
      </c>
      <c r="D736" s="12">
        <f t="shared" si="55"/>
        <v>9.8762088311532187E-5</v>
      </c>
      <c r="E736" s="11">
        <f t="shared" si="56"/>
        <v>1.88917718569401E-2</v>
      </c>
      <c r="F736">
        <f t="shared" si="59"/>
        <v>1.4526822702048258E-2</v>
      </c>
      <c r="G736">
        <f t="shared" si="57"/>
        <v>1.3004751448006859</v>
      </c>
      <c r="H736">
        <f t="shared" si="58"/>
        <v>2.4672021625579332</v>
      </c>
    </row>
    <row r="737" spans="1:8" x14ac:dyDescent="0.25">
      <c r="A737" s="13">
        <v>41338</v>
      </c>
      <c r="B737">
        <v>417.73493889999997</v>
      </c>
      <c r="C737" s="12">
        <v>2.0815567437260984E-2</v>
      </c>
      <c r="D737" s="12">
        <f t="shared" si="55"/>
        <v>3.0323185916070476E-4</v>
      </c>
      <c r="E737" s="11">
        <f t="shared" si="56"/>
        <v>2.0512335578100279E-2</v>
      </c>
      <c r="F737">
        <f t="shared" si="59"/>
        <v>1.7432857386676697E-2</v>
      </c>
      <c r="G737">
        <f t="shared" si="57"/>
        <v>1.1766479311519589</v>
      </c>
      <c r="H737">
        <f t="shared" si="58"/>
        <v>2.4382097877607296</v>
      </c>
    </row>
    <row r="738" spans="1:8" x14ac:dyDescent="0.25">
      <c r="A738" s="13">
        <v>41339</v>
      </c>
      <c r="B738">
        <v>414.1384056</v>
      </c>
      <c r="C738" s="12">
        <v>-8.6096061523379674E-3</v>
      </c>
      <c r="D738" s="12">
        <f t="shared" si="55"/>
        <v>3.6363380840308929E-4</v>
      </c>
      <c r="E738" s="11">
        <f t="shared" si="56"/>
        <v>-8.9732399607410571E-3</v>
      </c>
      <c r="F738">
        <f t="shared" si="59"/>
        <v>1.7147511707054273E-2</v>
      </c>
      <c r="G738">
        <f t="shared" si="57"/>
        <v>-0.52329691409684698</v>
      </c>
      <c r="H738">
        <f t="shared" si="58"/>
        <v>3.0100438425081228</v>
      </c>
    </row>
    <row r="739" spans="1:8" x14ac:dyDescent="0.25">
      <c r="A739" s="13">
        <v>41340</v>
      </c>
      <c r="B739">
        <v>414.74613369999997</v>
      </c>
      <c r="C739" s="12">
        <v>1.4674516822932304E-3</v>
      </c>
      <c r="D739" s="12">
        <f t="shared" si="55"/>
        <v>-7.6722084400901431E-5</v>
      </c>
      <c r="E739" s="11">
        <f t="shared" si="56"/>
        <v>1.5441737666941318E-3</v>
      </c>
      <c r="F739">
        <f t="shared" si="59"/>
        <v>1.5000842850657311E-2</v>
      </c>
      <c r="G739">
        <f t="shared" si="57"/>
        <v>0.10293913362517952</v>
      </c>
      <c r="H739">
        <f t="shared" si="58"/>
        <v>3.2754121235942839</v>
      </c>
    </row>
    <row r="740" spans="1:8" x14ac:dyDescent="0.25">
      <c r="A740" s="13">
        <v>41341</v>
      </c>
      <c r="B740">
        <v>414.20816860000002</v>
      </c>
      <c r="C740" s="12">
        <v>-1.2970949124967435E-3</v>
      </c>
      <c r="D740" s="12">
        <f t="shared" si="55"/>
        <v>6.8290008029347164E-8</v>
      </c>
      <c r="E740" s="11">
        <f t="shared" si="56"/>
        <v>-1.2971632025047728E-3</v>
      </c>
      <c r="F740">
        <f t="shared" si="59"/>
        <v>1.4221740811950443E-2</v>
      </c>
      <c r="G740">
        <f t="shared" si="57"/>
        <v>-9.1209875053746892E-2</v>
      </c>
      <c r="H740">
        <f t="shared" si="58"/>
        <v>3.3298852882730365</v>
      </c>
    </row>
    <row r="741" spans="1:8" x14ac:dyDescent="0.25">
      <c r="A741" s="13">
        <v>41344</v>
      </c>
      <c r="B741">
        <v>415.8520011</v>
      </c>
      <c r="C741" s="12">
        <v>3.9686143939556828E-3</v>
      </c>
      <c r="D741" s="12">
        <f t="shared" si="55"/>
        <v>-1.5846830052287043E-5</v>
      </c>
      <c r="E741" s="11">
        <f t="shared" si="56"/>
        <v>3.9844612240079701E-3</v>
      </c>
      <c r="F741">
        <f t="shared" si="59"/>
        <v>1.4139636105280989E-2</v>
      </c>
      <c r="G741">
        <f t="shared" si="57"/>
        <v>0.28179376006146439</v>
      </c>
      <c r="H741">
        <f t="shared" si="58"/>
        <v>3.3001309591640453</v>
      </c>
    </row>
    <row r="742" spans="1:8" x14ac:dyDescent="0.25">
      <c r="A742" s="13">
        <v>41345</v>
      </c>
      <c r="B742">
        <v>412.2604422</v>
      </c>
      <c r="C742" s="12">
        <v>-8.6366276716228763E-3</v>
      </c>
      <c r="D742" s="12">
        <f t="shared" si="55"/>
        <v>5.6690504929679293E-5</v>
      </c>
      <c r="E742" s="11">
        <f t="shared" si="56"/>
        <v>-8.6933181765525558E-3</v>
      </c>
      <c r="F742">
        <f t="shared" si="59"/>
        <v>1.4285021459080595E-2</v>
      </c>
      <c r="G742">
        <f t="shared" si="57"/>
        <v>-0.60856178630564484</v>
      </c>
      <c r="H742">
        <f t="shared" si="58"/>
        <v>3.1444314840093455</v>
      </c>
    </row>
    <row r="743" spans="1:8" x14ac:dyDescent="0.25">
      <c r="A743" s="13">
        <v>41346</v>
      </c>
      <c r="B743">
        <v>411.11474900000002</v>
      </c>
      <c r="C743" s="12">
        <v>-2.7790519844350658E-3</v>
      </c>
      <c r="D743" s="12">
        <f t="shared" si="55"/>
        <v>-1.2042695894967497E-4</v>
      </c>
      <c r="E743" s="11">
        <f t="shared" si="56"/>
        <v>-2.6586250254853907E-3</v>
      </c>
      <c r="F743">
        <f t="shared" si="59"/>
        <v>1.490934090492692E-2</v>
      </c>
      <c r="G743">
        <f t="shared" si="57"/>
        <v>-0.17831942018354582</v>
      </c>
      <c r="H743">
        <f t="shared" si="58"/>
        <v>3.2709299150715285</v>
      </c>
    </row>
    <row r="744" spans="1:8" x14ac:dyDescent="0.25">
      <c r="A744" s="13">
        <v>41347</v>
      </c>
      <c r="B744">
        <v>409.23678560000002</v>
      </c>
      <c r="C744" s="12">
        <v>-4.5679786594082783E-3</v>
      </c>
      <c r="D744" s="12">
        <f t="shared" si="55"/>
        <v>-6.4228140748257039E-5</v>
      </c>
      <c r="E744" s="11">
        <f t="shared" si="56"/>
        <v>-4.5037505186600211E-3</v>
      </c>
      <c r="F744">
        <f t="shared" si="59"/>
        <v>1.4258121284894022E-2</v>
      </c>
      <c r="G744">
        <f t="shared" si="57"/>
        <v>-0.31587264750171445</v>
      </c>
      <c r="H744">
        <f t="shared" si="58"/>
        <v>3.2816023219532511</v>
      </c>
    </row>
    <row r="745" spans="1:8" x14ac:dyDescent="0.25">
      <c r="A745" s="13">
        <v>41348</v>
      </c>
      <c r="B745">
        <v>405.63030350000002</v>
      </c>
      <c r="C745" s="12">
        <v>-8.8127026379418716E-3</v>
      </c>
      <c r="D745" s="12">
        <f t="shared" si="55"/>
        <v>-7.623127424899955E-5</v>
      </c>
      <c r="E745" s="11">
        <f t="shared" si="56"/>
        <v>-8.7364713636928718E-3</v>
      </c>
      <c r="F745">
        <f t="shared" si="59"/>
        <v>1.4339927600387277E-2</v>
      </c>
      <c r="G745">
        <f t="shared" si="57"/>
        <v>-0.60924096739909106</v>
      </c>
      <c r="H745">
        <f t="shared" si="58"/>
        <v>3.1401816812275429</v>
      </c>
    </row>
    <row r="746" spans="1:8" x14ac:dyDescent="0.25">
      <c r="A746" s="13">
        <v>41351</v>
      </c>
      <c r="B746">
        <v>402.38743909999999</v>
      </c>
      <c r="C746" s="12">
        <v>-7.9946305096508796E-3</v>
      </c>
      <c r="D746" s="12">
        <f t="shared" si="55"/>
        <v>-1.4502883317513924E-4</v>
      </c>
      <c r="E746" s="11">
        <f t="shared" si="56"/>
        <v>-7.8496016764757412E-3</v>
      </c>
      <c r="F746">
        <f t="shared" si="59"/>
        <v>1.4916107002952463E-2</v>
      </c>
      <c r="G746">
        <f t="shared" si="57"/>
        <v>-0.52625002454876513</v>
      </c>
      <c r="H746">
        <f t="shared" si="58"/>
        <v>3.1479055656149328</v>
      </c>
    </row>
    <row r="747" spans="1:8" x14ac:dyDescent="0.25">
      <c r="A747" s="13">
        <v>41352</v>
      </c>
      <c r="B747">
        <v>404.14586509999998</v>
      </c>
      <c r="C747" s="12">
        <v>4.3699823332781218E-3</v>
      </c>
      <c r="D747" s="12">
        <f t="shared" si="55"/>
        <v>-1.4356457647653339E-4</v>
      </c>
      <c r="E747" s="11">
        <f t="shared" si="56"/>
        <v>4.5135469097546555E-3</v>
      </c>
      <c r="F747">
        <f t="shared" si="59"/>
        <v>1.4776200169539131E-2</v>
      </c>
      <c r="G747">
        <f t="shared" si="57"/>
        <v>0.30546059595614106</v>
      </c>
      <c r="H747">
        <f t="shared" si="58"/>
        <v>3.2491458681944785</v>
      </c>
    </row>
    <row r="748" spans="1:8" x14ac:dyDescent="0.25">
      <c r="A748" s="13">
        <v>41353</v>
      </c>
      <c r="B748">
        <v>405.8345276</v>
      </c>
      <c r="C748" s="12">
        <v>4.1783490710269877E-3</v>
      </c>
      <c r="D748" s="12">
        <f t="shared" si="55"/>
        <v>4.5548591322953207E-5</v>
      </c>
      <c r="E748" s="11">
        <f t="shared" si="56"/>
        <v>4.1328004797040341E-3</v>
      </c>
      <c r="F748">
        <f t="shared" si="59"/>
        <v>1.4376485807749742E-2</v>
      </c>
      <c r="G748">
        <f t="shared" si="57"/>
        <v>0.28746945080808411</v>
      </c>
      <c r="H748">
        <f t="shared" si="58"/>
        <v>3.2819034613223197</v>
      </c>
    </row>
    <row r="749" spans="1:8" x14ac:dyDescent="0.25">
      <c r="A749" s="13">
        <v>41354</v>
      </c>
      <c r="B749">
        <v>404.11595770000002</v>
      </c>
      <c r="C749" s="12">
        <v>-4.2346566965683063E-3</v>
      </c>
      <c r="D749" s="12">
        <f t="shared" si="55"/>
        <v>7.4426898560467009E-5</v>
      </c>
      <c r="E749" s="11">
        <f t="shared" si="56"/>
        <v>-4.3090835951287735E-3</v>
      </c>
      <c r="F749">
        <f t="shared" si="59"/>
        <v>1.4314650803032692E-2</v>
      </c>
      <c r="G749">
        <f t="shared" si="57"/>
        <v>-0.30102610635921723</v>
      </c>
      <c r="H749">
        <f t="shared" si="58"/>
        <v>3.2822248429504852</v>
      </c>
    </row>
    <row r="750" spans="1:8" x14ac:dyDescent="0.25">
      <c r="A750" s="13">
        <v>41355</v>
      </c>
      <c r="B750">
        <v>403.64275140000001</v>
      </c>
      <c r="C750" s="12">
        <v>-1.1709666272354813E-3</v>
      </c>
      <c r="D750" s="12">
        <f t="shared" si="55"/>
        <v>-5.3309568201274999E-5</v>
      </c>
      <c r="E750" s="11">
        <f t="shared" si="56"/>
        <v>-1.1176570590342063E-3</v>
      </c>
      <c r="F750">
        <f t="shared" si="59"/>
        <v>1.4325765456729431E-2</v>
      </c>
      <c r="G750">
        <f t="shared" si="57"/>
        <v>-7.8017266331077237E-2</v>
      </c>
      <c r="H750">
        <f t="shared" si="58"/>
        <v>3.3237137026566321</v>
      </c>
    </row>
    <row r="751" spans="1:8" x14ac:dyDescent="0.25">
      <c r="A751" s="13">
        <v>41358</v>
      </c>
      <c r="B751">
        <v>403.3089799</v>
      </c>
      <c r="C751" s="12">
        <v>-8.2689828776150165E-4</v>
      </c>
      <c r="D751" s="12">
        <f t="shared" si="55"/>
        <v>-2.8593434661380655E-5</v>
      </c>
      <c r="E751" s="11">
        <f t="shared" si="56"/>
        <v>-7.9830485310012104E-4</v>
      </c>
      <c r="F751">
        <f t="shared" si="59"/>
        <v>1.4144893848874601E-2</v>
      </c>
      <c r="G751">
        <f t="shared" si="57"/>
        <v>-5.6437670132366238E-2</v>
      </c>
      <c r="H751">
        <f t="shared" si="58"/>
        <v>3.337870440245192</v>
      </c>
    </row>
    <row r="752" spans="1:8" x14ac:dyDescent="0.25">
      <c r="A752" s="13">
        <v>41359</v>
      </c>
      <c r="B752">
        <v>404.6938093</v>
      </c>
      <c r="C752" s="12">
        <v>3.4336686486460266E-3</v>
      </c>
      <c r="D752" s="12">
        <f t="shared" si="55"/>
        <v>-1.551591796632067E-5</v>
      </c>
      <c r="E752" s="11">
        <f t="shared" si="56"/>
        <v>3.4491845666123474E-3</v>
      </c>
      <c r="F752">
        <f t="shared" si="59"/>
        <v>1.4121086854538016E-2</v>
      </c>
      <c r="G752">
        <f t="shared" si="57"/>
        <v>0.24425772620355365</v>
      </c>
      <c r="H752">
        <f t="shared" si="58"/>
        <v>3.3113166255685575</v>
      </c>
    </row>
    <row r="753" spans="1:8" x14ac:dyDescent="0.25">
      <c r="A753" s="13">
        <v>41360</v>
      </c>
      <c r="B753">
        <v>399.83201489999999</v>
      </c>
      <c r="C753" s="12">
        <v>-1.2013513150619937E-2</v>
      </c>
      <c r="D753" s="12">
        <f t="shared" si="55"/>
        <v>4.9808016341047495E-5</v>
      </c>
      <c r="E753" s="11">
        <f t="shared" si="56"/>
        <v>-1.2063321166960983E-2</v>
      </c>
      <c r="F753">
        <f t="shared" si="59"/>
        <v>1.424083476140638E-2</v>
      </c>
      <c r="G753">
        <f t="shared" si="57"/>
        <v>-0.84709368299486176</v>
      </c>
      <c r="H753">
        <f t="shared" si="58"/>
        <v>2.9739193667415926</v>
      </c>
    </row>
    <row r="754" spans="1:8" x14ac:dyDescent="0.25">
      <c r="A754" s="13">
        <v>41361</v>
      </c>
      <c r="B754">
        <v>395.61283049999997</v>
      </c>
      <c r="C754" s="12">
        <v>-1.0552392611820394E-2</v>
      </c>
      <c r="D754" s="12">
        <f t="shared" si="55"/>
        <v>-1.7287604816733796E-4</v>
      </c>
      <c r="E754" s="11">
        <f t="shared" si="56"/>
        <v>-1.0379516563653055E-2</v>
      </c>
      <c r="F754">
        <f t="shared" si="59"/>
        <v>1.560273985289443E-2</v>
      </c>
      <c r="G754">
        <f t="shared" si="57"/>
        <v>-0.66523678927631247</v>
      </c>
      <c r="H754">
        <f t="shared" si="58"/>
        <v>3.0201002224442712</v>
      </c>
    </row>
    <row r="755" spans="1:8" x14ac:dyDescent="0.25">
      <c r="A755" s="13">
        <v>41365</v>
      </c>
      <c r="B755">
        <v>399.09977509999999</v>
      </c>
      <c r="C755" s="12">
        <v>8.8140331434474195E-3</v>
      </c>
      <c r="D755" s="12">
        <f t="shared" si="55"/>
        <v>-1.9047588662074E-4</v>
      </c>
      <c r="E755" s="11">
        <f t="shared" si="56"/>
        <v>9.0045090300681589E-3</v>
      </c>
      <c r="F755">
        <f t="shared" si="59"/>
        <v>1.5182200339037777E-2</v>
      </c>
      <c r="G755">
        <f t="shared" si="57"/>
        <v>0.59309644379510607</v>
      </c>
      <c r="H755">
        <f t="shared" si="58"/>
        <v>3.0928113386222611</v>
      </c>
    </row>
    <row r="756" spans="1:8" x14ac:dyDescent="0.25">
      <c r="A756" s="13">
        <v>41366</v>
      </c>
      <c r="B756">
        <v>405.00264759999999</v>
      </c>
      <c r="C756" s="12">
        <v>1.4790468119209033E-2</v>
      </c>
      <c r="D756" s="12">
        <f t="shared" si="55"/>
        <v>1.0619003907495167E-4</v>
      </c>
      <c r="E756" s="11">
        <f t="shared" si="56"/>
        <v>1.468427808013408E-2</v>
      </c>
      <c r="F756">
        <f t="shared" si="59"/>
        <v>1.4956319716062812E-2</v>
      </c>
      <c r="G756">
        <f t="shared" si="57"/>
        <v>0.98181092400448189</v>
      </c>
      <c r="H756">
        <f t="shared" si="58"/>
        <v>2.8017064665334388</v>
      </c>
    </row>
    <row r="757" spans="1:8" x14ac:dyDescent="0.25">
      <c r="A757" s="13">
        <v>41367</v>
      </c>
      <c r="B757">
        <v>401.59541530000001</v>
      </c>
      <c r="C757" s="12">
        <v>-8.412864261976627E-3</v>
      </c>
      <c r="D757" s="12">
        <f t="shared" si="55"/>
        <v>2.4635282845230819E-4</v>
      </c>
      <c r="E757" s="11">
        <f t="shared" si="56"/>
        <v>-8.6592170904289355E-3</v>
      </c>
      <c r="F757">
        <f t="shared" si="59"/>
        <v>1.6141651991934208E-2</v>
      </c>
      <c r="G757">
        <f t="shared" si="57"/>
        <v>-0.53645172716868406</v>
      </c>
      <c r="H757">
        <f t="shared" si="58"/>
        <v>3.0635235064830635</v>
      </c>
    </row>
    <row r="758" spans="1:8" x14ac:dyDescent="0.25">
      <c r="A758" s="13">
        <v>41368</v>
      </c>
      <c r="B758">
        <v>396.05118590000001</v>
      </c>
      <c r="C758" s="12">
        <v>-1.3805509696514728E-2</v>
      </c>
      <c r="D758" s="12">
        <f t="shared" si="55"/>
        <v>-8.923075859639551E-5</v>
      </c>
      <c r="E758" s="11">
        <f t="shared" si="56"/>
        <v>-1.3716278937918333E-2</v>
      </c>
      <c r="F758">
        <f t="shared" si="59"/>
        <v>1.4921800855458547E-2</v>
      </c>
      <c r="G758">
        <f t="shared" si="57"/>
        <v>-0.91921069519573295</v>
      </c>
      <c r="H758">
        <f t="shared" si="58"/>
        <v>2.863519306436491</v>
      </c>
    </row>
    <row r="759" spans="1:8" x14ac:dyDescent="0.25">
      <c r="A759" s="13">
        <v>41369</v>
      </c>
      <c r="B759">
        <v>390.06362680000001</v>
      </c>
      <c r="C759" s="12">
        <v>-1.5118144606469652E-2</v>
      </c>
      <c r="D759" s="12">
        <f t="shared" si="55"/>
        <v>-2.3042466035327026E-4</v>
      </c>
      <c r="E759" s="11">
        <f t="shared" si="56"/>
        <v>-1.4887719946116382E-2</v>
      </c>
      <c r="F759">
        <f t="shared" si="59"/>
        <v>1.5911033217178624E-2</v>
      </c>
      <c r="G759">
        <f t="shared" si="57"/>
        <v>-0.93568530358183122</v>
      </c>
      <c r="H759">
        <f t="shared" si="58"/>
        <v>2.7840504704979923</v>
      </c>
    </row>
    <row r="760" spans="1:8" x14ac:dyDescent="0.25">
      <c r="A760" s="13">
        <v>41372</v>
      </c>
      <c r="B760">
        <v>385.97893319999997</v>
      </c>
      <c r="C760" s="12">
        <v>-1.0471864894222471E-2</v>
      </c>
      <c r="D760" s="12">
        <f t="shared" si="55"/>
        <v>-2.6413677931416408E-4</v>
      </c>
      <c r="E760" s="11">
        <f t="shared" si="56"/>
        <v>-1.0207728114908308E-2</v>
      </c>
      <c r="F760">
        <f t="shared" si="59"/>
        <v>1.606132861996918E-2</v>
      </c>
      <c r="G760">
        <f t="shared" si="57"/>
        <v>-0.63554693116838146</v>
      </c>
      <c r="H760">
        <f t="shared" si="58"/>
        <v>3.0104423613057523</v>
      </c>
    </row>
    <row r="761" spans="1:8" x14ac:dyDescent="0.25">
      <c r="A761" s="13">
        <v>41373</v>
      </c>
      <c r="B761">
        <v>387.37368029999999</v>
      </c>
      <c r="C761" s="12">
        <v>3.6135316724068556E-3</v>
      </c>
      <c r="D761" s="12">
        <f t="shared" si="55"/>
        <v>-1.9723674428880205E-4</v>
      </c>
      <c r="E761" s="11">
        <f t="shared" si="56"/>
        <v>3.8107684166956575E-3</v>
      </c>
      <c r="F761">
        <f t="shared" si="59"/>
        <v>1.5150203192747781E-2</v>
      </c>
      <c r="G761">
        <f t="shared" si="57"/>
        <v>0.25153249551925655</v>
      </c>
      <c r="H761">
        <f t="shared" si="58"/>
        <v>3.2391685036983948</v>
      </c>
    </row>
    <row r="762" spans="1:8" x14ac:dyDescent="0.25">
      <c r="A762" s="13">
        <v>41374</v>
      </c>
      <c r="B762">
        <v>393.61529869999998</v>
      </c>
      <c r="C762" s="12">
        <v>1.6112654827674877E-2</v>
      </c>
      <c r="D762" s="12">
        <f t="shared" si="55"/>
        <v>2.7741100373512366E-5</v>
      </c>
      <c r="E762" s="11">
        <f t="shared" si="56"/>
        <v>1.6084913727301364E-2</v>
      </c>
      <c r="F762">
        <f t="shared" si="59"/>
        <v>1.4349869001586408E-2</v>
      </c>
      <c r="G762">
        <f t="shared" si="57"/>
        <v>1.1209101438851563</v>
      </c>
      <c r="H762">
        <f t="shared" si="58"/>
        <v>2.6968561570904903</v>
      </c>
    </row>
    <row r="763" spans="1:8" x14ac:dyDescent="0.25">
      <c r="A763" s="13">
        <v>41375</v>
      </c>
      <c r="B763">
        <v>393.71991359999998</v>
      </c>
      <c r="C763" s="12">
        <v>2.6577955771922568E-4</v>
      </c>
      <c r="D763" s="12">
        <f t="shared" si="55"/>
        <v>2.5298533358980601E-4</v>
      </c>
      <c r="E763" s="11">
        <f t="shared" si="56"/>
        <v>1.2794224129419668E-5</v>
      </c>
      <c r="F763">
        <f t="shared" si="59"/>
        <v>1.6636351347080948E-2</v>
      </c>
      <c r="G763">
        <f t="shared" si="57"/>
        <v>7.6905229172528693E-4</v>
      </c>
      <c r="H763">
        <f t="shared" si="58"/>
        <v>3.1772263087140256</v>
      </c>
    </row>
    <row r="764" spans="1:8" x14ac:dyDescent="0.25">
      <c r="A764" s="13">
        <v>41376</v>
      </c>
      <c r="B764">
        <v>393.55054050000001</v>
      </c>
      <c r="C764" s="12">
        <v>-4.3018677529238492E-4</v>
      </c>
      <c r="D764" s="12">
        <f t="shared" si="55"/>
        <v>4.5428886981857163E-5</v>
      </c>
      <c r="E764" s="11">
        <f t="shared" si="56"/>
        <v>-4.756156622742421E-4</v>
      </c>
      <c r="F764">
        <f t="shared" si="59"/>
        <v>1.4373015850392769E-2</v>
      </c>
      <c r="G764">
        <f t="shared" si="57"/>
        <v>-3.3090874401369631E-2</v>
      </c>
      <c r="H764">
        <f t="shared" si="58"/>
        <v>3.3229166934352041</v>
      </c>
    </row>
    <row r="765" spans="1:8" x14ac:dyDescent="0.25">
      <c r="A765" s="13">
        <v>41379</v>
      </c>
      <c r="B765">
        <v>389.50570349999998</v>
      </c>
      <c r="C765" s="12">
        <v>-1.0277808270472977E-2</v>
      </c>
      <c r="D765" s="12">
        <f t="shared" si="55"/>
        <v>-5.8233892132361695E-6</v>
      </c>
      <c r="E765" s="11">
        <f t="shared" si="56"/>
        <v>-1.027198488125974E-2</v>
      </c>
      <c r="F765">
        <f t="shared" si="59"/>
        <v>1.4138688173207577E-2</v>
      </c>
      <c r="G765">
        <f t="shared" si="57"/>
        <v>-0.72651612054963255</v>
      </c>
      <c r="H765">
        <f t="shared" si="58"/>
        <v>3.0759890270756074</v>
      </c>
    </row>
    <row r="766" spans="1:8" x14ac:dyDescent="0.25">
      <c r="A766" s="13">
        <v>41380</v>
      </c>
      <c r="B766">
        <v>395.20435209999999</v>
      </c>
      <c r="C766" s="12">
        <v>1.4630462529286126E-2</v>
      </c>
      <c r="D766" s="12">
        <f t="shared" si="55"/>
        <v>-1.5655407348859237E-4</v>
      </c>
      <c r="E766" s="11">
        <f t="shared" si="56"/>
        <v>1.4787016602774717E-2</v>
      </c>
      <c r="F766">
        <f t="shared" si="59"/>
        <v>1.5216407603680988E-2</v>
      </c>
      <c r="G766">
        <f t="shared" si="57"/>
        <v>0.97178105292063832</v>
      </c>
      <c r="H766">
        <f t="shared" si="58"/>
        <v>2.7942632450915208</v>
      </c>
    </row>
    <row r="767" spans="1:8" x14ac:dyDescent="0.25">
      <c r="A767" s="13">
        <v>41381</v>
      </c>
      <c r="B767">
        <v>389.81954660000002</v>
      </c>
      <c r="C767" s="12">
        <v>-1.3625369941871024E-2</v>
      </c>
      <c r="D767" s="12">
        <f t="shared" si="55"/>
        <v>1.9486731481465006E-4</v>
      </c>
      <c r="E767" s="11">
        <f t="shared" si="56"/>
        <v>-1.3820237256685674E-2</v>
      </c>
      <c r="F767">
        <f t="shared" si="59"/>
        <v>1.6127823501302593E-2</v>
      </c>
      <c r="G767">
        <f t="shared" si="57"/>
        <v>-0.85691892992067142</v>
      </c>
      <c r="H767">
        <f t="shared" si="58"/>
        <v>2.8411157713398247</v>
      </c>
    </row>
    <row r="768" spans="1:8" x14ac:dyDescent="0.25">
      <c r="A768" s="13">
        <v>41382</v>
      </c>
      <c r="B768">
        <v>381.52561780000002</v>
      </c>
      <c r="C768" s="12">
        <v>-2.1276328681666956E-2</v>
      </c>
      <c r="D768" s="12">
        <f t="shared" si="55"/>
        <v>-1.6847942070569657E-4</v>
      </c>
      <c r="E768" s="11">
        <f t="shared" si="56"/>
        <v>-2.1107849260961261E-2</v>
      </c>
      <c r="F768">
        <f t="shared" si="59"/>
        <v>1.581079738020634E-2</v>
      </c>
      <c r="G768">
        <f t="shared" si="57"/>
        <v>-1.3350274975622887</v>
      </c>
      <c r="H768">
        <f t="shared" si="58"/>
        <v>2.3369744510235146</v>
      </c>
    </row>
    <row r="769" spans="1:8" x14ac:dyDescent="0.25">
      <c r="A769" s="13">
        <v>41383</v>
      </c>
      <c r="B769">
        <v>398.4422118</v>
      </c>
      <c r="C769" s="12">
        <v>4.433933977368687E-2</v>
      </c>
      <c r="D769" s="12">
        <f t="shared" si="55"/>
        <v>-3.568143557338367E-4</v>
      </c>
      <c r="E769" s="11">
        <f t="shared" si="56"/>
        <v>4.4696154129420705E-2</v>
      </c>
      <c r="F769">
        <f t="shared" si="59"/>
        <v>1.7698312001361953E-2</v>
      </c>
      <c r="G769">
        <f t="shared" si="57"/>
        <v>2.5254472927125007</v>
      </c>
      <c r="H769">
        <f t="shared" si="58"/>
        <v>-7.3594536234340424E-2</v>
      </c>
    </row>
    <row r="770" spans="1:8" x14ac:dyDescent="0.25">
      <c r="A770" s="13">
        <v>41386</v>
      </c>
      <c r="B770">
        <v>398.56177960000002</v>
      </c>
      <c r="C770" s="12">
        <v>3.0008818458227005E-4</v>
      </c>
      <c r="D770" s="12">
        <f t="shared" si="55"/>
        <v>6.1593853659015893E-4</v>
      </c>
      <c r="E770" s="11">
        <f t="shared" si="56"/>
        <v>-3.1585035200788888E-4</v>
      </c>
      <c r="F770">
        <f t="shared" si="59"/>
        <v>2.4514010083193705E-2</v>
      </c>
      <c r="G770">
        <f t="shared" si="57"/>
        <v>-1.2884483237788553E-2</v>
      </c>
      <c r="H770">
        <f t="shared" si="58"/>
        <v>2.7894889465805388</v>
      </c>
    </row>
    <row r="771" spans="1:8" x14ac:dyDescent="0.25">
      <c r="A771" s="13">
        <v>41387</v>
      </c>
      <c r="B771">
        <v>402.44224919999999</v>
      </c>
      <c r="C771" s="12">
        <v>9.7361809350973161E-3</v>
      </c>
      <c r="D771" s="12">
        <f t="shared" si="55"/>
        <v>1.1848955905938639E-4</v>
      </c>
      <c r="E771" s="11">
        <f t="shared" si="56"/>
        <v>9.6176913760379294E-3</v>
      </c>
      <c r="F771">
        <f t="shared" si="59"/>
        <v>1.5419534986261144E-2</v>
      </c>
      <c r="G771">
        <f t="shared" si="57"/>
        <v>0.62373420369727905</v>
      </c>
      <c r="H771">
        <f t="shared" si="58"/>
        <v>3.0586593561990587</v>
      </c>
    </row>
    <row r="772" spans="1:8" x14ac:dyDescent="0.25">
      <c r="A772" s="13">
        <v>41388</v>
      </c>
      <c r="B772">
        <v>405.20687170000002</v>
      </c>
      <c r="C772" s="12">
        <v>6.8696129829701746E-3</v>
      </c>
      <c r="D772" s="12">
        <f t="shared" si="55"/>
        <v>1.4802778665422867E-4</v>
      </c>
      <c r="E772" s="11">
        <f t="shared" si="56"/>
        <v>6.7215851963159457E-3</v>
      </c>
      <c r="F772">
        <f t="shared" si="59"/>
        <v>1.5055711606554154E-2</v>
      </c>
      <c r="G772">
        <f t="shared" si="57"/>
        <v>0.44644752582733188</v>
      </c>
      <c r="H772">
        <f t="shared" si="58"/>
        <v>3.1774016211779941</v>
      </c>
    </row>
    <row r="773" spans="1:8" x14ac:dyDescent="0.25">
      <c r="A773" s="13">
        <v>41389</v>
      </c>
      <c r="B773">
        <v>403.03999759999999</v>
      </c>
      <c r="C773" s="12">
        <v>-5.3475749088586211E-3</v>
      </c>
      <c r="D773" s="12">
        <f t="shared" si="55"/>
        <v>1.2892236500172319E-4</v>
      </c>
      <c r="E773" s="11">
        <f t="shared" si="56"/>
        <v>-5.4764972738603444E-3</v>
      </c>
      <c r="F773">
        <f t="shared" si="59"/>
        <v>1.4628106070425634E-2</v>
      </c>
      <c r="G773">
        <f t="shared" si="57"/>
        <v>-0.37438184051265871</v>
      </c>
      <c r="H773">
        <f t="shared" si="58"/>
        <v>3.2357911130725441</v>
      </c>
    </row>
    <row r="774" spans="1:8" x14ac:dyDescent="0.25">
      <c r="A774" s="13">
        <v>41390</v>
      </c>
      <c r="B774">
        <v>399.21433819999999</v>
      </c>
      <c r="C774" s="12">
        <v>-9.4920092863756134E-3</v>
      </c>
      <c r="D774" s="12">
        <f t="shared" ref="D774:D837" si="60">+C773*$K$11+C772*$K$10</f>
        <v>-6.3225623497996009E-5</v>
      </c>
      <c r="E774" s="11">
        <f t="shared" ref="E774:E837" si="61">C774-D774</f>
        <v>-9.428783662877617E-3</v>
      </c>
      <c r="F774">
        <f t="shared" si="59"/>
        <v>1.4461536699142855E-2</v>
      </c>
      <c r="G774">
        <f t="shared" ref="G774:G837" si="62">E774/F774</f>
        <v>-0.65199043912369747</v>
      </c>
      <c r="H774">
        <f t="shared" ref="H774:H837" si="63">1/2*(-LN(PI()*2)-2*LN(F774)-(E774/F774)^2)</f>
        <v>3.1047784959224849</v>
      </c>
    </row>
    <row r="775" spans="1:8" x14ac:dyDescent="0.25">
      <c r="A775" s="13">
        <v>41393</v>
      </c>
      <c r="B775">
        <v>408.00140160000001</v>
      </c>
      <c r="C775" s="12">
        <v>2.2010891291178725E-2</v>
      </c>
      <c r="D775" s="12">
        <f t="shared" si="60"/>
        <v>-1.5730666504998978E-4</v>
      </c>
      <c r="E775" s="11">
        <f t="shared" si="61"/>
        <v>2.2168197956228715E-2</v>
      </c>
      <c r="F775">
        <f t="shared" ref="F775:F838" si="64">SQRT($K$6+$K$7*G774^2+$K$8*F774^2)</f>
        <v>1.5037657152037054E-2</v>
      </c>
      <c r="G775">
        <f t="shared" si="62"/>
        <v>1.4741789716375953</v>
      </c>
      <c r="H775">
        <f t="shared" si="63"/>
        <v>2.1916573936462553</v>
      </c>
    </row>
    <row r="776" spans="1:8" x14ac:dyDescent="0.25">
      <c r="A776" s="13">
        <v>41394</v>
      </c>
      <c r="B776">
        <v>410.74612669999999</v>
      </c>
      <c r="C776" s="12">
        <v>6.7272442918979714E-3</v>
      </c>
      <c r="D776" s="12">
        <f t="shared" si="60"/>
        <v>3.0851337909350692E-4</v>
      </c>
      <c r="E776" s="11">
        <f t="shared" si="61"/>
        <v>6.4187309128044641E-3</v>
      </c>
      <c r="F776">
        <f t="shared" si="64"/>
        <v>1.8300065864226042E-2</v>
      </c>
      <c r="G776">
        <f t="shared" si="62"/>
        <v>0.3507490607097839</v>
      </c>
      <c r="H776">
        <f t="shared" si="63"/>
        <v>3.0203996350041327</v>
      </c>
    </row>
    <row r="777" spans="1:8" x14ac:dyDescent="0.25">
      <c r="A777" s="13">
        <v>41395</v>
      </c>
      <c r="B777">
        <v>408.68386700000002</v>
      </c>
      <c r="C777" s="12">
        <v>-5.0207648129722005E-3</v>
      </c>
      <c r="D777" s="12">
        <f t="shared" si="60"/>
        <v>1.5831473605336859E-4</v>
      </c>
      <c r="E777" s="11">
        <f t="shared" si="61"/>
        <v>-5.1790795490255694E-3</v>
      </c>
      <c r="F777">
        <f t="shared" si="64"/>
        <v>1.4822661048033132E-2</v>
      </c>
      <c r="G777">
        <f t="shared" si="62"/>
        <v>-0.3494028185791106</v>
      </c>
      <c r="H777">
        <f t="shared" si="63"/>
        <v>3.2316184193156272</v>
      </c>
    </row>
    <row r="778" spans="1:8" x14ac:dyDescent="0.25">
      <c r="A778" s="13">
        <v>41396</v>
      </c>
      <c r="B778">
        <v>413.25672040000001</v>
      </c>
      <c r="C778" s="12">
        <v>1.1189219270062223E-2</v>
      </c>
      <c r="D778" s="12">
        <f t="shared" si="60"/>
        <v>-5.8648610560305742E-5</v>
      </c>
      <c r="E778" s="11">
        <f t="shared" si="61"/>
        <v>1.1247867880622528E-2</v>
      </c>
      <c r="F778">
        <f t="shared" si="64"/>
        <v>1.4442264965522308E-2</v>
      </c>
      <c r="G778">
        <f t="shared" si="62"/>
        <v>0.77881605880201676</v>
      </c>
      <c r="H778">
        <f t="shared" si="63"/>
        <v>3.0153805443210384</v>
      </c>
    </row>
    <row r="779" spans="1:8" x14ac:dyDescent="0.25">
      <c r="A779" s="13">
        <v>41397</v>
      </c>
      <c r="B779">
        <v>421.2816674</v>
      </c>
      <c r="C779" s="12">
        <v>1.9418793703421144E-2</v>
      </c>
      <c r="D779" s="12">
        <f t="shared" si="60"/>
        <v>1.5633008011806069E-4</v>
      </c>
      <c r="E779" s="11">
        <f t="shared" si="61"/>
        <v>1.9262463623303083E-2</v>
      </c>
      <c r="F779">
        <f t="shared" si="64"/>
        <v>1.5401231303603418E-2</v>
      </c>
      <c r="G779">
        <f t="shared" si="62"/>
        <v>1.2507093260002047</v>
      </c>
      <c r="H779">
        <f t="shared" si="63"/>
        <v>2.472232375702708</v>
      </c>
    </row>
    <row r="780" spans="1:8" x14ac:dyDescent="0.25">
      <c r="A780" s="13">
        <v>41400</v>
      </c>
      <c r="B780">
        <v>429.16711780000003</v>
      </c>
      <c r="C780" s="12">
        <v>1.8717762984243214E-2</v>
      </c>
      <c r="D780" s="12">
        <f t="shared" si="60"/>
        <v>3.2245890671040101E-4</v>
      </c>
      <c r="E780" s="11">
        <f t="shared" si="61"/>
        <v>1.8395304077532811E-2</v>
      </c>
      <c r="F780">
        <f t="shared" si="64"/>
        <v>1.7281210379263411E-2</v>
      </c>
      <c r="G780">
        <f t="shared" si="62"/>
        <v>1.0644684992439104</v>
      </c>
      <c r="H780">
        <f t="shared" si="63"/>
        <v>2.5726503468170443</v>
      </c>
    </row>
    <row r="781" spans="1:8" x14ac:dyDescent="0.25">
      <c r="A781" s="13">
        <v>41401</v>
      </c>
      <c r="B781">
        <v>427.01516679999997</v>
      </c>
      <c r="C781" s="12">
        <v>-5.0142494863805176E-3</v>
      </c>
      <c r="D781" s="12">
        <f t="shared" si="60"/>
        <v>3.3300581384717361E-4</v>
      </c>
      <c r="E781" s="11">
        <f t="shared" si="61"/>
        <v>-5.3472553002276912E-3</v>
      </c>
      <c r="F781">
        <f t="shared" si="64"/>
        <v>1.6677060709476006E-2</v>
      </c>
      <c r="G781">
        <f t="shared" si="62"/>
        <v>-0.32063535615657673</v>
      </c>
      <c r="H781">
        <f t="shared" si="63"/>
        <v>3.1233790650242539</v>
      </c>
    </row>
    <row r="782" spans="1:8" x14ac:dyDescent="0.25">
      <c r="A782" s="13">
        <v>41402</v>
      </c>
      <c r="B782">
        <v>435.18458429999998</v>
      </c>
      <c r="C782" s="12">
        <v>1.9131445754539955E-2</v>
      </c>
      <c r="D782" s="12">
        <f t="shared" si="60"/>
        <v>-2.7734781555078782E-5</v>
      </c>
      <c r="E782" s="11">
        <f t="shared" si="61"/>
        <v>1.9159180536095034E-2</v>
      </c>
      <c r="F782">
        <f t="shared" si="64"/>
        <v>1.4595003538370141E-2</v>
      </c>
      <c r="G782">
        <f t="shared" si="62"/>
        <v>1.3127218836039136</v>
      </c>
      <c r="H782">
        <f t="shared" si="63"/>
        <v>2.4465181271879661</v>
      </c>
    </row>
    <row r="783" spans="1:8" x14ac:dyDescent="0.25">
      <c r="A783" s="13">
        <v>41403</v>
      </c>
      <c r="B783">
        <v>434.1135678</v>
      </c>
      <c r="C783" s="12">
        <v>-2.4610625896198668E-3</v>
      </c>
      <c r="D783" s="12">
        <f t="shared" si="60"/>
        <v>2.7647041565548054E-4</v>
      </c>
      <c r="E783" s="11">
        <f t="shared" si="61"/>
        <v>-2.7375330052753473E-3</v>
      </c>
      <c r="F783">
        <f t="shared" si="64"/>
        <v>1.7494474280879281E-2</v>
      </c>
      <c r="G783">
        <f t="shared" si="62"/>
        <v>-0.15647986680384873</v>
      </c>
      <c r="H783">
        <f t="shared" si="63"/>
        <v>3.1146886957300732</v>
      </c>
    </row>
    <row r="784" spans="1:8" x14ac:dyDescent="0.25">
      <c r="A784" s="13">
        <v>41404</v>
      </c>
      <c r="B784">
        <v>438.47224840000001</v>
      </c>
      <c r="C784" s="12">
        <v>1.0040415511749501E-2</v>
      </c>
      <c r="D784" s="12">
        <f t="shared" si="60"/>
        <v>1.1944492277000515E-5</v>
      </c>
      <c r="E784" s="11">
        <f t="shared" si="61"/>
        <v>1.0028471019472501E-2</v>
      </c>
      <c r="F784">
        <f t="shared" si="64"/>
        <v>1.4522400976458452E-2</v>
      </c>
      <c r="G784">
        <f t="shared" si="62"/>
        <v>0.69055186093051424</v>
      </c>
      <c r="H784">
        <f t="shared" si="63"/>
        <v>3.0746934572279931</v>
      </c>
    </row>
    <row r="785" spans="1:8" x14ac:dyDescent="0.25">
      <c r="A785" s="13">
        <v>41407</v>
      </c>
      <c r="B785">
        <v>437.12730599999998</v>
      </c>
      <c r="C785" s="12">
        <v>-3.0673375679025616E-3</v>
      </c>
      <c r="D785" s="12">
        <f t="shared" si="60"/>
        <v>1.4553315787338309E-4</v>
      </c>
      <c r="E785" s="11">
        <f t="shared" si="61"/>
        <v>-3.2128707257759446E-3</v>
      </c>
      <c r="F785">
        <f t="shared" si="64"/>
        <v>1.5148376802530861E-2</v>
      </c>
      <c r="G785">
        <f t="shared" si="62"/>
        <v>-0.21209339902603727</v>
      </c>
      <c r="H785">
        <f t="shared" si="63"/>
        <v>3.248431556354102</v>
      </c>
    </row>
    <row r="786" spans="1:8" x14ac:dyDescent="0.25">
      <c r="A786" s="13">
        <v>41408</v>
      </c>
      <c r="B786">
        <v>441.89443469999998</v>
      </c>
      <c r="C786" s="12">
        <v>1.0905584333365859E-2</v>
      </c>
      <c r="D786" s="12">
        <f t="shared" si="60"/>
        <v>-2.0588904718273619E-5</v>
      </c>
      <c r="E786" s="11">
        <f t="shared" si="61"/>
        <v>1.0926173238084133E-2</v>
      </c>
      <c r="F786">
        <f t="shared" si="64"/>
        <v>1.4310586477647587E-2</v>
      </c>
      <c r="G786">
        <f t="shared" si="62"/>
        <v>0.76350282744528075</v>
      </c>
      <c r="H786">
        <f t="shared" si="63"/>
        <v>3.0363488855275134</v>
      </c>
    </row>
    <row r="787" spans="1:8" x14ac:dyDescent="0.25">
      <c r="A787" s="13">
        <v>41409</v>
      </c>
      <c r="B787">
        <v>456.23570660000001</v>
      </c>
      <c r="C787" s="12">
        <v>3.2454067699984268E-2</v>
      </c>
      <c r="D787" s="12">
        <f t="shared" si="60"/>
        <v>1.5706044560385014E-4</v>
      </c>
      <c r="E787" s="11">
        <f t="shared" si="61"/>
        <v>3.2297007254380415E-2</v>
      </c>
      <c r="F787">
        <f t="shared" si="64"/>
        <v>1.5342312442065287E-2</v>
      </c>
      <c r="G787">
        <f t="shared" si="62"/>
        <v>2.1050938296517177</v>
      </c>
      <c r="H787">
        <f t="shared" si="63"/>
        <v>1.0424921994831613</v>
      </c>
    </row>
    <row r="788" spans="1:8" x14ac:dyDescent="0.25">
      <c r="A788" s="13">
        <v>41410</v>
      </c>
      <c r="B788">
        <v>450.24814739999999</v>
      </c>
      <c r="C788" s="12">
        <v>-1.3123828567958906E-2</v>
      </c>
      <c r="D788" s="12">
        <f t="shared" si="60"/>
        <v>5.1888425089390358E-4</v>
      </c>
      <c r="E788" s="11">
        <f t="shared" si="61"/>
        <v>-1.364271281885281E-2</v>
      </c>
      <c r="F788">
        <f t="shared" si="64"/>
        <v>2.1775435044921083E-2</v>
      </c>
      <c r="G788">
        <f t="shared" si="62"/>
        <v>-0.62651849621874012</v>
      </c>
      <c r="H788">
        <f t="shared" si="63"/>
        <v>2.7117715310855282</v>
      </c>
    </row>
    <row r="789" spans="1:8" x14ac:dyDescent="0.25">
      <c r="A789" s="13">
        <v>41411</v>
      </c>
      <c r="B789">
        <v>452.89323250000001</v>
      </c>
      <c r="C789" s="12">
        <v>5.8747273370791664E-3</v>
      </c>
      <c r="D789" s="12">
        <f t="shared" si="60"/>
        <v>-1.1508761998859213E-4</v>
      </c>
      <c r="E789" s="11">
        <f t="shared" si="61"/>
        <v>5.9898149570677588E-3</v>
      </c>
      <c r="F789">
        <f t="shared" si="64"/>
        <v>1.579930446080129E-2</v>
      </c>
      <c r="G789">
        <f t="shared" si="62"/>
        <v>0.37911890184335206</v>
      </c>
      <c r="H789">
        <f t="shared" si="63"/>
        <v>3.1569852573143344</v>
      </c>
    </row>
    <row r="790" spans="1:8" x14ac:dyDescent="0.25">
      <c r="A790" s="13">
        <v>41414</v>
      </c>
      <c r="B790">
        <v>452.56944060000001</v>
      </c>
      <c r="C790" s="12">
        <v>-7.1494091049373321E-4</v>
      </c>
      <c r="D790" s="12">
        <f t="shared" si="60"/>
        <v>5.512547898840202E-5</v>
      </c>
      <c r="E790" s="11">
        <f t="shared" si="61"/>
        <v>-7.7006638948213526E-4</v>
      </c>
      <c r="F790">
        <f t="shared" si="64"/>
        <v>1.4587021044157801E-2</v>
      </c>
      <c r="G790">
        <f t="shared" si="62"/>
        <v>-5.2791203025689196E-2</v>
      </c>
      <c r="H790">
        <f t="shared" si="63"/>
        <v>3.307291126450743</v>
      </c>
    </row>
    <row r="791" spans="1:8" x14ac:dyDescent="0.25">
      <c r="A791" s="13">
        <v>41415</v>
      </c>
      <c r="B791">
        <v>451.7923394</v>
      </c>
      <c r="C791" s="12">
        <v>-1.7170872142179272E-3</v>
      </c>
      <c r="D791" s="12">
        <f t="shared" si="60"/>
        <v>4.2846309785034569E-6</v>
      </c>
      <c r="E791" s="11">
        <f t="shared" si="61"/>
        <v>-1.7213718451964306E-3</v>
      </c>
      <c r="F791">
        <f t="shared" si="64"/>
        <v>1.4163406236819749E-2</v>
      </c>
      <c r="G791">
        <f t="shared" si="62"/>
        <v>-0.12153657223510857</v>
      </c>
      <c r="H791">
        <f t="shared" si="63"/>
        <v>3.3307695637971797</v>
      </c>
    </row>
    <row r="792" spans="1:8" x14ac:dyDescent="0.25">
      <c r="A792" s="13">
        <v>41416</v>
      </c>
      <c r="B792">
        <v>443.0501064</v>
      </c>
      <c r="C792" s="12">
        <v>-1.9350113398580615E-2</v>
      </c>
      <c r="D792" s="12">
        <f t="shared" si="60"/>
        <v>-2.7807762905132487E-5</v>
      </c>
      <c r="E792" s="11">
        <f t="shared" si="61"/>
        <v>-1.9322305635675482E-2</v>
      </c>
      <c r="F792">
        <f t="shared" si="64"/>
        <v>1.4147985227190936E-2</v>
      </c>
      <c r="G792">
        <f t="shared" si="62"/>
        <v>-1.3657284288465363</v>
      </c>
      <c r="H792">
        <f t="shared" si="63"/>
        <v>2.4066374479173209</v>
      </c>
    </row>
    <row r="793" spans="1:8" x14ac:dyDescent="0.25">
      <c r="A793" s="13">
        <v>41417</v>
      </c>
      <c r="B793">
        <v>439.74748849999997</v>
      </c>
      <c r="C793" s="12">
        <v>-7.454276282282013E-3</v>
      </c>
      <c r="D793" s="12">
        <f t="shared" si="60"/>
        <v>-2.9707703357324382E-4</v>
      </c>
      <c r="E793" s="11">
        <f t="shared" si="61"/>
        <v>-7.1571992487087692E-3</v>
      </c>
      <c r="F793">
        <f t="shared" si="64"/>
        <v>1.7706545142682092E-2</v>
      </c>
      <c r="G793">
        <f t="shared" si="62"/>
        <v>-0.40421206909845742</v>
      </c>
      <c r="H793">
        <f t="shared" si="63"/>
        <v>3.0331886940753594</v>
      </c>
    </row>
    <row r="794" spans="1:8" x14ac:dyDescent="0.25">
      <c r="A794" s="13">
        <v>41418</v>
      </c>
      <c r="B794">
        <v>435.03013429999999</v>
      </c>
      <c r="C794" s="12">
        <v>-1.0727415899727144E-2</v>
      </c>
      <c r="D794" s="12">
        <f t="shared" si="60"/>
        <v>-1.6247273599283578E-4</v>
      </c>
      <c r="E794" s="11">
        <f t="shared" si="61"/>
        <v>-1.0564943163734308E-2</v>
      </c>
      <c r="F794">
        <f t="shared" si="64"/>
        <v>1.4836778698010068E-2</v>
      </c>
      <c r="G794">
        <f t="shared" si="62"/>
        <v>-0.71207796373961518</v>
      </c>
      <c r="H794">
        <f t="shared" si="63"/>
        <v>3.0381800872465536</v>
      </c>
    </row>
    <row r="795" spans="1:8" x14ac:dyDescent="0.25">
      <c r="A795" s="13">
        <v>41422</v>
      </c>
      <c r="B795">
        <v>438.99031550000001</v>
      </c>
      <c r="C795" s="12">
        <v>9.1032342078378736E-3</v>
      </c>
      <c r="D795" s="12">
        <f t="shared" si="60"/>
        <v>-1.814059497985858E-4</v>
      </c>
      <c r="E795" s="11">
        <f t="shared" si="61"/>
        <v>9.2846401576364597E-3</v>
      </c>
      <c r="F795">
        <f t="shared" si="64"/>
        <v>1.5238472545933789E-2</v>
      </c>
      <c r="G795">
        <f t="shared" si="62"/>
        <v>0.60928942383493412</v>
      </c>
      <c r="H795">
        <f t="shared" si="63"/>
        <v>3.0793766261882016</v>
      </c>
    </row>
    <row r="796" spans="1:8" x14ac:dyDescent="0.25">
      <c r="A796" s="13">
        <v>41423</v>
      </c>
      <c r="B796">
        <v>432.534494</v>
      </c>
      <c r="C796" s="12">
        <v>-1.4706068156986496E-2</v>
      </c>
      <c r="D796" s="12">
        <f t="shared" si="60"/>
        <v>1.1011430627753527E-4</v>
      </c>
      <c r="E796" s="11">
        <f t="shared" si="61"/>
        <v>-1.4816182463264032E-2</v>
      </c>
      <c r="F796">
        <f t="shared" si="64"/>
        <v>1.5001641817227589E-2</v>
      </c>
      <c r="G796">
        <f t="shared" si="62"/>
        <v>-0.98763739621148805</v>
      </c>
      <c r="H796">
        <f t="shared" si="63"/>
        <v>2.7929432829854157</v>
      </c>
    </row>
    <row r="797" spans="1:8" x14ac:dyDescent="0.25">
      <c r="A797" s="13">
        <v>41424</v>
      </c>
      <c r="B797">
        <v>433.75492459999998</v>
      </c>
      <c r="C797" s="12">
        <v>2.8215798206372433E-3</v>
      </c>
      <c r="D797" s="12">
        <f t="shared" si="60"/>
        <v>-1.990294467579503E-4</v>
      </c>
      <c r="E797" s="11">
        <f t="shared" si="61"/>
        <v>3.0206092673951937E-3</v>
      </c>
      <c r="F797">
        <f t="shared" si="64"/>
        <v>1.6167457397412089E-2</v>
      </c>
      <c r="G797">
        <f t="shared" si="62"/>
        <v>0.18683267214786042</v>
      </c>
      <c r="H797">
        <f t="shared" si="63"/>
        <v>3.1883631028271653</v>
      </c>
    </row>
    <row r="798" spans="1:8" x14ac:dyDescent="0.25">
      <c r="A798" s="13">
        <v>41425</v>
      </c>
      <c r="B798">
        <v>433.98408160000002</v>
      </c>
      <c r="C798" s="12">
        <v>5.2830985195462254E-4</v>
      </c>
      <c r="D798" s="12">
        <f t="shared" si="60"/>
        <v>4.8813061790159478E-6</v>
      </c>
      <c r="E798" s="11">
        <f t="shared" si="61"/>
        <v>5.2342854577560661E-4</v>
      </c>
      <c r="F798">
        <f t="shared" si="64"/>
        <v>1.4395963454122472E-2</v>
      </c>
      <c r="G798">
        <f t="shared" si="62"/>
        <v>3.6359396676970308E-2</v>
      </c>
      <c r="H798">
        <f t="shared" si="63"/>
        <v>3.3212078913138776</v>
      </c>
    </row>
    <row r="799" spans="1:8" x14ac:dyDescent="0.25">
      <c r="A799" s="13">
        <v>41428</v>
      </c>
      <c r="B799">
        <v>432.19577909999998</v>
      </c>
      <c r="C799" s="12">
        <v>-4.1206638119236638E-3</v>
      </c>
      <c r="D799" s="12">
        <f t="shared" si="60"/>
        <v>1.5241893274668188E-5</v>
      </c>
      <c r="E799" s="11">
        <f t="shared" si="61"/>
        <v>-4.1359057051983316E-3</v>
      </c>
      <c r="F799">
        <f t="shared" si="64"/>
        <v>1.4141424590945686E-2</v>
      </c>
      <c r="G799">
        <f t="shared" si="62"/>
        <v>-0.29246740161146306</v>
      </c>
      <c r="H799">
        <f t="shared" si="63"/>
        <v>3.2969397508751377</v>
      </c>
    </row>
    <row r="800" spans="1:8" x14ac:dyDescent="0.25">
      <c r="A800" s="13">
        <v>41429</v>
      </c>
      <c r="B800">
        <v>427.94668730000001</v>
      </c>
      <c r="C800" s="12">
        <v>-9.8314051304440042E-3</v>
      </c>
      <c r="D800" s="12">
        <f t="shared" si="60"/>
        <v>-6.0965958309364971E-5</v>
      </c>
      <c r="E800" s="11">
        <f t="shared" si="61"/>
        <v>-9.7704391721346387E-3</v>
      </c>
      <c r="F800">
        <f t="shared" si="64"/>
        <v>1.4298332934308074E-2</v>
      </c>
      <c r="G800">
        <f t="shared" si="62"/>
        <v>-0.68332715548195133</v>
      </c>
      <c r="H800">
        <f t="shared" si="63"/>
        <v>3.095205792618235</v>
      </c>
    </row>
    <row r="801" spans="1:8" x14ac:dyDescent="0.25">
      <c r="A801" s="13">
        <v>41430</v>
      </c>
      <c r="B801">
        <v>428.2455769</v>
      </c>
      <c r="C801" s="12">
        <v>6.9842718467039155E-4</v>
      </c>
      <c r="D801" s="12">
        <f t="shared" si="60"/>
        <v>-1.5928679066711307E-4</v>
      </c>
      <c r="E801" s="11">
        <f t="shared" si="61"/>
        <v>8.5771397533750463E-4</v>
      </c>
      <c r="F801">
        <f t="shared" si="64"/>
        <v>1.5107750893869348E-2</v>
      </c>
      <c r="G801">
        <f t="shared" si="62"/>
        <v>5.6773108145803546E-2</v>
      </c>
      <c r="H801">
        <f t="shared" si="63"/>
        <v>3.271997236518112</v>
      </c>
    </row>
    <row r="802" spans="1:8" x14ac:dyDescent="0.25">
      <c r="A802" s="13">
        <v>41431</v>
      </c>
      <c r="B802">
        <v>430.7063354</v>
      </c>
      <c r="C802" s="12">
        <v>5.74613874079688E-3</v>
      </c>
      <c r="D802" s="12">
        <f t="shared" si="60"/>
        <v>-1.4702943387358982E-5</v>
      </c>
      <c r="E802" s="11">
        <f t="shared" si="61"/>
        <v>5.7608416841842388E-3</v>
      </c>
      <c r="F802">
        <f t="shared" si="64"/>
        <v>1.4216734954432542E-2</v>
      </c>
      <c r="G802">
        <f t="shared" si="62"/>
        <v>0.40521552259705762</v>
      </c>
      <c r="H802">
        <f t="shared" si="63"/>
        <v>3.2522971472827682</v>
      </c>
    </row>
    <row r="803" spans="1:8" x14ac:dyDescent="0.25">
      <c r="A803" s="13">
        <v>41432</v>
      </c>
      <c r="B803">
        <v>438.22319390000001</v>
      </c>
      <c r="C803" s="12">
        <v>1.7452398263468893E-2</v>
      </c>
      <c r="D803" s="12">
        <f t="shared" si="60"/>
        <v>8.8703416473395126E-5</v>
      </c>
      <c r="E803" s="11">
        <f t="shared" si="61"/>
        <v>1.7363694846995497E-2</v>
      </c>
      <c r="F803">
        <f t="shared" si="64"/>
        <v>1.4473017344948602E-2</v>
      </c>
      <c r="G803">
        <f t="shared" si="62"/>
        <v>1.1997287388766797</v>
      </c>
      <c r="H803">
        <f t="shared" si="63"/>
        <v>2.5968561792444804</v>
      </c>
    </row>
    <row r="804" spans="1:8" x14ac:dyDescent="0.25">
      <c r="A804" s="13">
        <v>41435</v>
      </c>
      <c r="B804">
        <v>443.4486058</v>
      </c>
      <c r="C804" s="12">
        <v>1.1924087936779459E-2</v>
      </c>
      <c r="D804" s="12">
        <f t="shared" si="60"/>
        <v>2.7872925571676284E-4</v>
      </c>
      <c r="E804" s="11">
        <f t="shared" si="61"/>
        <v>1.1645358681062697E-2</v>
      </c>
      <c r="F804">
        <f t="shared" si="64"/>
        <v>1.6979942976383489E-2</v>
      </c>
      <c r="G804">
        <f t="shared" si="62"/>
        <v>0.68583025851497936</v>
      </c>
      <c r="H804">
        <f t="shared" si="63"/>
        <v>2.9216023514338429</v>
      </c>
    </row>
    <row r="805" spans="1:8" x14ac:dyDescent="0.25">
      <c r="A805" s="13">
        <v>41436</v>
      </c>
      <c r="B805">
        <v>438.26305000000002</v>
      </c>
      <c r="C805" s="12">
        <v>-1.16937018905382E-2</v>
      </c>
      <c r="D805" s="12">
        <f t="shared" si="60"/>
        <v>2.2520010977957277E-4</v>
      </c>
      <c r="E805" s="11">
        <f t="shared" si="61"/>
        <v>-1.1918902000317772E-2</v>
      </c>
      <c r="F805">
        <f t="shared" si="64"/>
        <v>1.5379165408957606E-2</v>
      </c>
      <c r="G805">
        <f t="shared" si="62"/>
        <v>-0.77500317366868288</v>
      </c>
      <c r="H805">
        <f t="shared" si="63"/>
        <v>2.955488088271248</v>
      </c>
    </row>
    <row r="806" spans="1:8" x14ac:dyDescent="0.25">
      <c r="A806" s="13">
        <v>41437</v>
      </c>
      <c r="B806">
        <v>434.36265259999999</v>
      </c>
      <c r="C806" s="12">
        <v>-8.899672012048554E-3</v>
      </c>
      <c r="D806" s="12">
        <f t="shared" si="60"/>
        <v>-1.4621887451098992E-4</v>
      </c>
      <c r="E806" s="11">
        <f t="shared" si="61"/>
        <v>-8.7534531375375643E-3</v>
      </c>
      <c r="F806">
        <f t="shared" si="64"/>
        <v>1.5476473227556157E-2</v>
      </c>
      <c r="G806">
        <f t="shared" si="62"/>
        <v>-0.56559740768018607</v>
      </c>
      <c r="H806">
        <f t="shared" si="63"/>
        <v>3.0895455174625286</v>
      </c>
    </row>
    <row r="807" spans="1:8" x14ac:dyDescent="0.25">
      <c r="A807" s="13">
        <v>41438</v>
      </c>
      <c r="B807">
        <v>436.8632672</v>
      </c>
      <c r="C807" s="12">
        <v>5.7569742357725939E-3</v>
      </c>
      <c r="D807" s="12">
        <f t="shared" si="60"/>
        <v>-1.646571196076007E-4</v>
      </c>
      <c r="E807" s="11">
        <f t="shared" si="61"/>
        <v>5.921631355380195E-3</v>
      </c>
      <c r="F807">
        <f t="shared" si="64"/>
        <v>1.4919997917080773E-2</v>
      </c>
      <c r="G807">
        <f t="shared" si="62"/>
        <v>0.39689223740446833</v>
      </c>
      <c r="H807">
        <f t="shared" si="63"/>
        <v>3.2073525665517435</v>
      </c>
    </row>
    <row r="808" spans="1:8" x14ac:dyDescent="0.25">
      <c r="A808" s="13">
        <v>41439</v>
      </c>
      <c r="B808">
        <v>435.88694720000001</v>
      </c>
      <c r="C808" s="12">
        <v>-2.2348411352081099E-3</v>
      </c>
      <c r="D808" s="12">
        <f t="shared" si="60"/>
        <v>6.4200462020889824E-5</v>
      </c>
      <c r="E808" s="11">
        <f t="shared" si="61"/>
        <v>-2.2990415972289997E-3</v>
      </c>
      <c r="F808">
        <f t="shared" si="64"/>
        <v>1.4526846312209681E-2</v>
      </c>
      <c r="G808">
        <f t="shared" si="62"/>
        <v>-0.15826157638197605</v>
      </c>
      <c r="H808">
        <f t="shared" si="63"/>
        <v>3.3002949751214992</v>
      </c>
    </row>
    <row r="809" spans="1:8" x14ac:dyDescent="0.25">
      <c r="A809" s="13">
        <v>41442</v>
      </c>
      <c r="B809">
        <v>441.47103270000002</v>
      </c>
      <c r="C809" s="12">
        <v>1.2810857347003379E-2</v>
      </c>
      <c r="D809" s="12">
        <f t="shared" si="60"/>
        <v>-1.9005987445404278E-5</v>
      </c>
      <c r="E809" s="11">
        <f t="shared" si="61"/>
        <v>1.2829863334448783E-2</v>
      </c>
      <c r="F809">
        <f t="shared" si="64"/>
        <v>1.4205553502560166E-2</v>
      </c>
      <c r="G809">
        <f t="shared" si="62"/>
        <v>0.90315828469031834</v>
      </c>
      <c r="H809">
        <f t="shared" si="63"/>
        <v>2.927336322294718</v>
      </c>
    </row>
    <row r="810" spans="1:8" x14ac:dyDescent="0.25">
      <c r="A810" s="13">
        <v>41443</v>
      </c>
      <c r="B810">
        <v>448.62918719999999</v>
      </c>
      <c r="C810" s="12">
        <v>1.6214324315281248E-2</v>
      </c>
      <c r="D810" s="12">
        <f t="shared" si="60"/>
        <v>1.8801657179092632E-4</v>
      </c>
      <c r="E810" s="11">
        <f t="shared" si="61"/>
        <v>1.6026307743490321E-2</v>
      </c>
      <c r="F810">
        <f t="shared" si="64"/>
        <v>1.5791212462338826E-2</v>
      </c>
      <c r="G810">
        <f t="shared" si="62"/>
        <v>1.0148877283306892</v>
      </c>
      <c r="H810">
        <f t="shared" si="63"/>
        <v>2.714364583177848</v>
      </c>
    </row>
    <row r="811" spans="1:8" x14ac:dyDescent="0.25">
      <c r="A811" s="13">
        <v>41444</v>
      </c>
      <c r="B811">
        <v>448.6590946</v>
      </c>
      <c r="C811" s="12">
        <v>6.6663964033875089E-5</v>
      </c>
      <c r="D811" s="12">
        <f t="shared" si="60"/>
        <v>2.7815991291756429E-4</v>
      </c>
      <c r="E811" s="11">
        <f t="shared" si="61"/>
        <v>-2.114959488836892E-4</v>
      </c>
      <c r="F811">
        <f t="shared" si="64"/>
        <v>1.6342229348785115E-2</v>
      </c>
      <c r="G811">
        <f t="shared" si="62"/>
        <v>-1.2941682824896338E-2</v>
      </c>
      <c r="H811">
        <f t="shared" si="63"/>
        <v>3.1949804870206844</v>
      </c>
    </row>
    <row r="812" spans="1:8" x14ac:dyDescent="0.25">
      <c r="A812" s="13">
        <v>41445</v>
      </c>
      <c r="B812">
        <v>440.71883409999998</v>
      </c>
      <c r="C812" s="12">
        <v>-1.7697758934495988E-2</v>
      </c>
      <c r="D812" s="12">
        <f t="shared" si="60"/>
        <v>4.2678616063014371E-5</v>
      </c>
      <c r="E812" s="11">
        <f t="shared" si="61"/>
        <v>-1.7740437550559002E-2</v>
      </c>
      <c r="F812">
        <f t="shared" si="64"/>
        <v>1.4340892493634868E-2</v>
      </c>
      <c r="G812">
        <f t="shared" si="62"/>
        <v>-1.2370525445632483</v>
      </c>
      <c r="H812">
        <f t="shared" si="63"/>
        <v>2.5605521754876417</v>
      </c>
    </row>
    <row r="813" spans="1:8" x14ac:dyDescent="0.25">
      <c r="A813" s="13">
        <v>41446</v>
      </c>
      <c r="B813">
        <v>438.82094289999998</v>
      </c>
      <c r="C813" s="12">
        <v>-4.3063537411005548E-3</v>
      </c>
      <c r="D813" s="12">
        <f t="shared" si="60"/>
        <v>-2.675015209251277E-4</v>
      </c>
      <c r="E813" s="11">
        <f t="shared" si="61"/>
        <v>-4.0388522201754273E-3</v>
      </c>
      <c r="F813">
        <f t="shared" si="64"/>
        <v>1.7132600132525273E-2</v>
      </c>
      <c r="G813">
        <f t="shared" si="62"/>
        <v>-0.23574076257741489</v>
      </c>
      <c r="H813">
        <f t="shared" si="63"/>
        <v>3.1200468031513275</v>
      </c>
    </row>
    <row r="814" spans="1:8" x14ac:dyDescent="0.25">
      <c r="A814" s="13">
        <v>41449</v>
      </c>
      <c r="B814">
        <v>433.27173920000001</v>
      </c>
      <c r="C814" s="12">
        <v>-1.2645712994752256E-2</v>
      </c>
      <c r="D814" s="12">
        <f t="shared" si="60"/>
        <v>-1.1061492856784585E-4</v>
      </c>
      <c r="E814" s="11">
        <f t="shared" si="61"/>
        <v>-1.253509806618441E-2</v>
      </c>
      <c r="F814">
        <f t="shared" si="64"/>
        <v>1.4546492237098979E-2</v>
      </c>
      <c r="G814">
        <f t="shared" si="62"/>
        <v>-0.8617265153598499</v>
      </c>
      <c r="H814">
        <f t="shared" si="63"/>
        <v>2.9401805709490079</v>
      </c>
    </row>
    <row r="815" spans="1:8" x14ac:dyDescent="0.25">
      <c r="A815" s="13">
        <v>41450</v>
      </c>
      <c r="B815">
        <v>431.48343620000003</v>
      </c>
      <c r="C815" s="12">
        <v>-4.1274397524794226E-3</v>
      </c>
      <c r="D815" s="12">
        <f t="shared" si="60"/>
        <v>-2.0232949915147895E-4</v>
      </c>
      <c r="E815" s="11">
        <f t="shared" si="61"/>
        <v>-3.9251102533279436E-3</v>
      </c>
      <c r="F815">
        <f t="shared" si="64"/>
        <v>1.5678770640734564E-2</v>
      </c>
      <c r="G815">
        <f t="shared" si="62"/>
        <v>-0.25034553685798727</v>
      </c>
      <c r="H815">
        <f t="shared" si="63"/>
        <v>3.2051726930308999</v>
      </c>
    </row>
    <row r="816" spans="1:8" x14ac:dyDescent="0.25">
      <c r="A816" s="13">
        <v>41451</v>
      </c>
      <c r="B816">
        <v>435.19453299999998</v>
      </c>
      <c r="C816" s="12">
        <v>8.6007862380139688E-3</v>
      </c>
      <c r="D816" s="12">
        <f t="shared" si="60"/>
        <v>-9.4925300518768822E-5</v>
      </c>
      <c r="E816" s="11">
        <f t="shared" si="61"/>
        <v>8.6957115385327376E-3</v>
      </c>
      <c r="F816">
        <f t="shared" si="64"/>
        <v>1.4403089728617629E-2</v>
      </c>
      <c r="G816">
        <f t="shared" si="62"/>
        <v>0.6037393158257669</v>
      </c>
      <c r="H816">
        <f t="shared" si="63"/>
        <v>3.1391234169869588</v>
      </c>
    </row>
    <row r="817" spans="1:8" x14ac:dyDescent="0.25">
      <c r="A817" s="13">
        <v>41452</v>
      </c>
      <c r="B817">
        <v>436.89814899999999</v>
      </c>
      <c r="C817" s="12">
        <v>3.9146079989933469E-3</v>
      </c>
      <c r="D817" s="12">
        <f t="shared" si="60"/>
        <v>1.1947669234313614E-4</v>
      </c>
      <c r="E817" s="11">
        <f t="shared" si="61"/>
        <v>3.7951313066502106E-3</v>
      </c>
      <c r="F817">
        <f t="shared" si="64"/>
        <v>1.4908247590285979E-2</v>
      </c>
      <c r="G817">
        <f t="shared" si="62"/>
        <v>0.25456588936201119</v>
      </c>
      <c r="H817">
        <f t="shared" si="63"/>
        <v>3.2545002604042925</v>
      </c>
    </row>
    <row r="818" spans="1:8" x14ac:dyDescent="0.25">
      <c r="A818" s="13">
        <v>41453</v>
      </c>
      <c r="B818">
        <v>438.54198100000002</v>
      </c>
      <c r="C818" s="12">
        <v>3.7625062128612274E-3</v>
      </c>
      <c r="D818" s="12">
        <f t="shared" si="60"/>
        <v>8.1310944531809149E-5</v>
      </c>
      <c r="E818" s="11">
        <f t="shared" si="61"/>
        <v>3.6811952683294181E-3</v>
      </c>
      <c r="F818">
        <f t="shared" si="64"/>
        <v>1.4328766499443271E-2</v>
      </c>
      <c r="G818">
        <f t="shared" si="62"/>
        <v>0.25690943239757918</v>
      </c>
      <c r="H818">
        <f t="shared" si="63"/>
        <v>3.2935463576114627</v>
      </c>
    </row>
    <row r="819" spans="1:8" x14ac:dyDescent="0.25">
      <c r="A819" s="13">
        <v>41456</v>
      </c>
      <c r="B819">
        <v>442.28298480000001</v>
      </c>
      <c r="C819" s="12">
        <v>8.5305488689348952E-3</v>
      </c>
      <c r="D819" s="12">
        <f t="shared" si="60"/>
        <v>6.6967111747573188E-5</v>
      </c>
      <c r="E819" s="11">
        <f t="shared" si="61"/>
        <v>8.4635817571873228E-3</v>
      </c>
      <c r="F819">
        <f t="shared" si="64"/>
        <v>1.4274383628526191E-2</v>
      </c>
      <c r="G819">
        <f t="shared" si="62"/>
        <v>0.59292099592122105</v>
      </c>
      <c r="H819">
        <f t="shared" si="63"/>
        <v>3.154572515852454</v>
      </c>
    </row>
    <row r="820" spans="1:8" x14ac:dyDescent="0.25">
      <c r="A820" s="13">
        <v>41457</v>
      </c>
      <c r="B820">
        <v>439.50838320000003</v>
      </c>
      <c r="C820" s="12">
        <v>-6.2733627459230501E-3</v>
      </c>
      <c r="D820" s="12">
        <f t="shared" si="60"/>
        <v>1.3869130829666384E-4</v>
      </c>
      <c r="E820" s="11">
        <f t="shared" si="61"/>
        <v>-6.4120540542197142E-3</v>
      </c>
      <c r="F820">
        <f t="shared" si="64"/>
        <v>1.4869688013536447E-2</v>
      </c>
      <c r="G820">
        <f t="shared" si="62"/>
        <v>-0.43121644841388573</v>
      </c>
      <c r="H820">
        <f t="shared" si="63"/>
        <v>3.196518153766478</v>
      </c>
    </row>
    <row r="821" spans="1:8" x14ac:dyDescent="0.25">
      <c r="A821" s="13">
        <v>41458</v>
      </c>
      <c r="B821">
        <v>441.56069359999998</v>
      </c>
      <c r="C821" s="12">
        <v>4.6695591675802728E-3</v>
      </c>
      <c r="D821" s="12">
        <f t="shared" si="60"/>
        <v>-7.2959306033721873E-5</v>
      </c>
      <c r="E821" s="11">
        <f t="shared" si="61"/>
        <v>4.7425184736139946E-3</v>
      </c>
      <c r="F821">
        <f t="shared" si="64"/>
        <v>1.4581736705000689E-2</v>
      </c>
      <c r="G821">
        <f t="shared" si="62"/>
        <v>0.3252368746987172</v>
      </c>
      <c r="H821">
        <f t="shared" si="63"/>
        <v>3.2561573983894339</v>
      </c>
    </row>
    <row r="822" spans="1:8" x14ac:dyDescent="0.25">
      <c r="A822" s="13">
        <v>41460</v>
      </c>
      <c r="B822">
        <v>445.07751469999999</v>
      </c>
      <c r="C822" s="12">
        <v>7.9645248115898237E-3</v>
      </c>
      <c r="D822" s="12">
        <f t="shared" si="60"/>
        <v>5.4503201916266513E-5</v>
      </c>
      <c r="E822" s="11">
        <f t="shared" si="61"/>
        <v>7.9100216096735579E-3</v>
      </c>
      <c r="F822">
        <f t="shared" si="64"/>
        <v>1.4383976659937462E-2</v>
      </c>
      <c r="G822">
        <f t="shared" si="62"/>
        <v>0.54991896863297252</v>
      </c>
      <c r="H822">
        <f t="shared" si="63"/>
        <v>3.1714964546589508</v>
      </c>
    </row>
    <row r="823" spans="1:8" x14ac:dyDescent="0.25">
      <c r="A823" s="13">
        <v>41463</v>
      </c>
      <c r="B823">
        <v>450.85584510000001</v>
      </c>
      <c r="C823" s="12">
        <v>1.2982750665117004E-2</v>
      </c>
      <c r="D823" s="12">
        <f t="shared" si="60"/>
        <v>1.3246147850449355E-4</v>
      </c>
      <c r="E823" s="11">
        <f t="shared" si="61"/>
        <v>1.2850289186612511E-2</v>
      </c>
      <c r="F823">
        <f t="shared" si="64"/>
        <v>1.4778293133236555E-2</v>
      </c>
      <c r="G823">
        <f t="shared" si="62"/>
        <v>0.86953811720732888</v>
      </c>
      <c r="H823">
        <f t="shared" si="63"/>
        <v>2.9176090531841079</v>
      </c>
    </row>
    <row r="824" spans="1:8" x14ac:dyDescent="0.25">
      <c r="A824" s="13">
        <v>41464</v>
      </c>
      <c r="B824">
        <v>450.93058300000001</v>
      </c>
      <c r="C824" s="12">
        <v>1.6576894990327773E-4</v>
      </c>
      <c r="D824" s="12">
        <f t="shared" si="60"/>
        <v>2.168284782711043E-4</v>
      </c>
      <c r="E824" s="11">
        <f t="shared" si="61"/>
        <v>-5.1059528367826569E-5</v>
      </c>
      <c r="F824">
        <f t="shared" si="64"/>
        <v>1.5725971830311977E-2</v>
      </c>
      <c r="G824">
        <f t="shared" si="62"/>
        <v>-3.2468281718150346E-3</v>
      </c>
      <c r="H824">
        <f t="shared" si="63"/>
        <v>3.2334978725443482</v>
      </c>
    </row>
    <row r="825" spans="1:8" x14ac:dyDescent="0.25">
      <c r="A825" s="13">
        <v>41465</v>
      </c>
      <c r="B825">
        <v>451.3041796</v>
      </c>
      <c r="C825" s="12">
        <v>8.2850135715895057E-4</v>
      </c>
      <c r="D825" s="12">
        <f t="shared" si="60"/>
        <v>3.5872495758982441E-5</v>
      </c>
      <c r="E825" s="11">
        <f t="shared" si="61"/>
        <v>7.9262886139996815E-4</v>
      </c>
      <c r="F825">
        <f t="shared" si="64"/>
        <v>1.427415376406223E-2</v>
      </c>
      <c r="G825">
        <f t="shared" si="62"/>
        <v>5.5528956357157579E-2</v>
      </c>
      <c r="H825">
        <f t="shared" si="63"/>
        <v>3.3288245404718957</v>
      </c>
    </row>
    <row r="826" spans="1:8" x14ac:dyDescent="0.25">
      <c r="A826" s="13">
        <v>41466</v>
      </c>
      <c r="B826">
        <v>458.40258060000002</v>
      </c>
      <c r="C826" s="12">
        <v>1.5728640063319421E-2</v>
      </c>
      <c r="D826" s="12">
        <f t="shared" si="60"/>
        <v>1.2956834863908817E-5</v>
      </c>
      <c r="E826" s="11">
        <f t="shared" si="61"/>
        <v>1.5715683228455513E-2</v>
      </c>
      <c r="F826">
        <f t="shared" si="64"/>
        <v>1.4133366731317374E-2</v>
      </c>
      <c r="G826">
        <f t="shared" si="62"/>
        <v>1.1119560913700743</v>
      </c>
      <c r="H826">
        <f t="shared" si="63"/>
        <v>2.722055134578039</v>
      </c>
    </row>
    <row r="827" spans="1:8" x14ac:dyDescent="0.25">
      <c r="A827" s="13">
        <v>41467</v>
      </c>
      <c r="B827">
        <v>459.77743029999999</v>
      </c>
      <c r="C827" s="12">
        <v>2.9992189358978294E-3</v>
      </c>
      <c r="D827" s="12">
        <f t="shared" si="60"/>
        <v>2.4001978773781777E-4</v>
      </c>
      <c r="E827" s="11">
        <f t="shared" si="61"/>
        <v>2.7591991481600115E-3</v>
      </c>
      <c r="F827">
        <f t="shared" si="64"/>
        <v>1.6581617878506625E-2</v>
      </c>
      <c r="G827">
        <f t="shared" si="62"/>
        <v>0.16640108150945465</v>
      </c>
      <c r="H827">
        <f t="shared" si="63"/>
        <v>3.1666773607401297</v>
      </c>
    </row>
    <row r="828" spans="1:8" x14ac:dyDescent="0.25">
      <c r="A828" s="13">
        <v>41470</v>
      </c>
      <c r="B828">
        <v>460.61928979999999</v>
      </c>
      <c r="C828" s="12">
        <v>1.8310152793943324E-3</v>
      </c>
      <c r="D828" s="12">
        <f t="shared" si="60"/>
        <v>8.5784361314467892E-5</v>
      </c>
      <c r="E828" s="11">
        <f t="shared" si="61"/>
        <v>1.7452309180798645E-3</v>
      </c>
      <c r="F828">
        <f t="shared" si="64"/>
        <v>1.4425865139980303E-2</v>
      </c>
      <c r="G828">
        <f t="shared" si="62"/>
        <v>0.12097928970950074</v>
      </c>
      <c r="H828">
        <f t="shared" si="63"/>
        <v>3.3124759658704619</v>
      </c>
    </row>
    <row r="829" spans="1:8" x14ac:dyDescent="0.25">
      <c r="A829" s="13">
        <v>41471</v>
      </c>
      <c r="B829">
        <v>458.08876780000003</v>
      </c>
      <c r="C829" s="12">
        <v>-5.4937386601823235E-3</v>
      </c>
      <c r="D829" s="12">
        <f t="shared" si="60"/>
        <v>3.540141638727604E-5</v>
      </c>
      <c r="E829" s="11">
        <f t="shared" si="61"/>
        <v>-5.5291400765695997E-3</v>
      </c>
      <c r="F829">
        <f t="shared" si="64"/>
        <v>1.4173166738827535E-2</v>
      </c>
      <c r="G829">
        <f t="shared" si="62"/>
        <v>-0.39011324557570215</v>
      </c>
      <c r="H829">
        <f t="shared" si="63"/>
        <v>3.2613720629349441</v>
      </c>
    </row>
    <row r="830" spans="1:8" x14ac:dyDescent="0.25">
      <c r="A830" s="13">
        <v>41472</v>
      </c>
      <c r="B830">
        <v>457.56075149999998</v>
      </c>
      <c r="C830" s="12">
        <v>-1.1526506151545712E-3</v>
      </c>
      <c r="D830" s="12">
        <f t="shared" si="60"/>
        <v>-7.8385353285590333E-5</v>
      </c>
      <c r="E830" s="11">
        <f t="shared" si="61"/>
        <v>-1.074265261868981E-3</v>
      </c>
      <c r="F830">
        <f t="shared" si="64"/>
        <v>1.4443449524824072E-2</v>
      </c>
      <c r="G830">
        <f t="shared" si="62"/>
        <v>-7.4377333477202434E-2</v>
      </c>
      <c r="H830">
        <f t="shared" si="63"/>
        <v>3.3158097602134236</v>
      </c>
    </row>
    <row r="831" spans="1:8" x14ac:dyDescent="0.25">
      <c r="A831" s="13">
        <v>41473</v>
      </c>
      <c r="B831">
        <v>453.6404263</v>
      </c>
      <c r="C831" s="12">
        <v>-8.5678791005306953E-3</v>
      </c>
      <c r="D831" s="12">
        <f t="shared" si="60"/>
        <v>-3.1552215228542276E-5</v>
      </c>
      <c r="E831" s="11">
        <f t="shared" si="61"/>
        <v>-8.5363268853021531E-3</v>
      </c>
      <c r="F831">
        <f t="shared" si="64"/>
        <v>1.4155195399435208E-2</v>
      </c>
      <c r="G831">
        <f t="shared" si="62"/>
        <v>-0.6030525644063347</v>
      </c>
      <c r="H831">
        <f t="shared" si="63"/>
        <v>3.1568988253208201</v>
      </c>
    </row>
    <row r="832" spans="1:8" x14ac:dyDescent="0.25">
      <c r="A832" s="13">
        <v>41474</v>
      </c>
      <c r="B832">
        <v>446.62671189999998</v>
      </c>
      <c r="C832" s="12">
        <v>-1.5460955402951115E-2</v>
      </c>
      <c r="D832" s="12">
        <f t="shared" si="60"/>
        <v>-1.3254866237708373E-4</v>
      </c>
      <c r="E832" s="11">
        <f t="shared" si="61"/>
        <v>-1.5328406740574032E-2</v>
      </c>
      <c r="F832">
        <f t="shared" si="64"/>
        <v>1.4883695116670329E-2</v>
      </c>
      <c r="G832">
        <f t="shared" si="62"/>
        <v>-1.0298791140518331</v>
      </c>
      <c r="H832">
        <f t="shared" si="63"/>
        <v>2.7582249246874317</v>
      </c>
    </row>
    <row r="833" spans="1:8" x14ac:dyDescent="0.25">
      <c r="A833" s="13">
        <v>41477</v>
      </c>
      <c r="B833">
        <v>453.650375</v>
      </c>
      <c r="C833" s="12">
        <v>1.5726025588842507E-2</v>
      </c>
      <c r="D833" s="12">
        <f t="shared" si="60"/>
        <v>-2.5586112167322219E-4</v>
      </c>
      <c r="E833" s="11">
        <f t="shared" si="61"/>
        <v>1.598188671051573E-2</v>
      </c>
      <c r="F833">
        <f t="shared" si="64"/>
        <v>1.6317793864931322E-2</v>
      </c>
      <c r="G833">
        <f t="shared" si="62"/>
        <v>0.97941467105198021</v>
      </c>
      <c r="H833">
        <f t="shared" si="63"/>
        <v>2.7169340362880878</v>
      </c>
    </row>
    <row r="834" spans="1:8" x14ac:dyDescent="0.25">
      <c r="A834" s="13">
        <v>41478</v>
      </c>
      <c r="B834">
        <v>450.21326570000002</v>
      </c>
      <c r="C834" s="12">
        <v>-7.5765600326020976E-3</v>
      </c>
      <c r="D834" s="12">
        <f t="shared" si="60"/>
        <v>1.9811681115018632E-4</v>
      </c>
      <c r="E834" s="11">
        <f t="shared" si="61"/>
        <v>-7.7746768437522836E-3</v>
      </c>
      <c r="F834">
        <f t="shared" si="64"/>
        <v>1.6259115293972795E-2</v>
      </c>
      <c r="G834">
        <f t="shared" si="62"/>
        <v>-0.47817342476403579</v>
      </c>
      <c r="H834">
        <f t="shared" si="63"/>
        <v>3.085838141027565</v>
      </c>
    </row>
    <row r="835" spans="1:8" x14ac:dyDescent="0.25">
      <c r="A835" s="13">
        <v>41479</v>
      </c>
      <c r="B835">
        <v>449.76493110000001</v>
      </c>
      <c r="C835" s="12">
        <v>-9.9582716493906709E-4</v>
      </c>
      <c r="D835" s="12">
        <f t="shared" si="60"/>
        <v>-7.4177573561229278E-5</v>
      </c>
      <c r="E835" s="11">
        <f t="shared" si="61"/>
        <v>-9.2164959137783784E-4</v>
      </c>
      <c r="F835">
        <f t="shared" si="64"/>
        <v>1.4812239838397566E-2</v>
      </c>
      <c r="G835">
        <f t="shared" si="62"/>
        <v>-6.2222162308542849E-2</v>
      </c>
      <c r="H835">
        <f t="shared" si="63"/>
        <v>3.2914270919476669</v>
      </c>
    </row>
    <row r="836" spans="1:8" x14ac:dyDescent="0.25">
      <c r="A836" s="13">
        <v>41480</v>
      </c>
      <c r="B836">
        <v>442.19332439999999</v>
      </c>
      <c r="C836" s="12">
        <v>-1.6834586639474014E-2</v>
      </c>
      <c r="D836" s="12">
        <f t="shared" si="60"/>
        <v>-3.4533102356441644E-5</v>
      </c>
      <c r="E836" s="11">
        <f t="shared" si="61"/>
        <v>-1.6800053537117571E-2</v>
      </c>
      <c r="F836">
        <f t="shared" si="64"/>
        <v>1.4188205414008843E-2</v>
      </c>
      <c r="G836">
        <f t="shared" si="62"/>
        <v>-1.1840858689943901</v>
      </c>
      <c r="H836">
        <f t="shared" si="63"/>
        <v>2.6353760583845856</v>
      </c>
    </row>
    <row r="837" spans="1:8" x14ac:dyDescent="0.25">
      <c r="A837" s="13">
        <v>41481</v>
      </c>
      <c r="B837">
        <v>441.02269819999998</v>
      </c>
      <c r="C837" s="12">
        <v>-2.6473176671955034E-3</v>
      </c>
      <c r="D837" s="12">
        <f t="shared" si="60"/>
        <v>-2.5717689234370405E-4</v>
      </c>
      <c r="E837" s="11">
        <f t="shared" si="61"/>
        <v>-2.3901407748517993E-3</v>
      </c>
      <c r="F837">
        <f t="shared" si="64"/>
        <v>1.6889299039074848E-2</v>
      </c>
      <c r="G837">
        <f t="shared" si="62"/>
        <v>-0.14151805645231355</v>
      </c>
      <c r="H837">
        <f t="shared" si="63"/>
        <v>3.1521228372028887</v>
      </c>
    </row>
    <row r="838" spans="1:8" x14ac:dyDescent="0.25">
      <c r="A838" s="13">
        <v>41484</v>
      </c>
      <c r="B838">
        <v>439.48845490000002</v>
      </c>
      <c r="C838" s="12">
        <v>-3.4788306957030946E-3</v>
      </c>
      <c r="D838" s="12">
        <f t="shared" ref="D838:D901" si="65">+C837*$K$11+C836*$K$10</f>
        <v>-8.3304219893242572E-5</v>
      </c>
      <c r="E838" s="11">
        <f t="shared" ref="E838:E901" si="66">C838-D838</f>
        <v>-3.3955264758098519E-3</v>
      </c>
      <c r="F838">
        <f t="shared" si="64"/>
        <v>1.4443899091231291E-2</v>
      </c>
      <c r="G838">
        <f t="shared" ref="G838:G901" si="67">E838/F838</f>
        <v>-0.23508378550437486</v>
      </c>
      <c r="H838">
        <f t="shared" ref="H838:H901" si="68">1/2*(-LN(PI()*2)-2*LN(F838)-(E838/F838)^2)</f>
        <v>3.2909124354897639</v>
      </c>
    </row>
    <row r="839" spans="1:8" x14ac:dyDescent="0.25">
      <c r="A839" s="13">
        <v>41485</v>
      </c>
      <c r="B839">
        <v>443.79730030000002</v>
      </c>
      <c r="C839" s="12">
        <v>9.8042288755466611E-3</v>
      </c>
      <c r="D839" s="12">
        <f t="shared" si="65"/>
        <v>-5.9419712293455556E-5</v>
      </c>
      <c r="E839" s="11">
        <f t="shared" si="66"/>
        <v>9.863648587840116E-3</v>
      </c>
      <c r="F839">
        <f t="shared" ref="F839:F902" si="69">SQRT($K$6+$K$7*G838^2+$K$8*F838^2)</f>
        <v>1.4262485398863593E-2</v>
      </c>
      <c r="G839">
        <f t="shared" si="67"/>
        <v>0.691579925377244</v>
      </c>
      <c r="H839">
        <f t="shared" si="68"/>
        <v>3.0920426577405284</v>
      </c>
    </row>
    <row r="840" spans="1:8" x14ac:dyDescent="0.25">
      <c r="A840" s="13">
        <v>41486</v>
      </c>
      <c r="B840">
        <v>442.21822650000001</v>
      </c>
      <c r="C840" s="12">
        <v>-3.5580969035471366E-3</v>
      </c>
      <c r="D840" s="12">
        <f t="shared" si="65"/>
        <v>1.3934527720686087E-4</v>
      </c>
      <c r="E840" s="11">
        <f t="shared" si="66"/>
        <v>-3.6974421807539973E-3</v>
      </c>
      <c r="F840">
        <f t="shared" si="69"/>
        <v>1.5127493087915127E-2</v>
      </c>
      <c r="G840">
        <f t="shared" si="67"/>
        <v>-0.24441869907101568</v>
      </c>
      <c r="H840">
        <f t="shared" si="68"/>
        <v>3.2424326729572686</v>
      </c>
    </row>
    <row r="841" spans="1:8" x14ac:dyDescent="0.25">
      <c r="A841" s="13">
        <v>41487</v>
      </c>
      <c r="B841">
        <v>450.4224949</v>
      </c>
      <c r="C841" s="12">
        <v>1.8552533361037238E-2</v>
      </c>
      <c r="D841" s="12">
        <f t="shared" si="65"/>
        <v>-2.8618472821734405E-5</v>
      </c>
      <c r="E841" s="11">
        <f t="shared" si="66"/>
        <v>1.8581151833858972E-2</v>
      </c>
      <c r="F841">
        <f t="shared" si="69"/>
        <v>1.4340028594223045E-2</v>
      </c>
      <c r="G841">
        <f t="shared" si="67"/>
        <v>1.2957541689522492</v>
      </c>
      <c r="H841">
        <f t="shared" si="68"/>
        <v>2.4862724834110681</v>
      </c>
    </row>
    <row r="842" spans="1:8" x14ac:dyDescent="0.25">
      <c r="A842" s="13">
        <v>41488</v>
      </c>
      <c r="B842">
        <v>451.59309020000001</v>
      </c>
      <c r="C842" s="12">
        <v>2.5988828561058774E-3</v>
      </c>
      <c r="D842" s="12">
        <f t="shared" si="65"/>
        <v>2.7145682416141473E-4</v>
      </c>
      <c r="E842" s="11">
        <f t="shared" si="66"/>
        <v>2.3274260319444628E-3</v>
      </c>
      <c r="F842">
        <f t="shared" si="69"/>
        <v>1.7396406387805426E-2</v>
      </c>
      <c r="G842">
        <f t="shared" si="67"/>
        <v>0.13378774788659498</v>
      </c>
      <c r="H842">
        <f t="shared" si="68"/>
        <v>3.1236035095813079</v>
      </c>
    </row>
    <row r="843" spans="1:8" x14ac:dyDescent="0.25">
      <c r="A843" s="13">
        <v>41491</v>
      </c>
      <c r="B843">
        <v>450.81101460000002</v>
      </c>
      <c r="C843" s="12">
        <v>-1.7318148062310801E-3</v>
      </c>
      <c r="D843" s="12">
        <f t="shared" si="65"/>
        <v>8.6986732603561146E-5</v>
      </c>
      <c r="E843" s="11">
        <f t="shared" si="66"/>
        <v>-1.8188015388346413E-3</v>
      </c>
      <c r="F843">
        <f t="shared" si="69"/>
        <v>1.44971546053569E-2</v>
      </c>
      <c r="G843">
        <f t="shared" si="67"/>
        <v>-0.12545920826163839</v>
      </c>
      <c r="H843">
        <f t="shared" si="68"/>
        <v>3.3069943432518674</v>
      </c>
    </row>
    <row r="844" spans="1:8" x14ac:dyDescent="0.25">
      <c r="A844" s="13">
        <v>41492</v>
      </c>
      <c r="B844">
        <v>446.61175800000001</v>
      </c>
      <c r="C844" s="12">
        <v>-9.3148935230119578E-3</v>
      </c>
      <c r="D844" s="12">
        <f t="shared" si="65"/>
        <v>-1.9514081549490874E-5</v>
      </c>
      <c r="E844" s="11">
        <f t="shared" si="66"/>
        <v>-9.2953794414624667E-3</v>
      </c>
      <c r="F844">
        <f t="shared" si="69"/>
        <v>1.418254424391611E-2</v>
      </c>
      <c r="G844">
        <f t="shared" si="67"/>
        <v>-0.65540986734096796</v>
      </c>
      <c r="H844">
        <f t="shared" si="68"/>
        <v>3.1220237688464589</v>
      </c>
    </row>
    <row r="845" spans="1:8" x14ac:dyDescent="0.25">
      <c r="A845" s="13">
        <v>41493</v>
      </c>
      <c r="B845">
        <v>443.66280890000002</v>
      </c>
      <c r="C845" s="12">
        <v>-6.6029365487506597E-3</v>
      </c>
      <c r="D845" s="12">
        <f t="shared" si="65"/>
        <v>-1.4533544770114736E-4</v>
      </c>
      <c r="E845" s="11">
        <f t="shared" si="66"/>
        <v>-6.457601101049512E-3</v>
      </c>
      <c r="F845">
        <f t="shared" si="69"/>
        <v>1.5021209221953307E-2</v>
      </c>
      <c r="G845">
        <f t="shared" si="67"/>
        <v>-0.42989888534485027</v>
      </c>
      <c r="H845">
        <f t="shared" si="68"/>
        <v>3.1869470694180388</v>
      </c>
    </row>
    <row r="846" spans="1:8" x14ac:dyDescent="0.25">
      <c r="A846" s="13">
        <v>41494</v>
      </c>
      <c r="B846">
        <v>444.66406189999998</v>
      </c>
      <c r="C846" s="12">
        <v>2.2567882182471521E-3</v>
      </c>
      <c r="D846" s="12">
        <f t="shared" si="65"/>
        <v>-1.2380627422103307E-4</v>
      </c>
      <c r="E846" s="11">
        <f t="shared" si="66"/>
        <v>2.3805944924681854E-3</v>
      </c>
      <c r="F846">
        <f t="shared" si="69"/>
        <v>1.4594279143187028E-2</v>
      </c>
      <c r="G846">
        <f t="shared" si="67"/>
        <v>0.16311833349984306</v>
      </c>
      <c r="H846">
        <f t="shared" si="68"/>
        <v>3.2948833379981881</v>
      </c>
    </row>
    <row r="847" spans="1:8" x14ac:dyDescent="0.25">
      <c r="A847" s="13">
        <v>41495</v>
      </c>
      <c r="B847">
        <v>443.54324100000002</v>
      </c>
      <c r="C847" s="12">
        <v>-2.520601496803665E-3</v>
      </c>
      <c r="D847" s="12">
        <f t="shared" si="65"/>
        <v>1.7163831218220981E-5</v>
      </c>
      <c r="E847" s="11">
        <f t="shared" si="66"/>
        <v>-2.5377653280218861E-3</v>
      </c>
      <c r="F847">
        <f t="shared" si="69"/>
        <v>1.4215562300929409E-2</v>
      </c>
      <c r="G847">
        <f t="shared" si="67"/>
        <v>-0.17852022131097606</v>
      </c>
      <c r="H847">
        <f t="shared" si="68"/>
        <v>3.318544709876821</v>
      </c>
    </row>
    <row r="848" spans="1:8" x14ac:dyDescent="0.25">
      <c r="A848" s="13">
        <v>41498</v>
      </c>
      <c r="B848">
        <v>441.1024104</v>
      </c>
      <c r="C848" s="12">
        <v>-5.5030273812695096E-3</v>
      </c>
      <c r="D848" s="12">
        <f t="shared" si="65"/>
        <v>-3.2323396930241234E-5</v>
      </c>
      <c r="E848" s="11">
        <f t="shared" si="66"/>
        <v>-5.4707039843392685E-3</v>
      </c>
      <c r="F848">
        <f t="shared" si="69"/>
        <v>1.4189982843943736E-2</v>
      </c>
      <c r="G848">
        <f t="shared" si="67"/>
        <v>-0.38553281173797593</v>
      </c>
      <c r="H848">
        <f t="shared" si="68"/>
        <v>3.2619626891673512</v>
      </c>
    </row>
    <row r="849" spans="1:8" x14ac:dyDescent="0.25">
      <c r="A849" s="13">
        <v>41499</v>
      </c>
      <c r="B849">
        <v>438.9803364</v>
      </c>
      <c r="C849" s="12">
        <v>-4.8108419948911241E-3</v>
      </c>
      <c r="D849" s="12">
        <f t="shared" si="65"/>
        <v>-8.9709371630615351E-5</v>
      </c>
      <c r="E849" s="11">
        <f t="shared" si="66"/>
        <v>-4.7211326232605086E-3</v>
      </c>
      <c r="F849">
        <f t="shared" si="69"/>
        <v>1.4437498805122358E-2</v>
      </c>
      <c r="G849">
        <f t="shared" si="67"/>
        <v>-0.32700488408597983</v>
      </c>
      <c r="H849">
        <f t="shared" si="68"/>
        <v>3.2655217431495003</v>
      </c>
    </row>
    <row r="850" spans="1:8" x14ac:dyDescent="0.25">
      <c r="A850" s="13">
        <v>41500</v>
      </c>
      <c r="B850">
        <v>433.28168790000001</v>
      </c>
      <c r="C850" s="12">
        <v>-1.298155754932806E-2</v>
      </c>
      <c r="D850" s="12">
        <f t="shared" si="65"/>
        <v>-8.6905041289790498E-5</v>
      </c>
      <c r="E850" s="11">
        <f t="shared" si="66"/>
        <v>-1.2894652508038269E-2</v>
      </c>
      <c r="F850">
        <f t="shared" si="69"/>
        <v>1.4372439117472895E-2</v>
      </c>
      <c r="G850">
        <f t="shared" si="67"/>
        <v>-0.89717913588946441</v>
      </c>
      <c r="H850">
        <f t="shared" si="68"/>
        <v>2.9210391223763805</v>
      </c>
    </row>
    <row r="851" spans="1:8" x14ac:dyDescent="0.25">
      <c r="A851" s="13">
        <v>41501</v>
      </c>
      <c r="B851">
        <v>428.2256486</v>
      </c>
      <c r="C851" s="12">
        <v>-1.1669173752773321E-2</v>
      </c>
      <c r="D851" s="12">
        <f t="shared" si="65"/>
        <v>-2.0870555900737609E-4</v>
      </c>
      <c r="E851" s="11">
        <f t="shared" si="66"/>
        <v>-1.1460468193765944E-2</v>
      </c>
      <c r="F851">
        <f t="shared" si="69"/>
        <v>1.5784843443769059E-2</v>
      </c>
      <c r="G851">
        <f t="shared" si="67"/>
        <v>-0.72604256320894156</v>
      </c>
      <c r="H851">
        <f t="shared" si="68"/>
        <v>2.9661976400592591</v>
      </c>
    </row>
    <row r="852" spans="1:8" x14ac:dyDescent="0.25">
      <c r="A852" s="13">
        <v>41502</v>
      </c>
      <c r="B852">
        <v>426.85577330000001</v>
      </c>
      <c r="C852" s="12">
        <v>-3.1989566820168625E-3</v>
      </c>
      <c r="D852" s="12">
        <f t="shared" si="65"/>
        <v>-2.0985468415161154E-4</v>
      </c>
      <c r="E852" s="11">
        <f t="shared" si="66"/>
        <v>-2.989101997865251E-3</v>
      </c>
      <c r="F852">
        <f t="shared" si="69"/>
        <v>1.5369875329229267E-2</v>
      </c>
      <c r="G852">
        <f t="shared" si="67"/>
        <v>-0.19447795989475614</v>
      </c>
      <c r="H852">
        <f t="shared" si="68"/>
        <v>3.2374964611232815</v>
      </c>
    </row>
    <row r="853" spans="1:8" x14ac:dyDescent="0.25">
      <c r="A853" s="13">
        <v>41505</v>
      </c>
      <c r="B853">
        <v>431.20944909999997</v>
      </c>
      <c r="C853" s="12">
        <v>1.0199407088586243E-2</v>
      </c>
      <c r="D853" s="12">
        <f t="shared" si="65"/>
        <v>-7.8372618533725623E-5</v>
      </c>
      <c r="E853" s="11">
        <f t="shared" si="66"/>
        <v>1.0277779707119969E-2</v>
      </c>
      <c r="F853">
        <f t="shared" si="69"/>
        <v>1.4317958311712019E-2</v>
      </c>
      <c r="G853">
        <f t="shared" si="67"/>
        <v>0.71782439111537266</v>
      </c>
      <c r="H853">
        <f t="shared" si="68"/>
        <v>3.0696662421675747</v>
      </c>
    </row>
    <row r="854" spans="1:8" x14ac:dyDescent="0.25">
      <c r="A854" s="13">
        <v>41506</v>
      </c>
      <c r="B854">
        <v>431.09488599999997</v>
      </c>
      <c r="C854" s="12">
        <v>-2.6567854725612072E-4</v>
      </c>
      <c r="D854" s="12">
        <f t="shared" si="65"/>
        <v>1.4604148722975488E-4</v>
      </c>
      <c r="E854" s="11">
        <f t="shared" si="66"/>
        <v>-4.117200344858756E-4</v>
      </c>
      <c r="F854">
        <f t="shared" si="69"/>
        <v>1.5207242893594378E-2</v>
      </c>
      <c r="G854">
        <f t="shared" si="67"/>
        <v>-2.7073943473297255E-2</v>
      </c>
      <c r="H854">
        <f t="shared" si="68"/>
        <v>3.2666784260531183</v>
      </c>
    </row>
    <row r="855" spans="1:8" x14ac:dyDescent="0.25">
      <c r="A855" s="13">
        <v>41507</v>
      </c>
      <c r="B855">
        <v>433.0425821</v>
      </c>
      <c r="C855" s="12">
        <v>4.5180218166633868E-3</v>
      </c>
      <c r="D855" s="12">
        <f t="shared" si="65"/>
        <v>2.2193880126794476E-5</v>
      </c>
      <c r="E855" s="11">
        <f t="shared" si="66"/>
        <v>4.4958279365365922E-3</v>
      </c>
      <c r="F855">
        <f t="shared" si="69"/>
        <v>1.4221566143106776E-2</v>
      </c>
      <c r="G855">
        <f t="shared" si="67"/>
        <v>0.31612748492652687</v>
      </c>
      <c r="H855">
        <f t="shared" si="68"/>
        <v>3.2840888974579325</v>
      </c>
    </row>
    <row r="856" spans="1:8" x14ac:dyDescent="0.25">
      <c r="A856" s="13">
        <v>41508</v>
      </c>
      <c r="B856">
        <v>435.2244096</v>
      </c>
      <c r="C856" s="12">
        <v>5.0383671033444877E-3</v>
      </c>
      <c r="D856" s="12">
        <f t="shared" si="65"/>
        <v>6.7650823708251568E-5</v>
      </c>
      <c r="E856" s="11">
        <f t="shared" si="66"/>
        <v>4.9707162796362361E-3</v>
      </c>
      <c r="F856">
        <f t="shared" si="69"/>
        <v>1.4336781200370843E-2</v>
      </c>
      <c r="G856">
        <f t="shared" si="67"/>
        <v>0.34671075816569347</v>
      </c>
      <c r="H856">
        <f t="shared" si="68"/>
        <v>3.2658842239022539</v>
      </c>
    </row>
    <row r="857" spans="1:8" x14ac:dyDescent="0.25">
      <c r="A857" s="13">
        <v>41509</v>
      </c>
      <c r="B857">
        <v>433.4809679</v>
      </c>
      <c r="C857" s="12">
        <v>-4.0058454019211709E-3</v>
      </c>
      <c r="D857" s="12">
        <f t="shared" si="65"/>
        <v>8.7814848664244602E-5</v>
      </c>
      <c r="E857" s="11">
        <f t="shared" si="66"/>
        <v>-4.0936602505854151E-3</v>
      </c>
      <c r="F857">
        <f t="shared" si="69"/>
        <v>1.4391036975334927E-2</v>
      </c>
      <c r="G857">
        <f t="shared" si="67"/>
        <v>-0.28445901831825027</v>
      </c>
      <c r="H857">
        <f t="shared" si="68"/>
        <v>3.2817526987040093</v>
      </c>
    </row>
    <row r="858" spans="1:8" x14ac:dyDescent="0.25">
      <c r="A858" s="13">
        <v>41512</v>
      </c>
      <c r="B858">
        <v>431.5780714</v>
      </c>
      <c r="C858" s="12">
        <v>-4.389804030425104E-3</v>
      </c>
      <c r="D858" s="12">
        <f t="shared" si="65"/>
        <v>-4.7638650310504442E-5</v>
      </c>
      <c r="E858" s="11">
        <f t="shared" si="66"/>
        <v>-4.3421653801145998E-3</v>
      </c>
      <c r="F858">
        <f t="shared" si="69"/>
        <v>1.4312371000913336E-2</v>
      </c>
      <c r="G858">
        <f t="shared" si="67"/>
        <v>-0.30338546840614367</v>
      </c>
      <c r="H858">
        <f t="shared" si="68"/>
        <v>3.2816711063202391</v>
      </c>
    </row>
    <row r="859" spans="1:8" x14ac:dyDescent="0.25">
      <c r="A859" s="13">
        <v>41513</v>
      </c>
      <c r="B859">
        <v>423.48839700000002</v>
      </c>
      <c r="C859" s="12">
        <v>-1.8744405557394983E-2</v>
      </c>
      <c r="D859" s="12">
        <f t="shared" si="65"/>
        <v>-7.6689264619098481E-5</v>
      </c>
      <c r="E859" s="11">
        <f t="shared" si="66"/>
        <v>-1.8667716292775884E-2</v>
      </c>
      <c r="F859">
        <f t="shared" si="69"/>
        <v>1.4328596236921069E-2</v>
      </c>
      <c r="G859">
        <f t="shared" si="67"/>
        <v>-1.3028293898514658</v>
      </c>
      <c r="H859">
        <f t="shared" si="68"/>
        <v>2.4778772589457114</v>
      </c>
    </row>
    <row r="860" spans="1:8" x14ac:dyDescent="0.25">
      <c r="A860" s="13">
        <v>41514</v>
      </c>
      <c r="B860">
        <v>422.69136800000001</v>
      </c>
      <c r="C860" s="12">
        <v>-1.8820562868928636E-3</v>
      </c>
      <c r="D860" s="12">
        <f t="shared" si="65"/>
        <v>-2.947847046028893E-4</v>
      </c>
      <c r="E860" s="11">
        <f t="shared" si="66"/>
        <v>-1.5872715822899744E-3</v>
      </c>
      <c r="F860">
        <f t="shared" si="69"/>
        <v>1.7427855285252175E-2</v>
      </c>
      <c r="G860">
        <f t="shared" si="67"/>
        <v>-9.1076701998619281E-2</v>
      </c>
      <c r="H860">
        <f t="shared" si="68"/>
        <v>3.1265994583107228</v>
      </c>
    </row>
    <row r="861" spans="1:8" x14ac:dyDescent="0.25">
      <c r="A861" s="13">
        <v>41515</v>
      </c>
      <c r="B861">
        <v>426.11852859999999</v>
      </c>
      <c r="C861" s="12">
        <v>8.1079502905769818E-3</v>
      </c>
      <c r="D861" s="12">
        <f t="shared" si="65"/>
        <v>-7.6638069989518786E-5</v>
      </c>
      <c r="E861" s="11">
        <f t="shared" si="66"/>
        <v>8.1845883605664999E-3</v>
      </c>
      <c r="F861">
        <f t="shared" si="69"/>
        <v>1.448047758024425E-2</v>
      </c>
      <c r="G861">
        <f t="shared" si="67"/>
        <v>0.56521536083400681</v>
      </c>
      <c r="H861">
        <f t="shared" si="68"/>
        <v>3.1562811752413649</v>
      </c>
    </row>
    <row r="862" spans="1:8" x14ac:dyDescent="0.25">
      <c r="A862" s="13">
        <v>41516</v>
      </c>
      <c r="B862">
        <v>421.86946719999997</v>
      </c>
      <c r="C862" s="12">
        <v>-9.971548090058846E-3</v>
      </c>
      <c r="D862" s="12">
        <f t="shared" si="65"/>
        <v>1.1779327966772382E-4</v>
      </c>
      <c r="E862" s="11">
        <f t="shared" si="66"/>
        <v>-1.008934136972657E-2</v>
      </c>
      <c r="F862">
        <f t="shared" si="69"/>
        <v>1.4822654236618658E-2</v>
      </c>
      <c r="G862">
        <f t="shared" si="67"/>
        <v>-0.68067035826831446</v>
      </c>
      <c r="H862">
        <f t="shared" si="68"/>
        <v>3.0610039753457903</v>
      </c>
    </row>
    <row r="863" spans="1:8" x14ac:dyDescent="0.25">
      <c r="A863" s="13">
        <v>41520</v>
      </c>
      <c r="B863">
        <v>428.58429189999998</v>
      </c>
      <c r="C863" s="12">
        <v>1.5916830256920811E-2</v>
      </c>
      <c r="D863" s="12">
        <f t="shared" si="65"/>
        <v>-1.2997922219204673E-4</v>
      </c>
      <c r="E863" s="11">
        <f t="shared" si="66"/>
        <v>1.6046809479112859E-2</v>
      </c>
      <c r="F863">
        <f t="shared" si="69"/>
        <v>1.5148931626270684E-2</v>
      </c>
      <c r="G863">
        <f t="shared" si="67"/>
        <v>1.0592700445809069</v>
      </c>
      <c r="H863">
        <f t="shared" si="68"/>
        <v>2.7098602223536066</v>
      </c>
    </row>
    <row r="864" spans="1:8" x14ac:dyDescent="0.25">
      <c r="A864" s="13">
        <v>41521</v>
      </c>
      <c r="B864">
        <v>434.18830559999998</v>
      </c>
      <c r="C864" s="12">
        <v>1.3075639508756343E-2</v>
      </c>
      <c r="D864" s="12">
        <f t="shared" si="65"/>
        <v>2.1511028795715068E-4</v>
      </c>
      <c r="E864" s="11">
        <f t="shared" si="66"/>
        <v>1.2860529220799192E-2</v>
      </c>
      <c r="F864">
        <f t="shared" si="69"/>
        <v>1.6455974940295878E-2</v>
      </c>
      <c r="G864">
        <f t="shared" si="67"/>
        <v>0.78151123026491198</v>
      </c>
      <c r="H864">
        <f t="shared" si="68"/>
        <v>2.8827482147437085</v>
      </c>
    </row>
    <row r="865" spans="1:8" x14ac:dyDescent="0.25">
      <c r="A865" s="13">
        <v>41522</v>
      </c>
      <c r="B865">
        <v>438.13850780000001</v>
      </c>
      <c r="C865" s="12">
        <v>9.0979009546130474E-3</v>
      </c>
      <c r="D865" s="12">
        <f t="shared" si="65"/>
        <v>2.3867058717692529E-4</v>
      </c>
      <c r="E865" s="11">
        <f t="shared" si="66"/>
        <v>8.8592303674361224E-3</v>
      </c>
      <c r="F865">
        <f t="shared" si="69"/>
        <v>1.5602500101713799E-2</v>
      </c>
      <c r="G865">
        <f t="shared" si="67"/>
        <v>0.56780838389246435</v>
      </c>
      <c r="H865">
        <f t="shared" si="68"/>
        <v>3.080182401023047</v>
      </c>
    </row>
    <row r="866" spans="1:8" x14ac:dyDescent="0.25">
      <c r="A866" s="13">
        <v>41523</v>
      </c>
      <c r="B866">
        <v>438.14845650000001</v>
      </c>
      <c r="C866" s="12">
        <v>2.270674643489734E-5</v>
      </c>
      <c r="D866" s="12">
        <f t="shared" si="65"/>
        <v>1.7120680763922923E-4</v>
      </c>
      <c r="E866" s="11">
        <f t="shared" si="66"/>
        <v>-1.4850006120433189E-4</v>
      </c>
      <c r="F866">
        <f t="shared" si="69"/>
        <v>1.4937754147268733E-2</v>
      </c>
      <c r="G866">
        <f t="shared" si="67"/>
        <v>-9.9412575505190056E-3</v>
      </c>
      <c r="H866">
        <f t="shared" si="68"/>
        <v>3.2848754878865343</v>
      </c>
    </row>
    <row r="867" spans="1:8" x14ac:dyDescent="0.25">
      <c r="A867" s="13">
        <v>41526</v>
      </c>
      <c r="B867">
        <v>442.36767140000001</v>
      </c>
      <c r="C867" s="12">
        <v>9.6296468409446945E-3</v>
      </c>
      <c r="D867" s="12">
        <f t="shared" si="65"/>
        <v>2.3724774900988061E-5</v>
      </c>
      <c r="E867" s="11">
        <f t="shared" si="66"/>
        <v>9.6059220660437063E-3</v>
      </c>
      <c r="F867">
        <f t="shared" si="69"/>
        <v>1.4192709214820614E-2</v>
      </c>
      <c r="G867">
        <f t="shared" si="67"/>
        <v>0.67682088885558267</v>
      </c>
      <c r="H867">
        <f t="shared" si="68"/>
        <v>3.107045090803811</v>
      </c>
    </row>
    <row r="868" spans="1:8" x14ac:dyDescent="0.25">
      <c r="A868" s="13">
        <v>41527</v>
      </c>
      <c r="B868">
        <v>442.67650980000002</v>
      </c>
      <c r="C868" s="12">
        <v>6.9814866674722253E-4</v>
      </c>
      <c r="D868" s="12">
        <f t="shared" si="65"/>
        <v>1.4570363085764275E-4</v>
      </c>
      <c r="E868" s="11">
        <f t="shared" si="66"/>
        <v>5.5244503588957976E-4</v>
      </c>
      <c r="F868">
        <f t="shared" si="69"/>
        <v>1.5080201691963606E-2</v>
      </c>
      <c r="G868">
        <f t="shared" si="67"/>
        <v>3.6633796229925984E-2</v>
      </c>
      <c r="H868">
        <f t="shared" si="68"/>
        <v>3.2747629909753404</v>
      </c>
    </row>
    <row r="869" spans="1:8" x14ac:dyDescent="0.25">
      <c r="A869" s="13">
        <v>41528</v>
      </c>
      <c r="B869">
        <v>446.42245750000001</v>
      </c>
      <c r="C869" s="12">
        <v>8.4620430880608666E-3</v>
      </c>
      <c r="D869" s="12">
        <f t="shared" si="65"/>
        <v>3.5307185744025601E-5</v>
      </c>
      <c r="E869" s="11">
        <f t="shared" si="66"/>
        <v>8.4267359023168405E-3</v>
      </c>
      <c r="F869">
        <f t="shared" si="69"/>
        <v>1.4209866655499163E-2</v>
      </c>
      <c r="G869">
        <f t="shared" si="67"/>
        <v>0.59302005476988251</v>
      </c>
      <c r="H869">
        <f t="shared" si="68"/>
        <v>3.1590437948823071</v>
      </c>
    </row>
    <row r="870" spans="1:8" x14ac:dyDescent="0.25">
      <c r="A870" s="13">
        <v>41529</v>
      </c>
      <c r="B870">
        <v>444.86331159999997</v>
      </c>
      <c r="C870" s="12">
        <v>-3.4925346469605323E-3</v>
      </c>
      <c r="D870" s="12">
        <f t="shared" si="65"/>
        <v>1.2977987024183349E-4</v>
      </c>
      <c r="E870" s="11">
        <f t="shared" si="66"/>
        <v>-3.6223145172023657E-3</v>
      </c>
      <c r="F870">
        <f t="shared" si="69"/>
        <v>1.486398758572972E-2</v>
      </c>
      <c r="G870">
        <f t="shared" si="67"/>
        <v>-0.24369735888907734</v>
      </c>
      <c r="H870">
        <f t="shared" si="68"/>
        <v>3.2601811975319861</v>
      </c>
    </row>
    <row r="871" spans="1:8" x14ac:dyDescent="0.25">
      <c r="A871" s="13">
        <v>41530</v>
      </c>
      <c r="B871">
        <v>442.87575939999999</v>
      </c>
      <c r="C871" s="12">
        <v>-4.4677817841429768E-3</v>
      </c>
      <c r="D871" s="12">
        <f t="shared" si="65"/>
        <v>-3.1076243741439032E-5</v>
      </c>
      <c r="E871" s="11">
        <f t="shared" si="66"/>
        <v>-4.4367055404015377E-3</v>
      </c>
      <c r="F871">
        <f t="shared" si="69"/>
        <v>1.4312756145840528E-2</v>
      </c>
      <c r="G871">
        <f t="shared" si="67"/>
        <v>-0.30998261237692515</v>
      </c>
      <c r="H871">
        <f t="shared" si="68"/>
        <v>3.279620957982524</v>
      </c>
    </row>
    <row r="872" spans="1:8" x14ac:dyDescent="0.25">
      <c r="A872" s="13">
        <v>41533</v>
      </c>
      <c r="B872">
        <v>442.22320089999999</v>
      </c>
      <c r="C872" s="12">
        <v>-1.4734572533029455E-3</v>
      </c>
      <c r="D872" s="12">
        <f t="shared" si="65"/>
        <v>-7.6549458953392328E-5</v>
      </c>
      <c r="E872" s="11">
        <f t="shared" si="66"/>
        <v>-1.3969077943495531E-3</v>
      </c>
      <c r="F872">
        <f t="shared" si="69"/>
        <v>1.4337283739663502E-2</v>
      </c>
      <c r="G872">
        <f t="shared" si="67"/>
        <v>-9.7431830164947178E-2</v>
      </c>
      <c r="H872">
        <f t="shared" si="68"/>
        <v>3.3212068662167891</v>
      </c>
    </row>
    <row r="873" spans="1:8" x14ac:dyDescent="0.25">
      <c r="A873" s="13">
        <v>41534</v>
      </c>
      <c r="B873">
        <v>441.4012697</v>
      </c>
      <c r="C873" s="12">
        <v>-1.8586342786339749E-3</v>
      </c>
      <c r="D873" s="12">
        <f t="shared" si="65"/>
        <v>-3.376763169978557E-5</v>
      </c>
      <c r="E873" s="11">
        <f t="shared" si="66"/>
        <v>-1.8248666469341892E-3</v>
      </c>
      <c r="F873">
        <f t="shared" si="69"/>
        <v>1.4153392071264516E-2</v>
      </c>
      <c r="G873">
        <f t="shared" si="67"/>
        <v>-0.12893493218768362</v>
      </c>
      <c r="H873">
        <f t="shared" si="68"/>
        <v>3.3305503196970587</v>
      </c>
    </row>
    <row r="874" spans="1:8" x14ac:dyDescent="0.25">
      <c r="A874" s="13">
        <v>41535</v>
      </c>
      <c r="B874">
        <v>449.97416040000002</v>
      </c>
      <c r="C874" s="12">
        <v>1.9421989215904656E-2</v>
      </c>
      <c r="D874" s="12">
        <f t="shared" si="65"/>
        <v>-3.1897981296538679E-5</v>
      </c>
      <c r="E874" s="11">
        <f t="shared" si="66"/>
        <v>1.9453887197201196E-2</v>
      </c>
      <c r="F874">
        <f t="shared" si="69"/>
        <v>1.4151034624934191E-2</v>
      </c>
      <c r="G874">
        <f t="shared" si="67"/>
        <v>1.3747324992706436</v>
      </c>
      <c r="H874">
        <f t="shared" si="68"/>
        <v>2.3940842837158729</v>
      </c>
    </row>
    <row r="875" spans="1:8" x14ac:dyDescent="0.25">
      <c r="A875" s="13">
        <v>41536</v>
      </c>
      <c r="B875">
        <v>447.5183758</v>
      </c>
      <c r="C875" s="12">
        <v>-5.4576124944973881E-3</v>
      </c>
      <c r="D875" s="12">
        <f t="shared" si="65"/>
        <v>2.8897463093642637E-4</v>
      </c>
      <c r="E875" s="11">
        <f t="shared" si="66"/>
        <v>-5.7465871254338144E-3</v>
      </c>
      <c r="F875">
        <f t="shared" si="69"/>
        <v>1.7749427645632539E-2</v>
      </c>
      <c r="G875">
        <f t="shared" si="67"/>
        <v>-0.32376182715096347</v>
      </c>
      <c r="H875">
        <f t="shared" si="68"/>
        <v>3.0600526153323426</v>
      </c>
    </row>
    <row r="876" spans="1:8" x14ac:dyDescent="0.25">
      <c r="A876" s="13">
        <v>41537</v>
      </c>
      <c r="B876">
        <v>449.86954600000001</v>
      </c>
      <c r="C876" s="12">
        <v>5.2537958822294062E-3</v>
      </c>
      <c r="D876" s="12">
        <f t="shared" si="65"/>
        <v>-3.263066171071473E-5</v>
      </c>
      <c r="E876" s="11">
        <f t="shared" si="66"/>
        <v>5.2864265439401207E-3</v>
      </c>
      <c r="F876">
        <f t="shared" si="69"/>
        <v>1.4720298504750136E-2</v>
      </c>
      <c r="G876">
        <f t="shared" si="67"/>
        <v>0.35912495539640238</v>
      </c>
      <c r="H876">
        <f t="shared" si="68"/>
        <v>3.2351039870328053</v>
      </c>
    </row>
    <row r="877" spans="1:8" x14ac:dyDescent="0.25">
      <c r="A877" s="13">
        <v>41540</v>
      </c>
      <c r="B877">
        <v>441.59554500000002</v>
      </c>
      <c r="C877" s="12">
        <v>-1.8392000689017474E-2</v>
      </c>
      <c r="D877" s="12">
        <f t="shared" si="65"/>
        <v>6.5436046717600141E-5</v>
      </c>
      <c r="E877" s="11">
        <f t="shared" si="66"/>
        <v>-1.8457436735735074E-2</v>
      </c>
      <c r="F877">
        <f t="shared" si="69"/>
        <v>1.4446812383810206E-2</v>
      </c>
      <c r="G877">
        <f t="shared" si="67"/>
        <v>-1.2776130986804652</v>
      </c>
      <c r="H877">
        <f t="shared" si="68"/>
        <v>2.5021953368701206</v>
      </c>
    </row>
    <row r="878" spans="1:8" x14ac:dyDescent="0.25">
      <c r="A878" s="13">
        <v>41541</v>
      </c>
      <c r="B878">
        <v>441.76491759999999</v>
      </c>
      <c r="C878" s="12">
        <v>3.8354689470421199E-4</v>
      </c>
      <c r="D878" s="12">
        <f t="shared" si="65"/>
        <v>-2.6467092231969832E-4</v>
      </c>
      <c r="E878" s="11">
        <f t="shared" si="66"/>
        <v>6.4821781702391031E-4</v>
      </c>
      <c r="F878">
        <f t="shared" si="69"/>
        <v>1.7322518920532395E-2</v>
      </c>
      <c r="G878">
        <f t="shared" si="67"/>
        <v>3.7420528734742914E-2</v>
      </c>
      <c r="H878">
        <f t="shared" si="68"/>
        <v>3.1361092710214336</v>
      </c>
    </row>
    <row r="879" spans="1:8" x14ac:dyDescent="0.25">
      <c r="A879" s="13">
        <v>41542</v>
      </c>
      <c r="B879">
        <v>436.97786120000001</v>
      </c>
      <c r="C879" s="12">
        <v>-1.083620769618121E-2</v>
      </c>
      <c r="D879" s="12">
        <f t="shared" si="65"/>
        <v>-4.1465888713823978E-5</v>
      </c>
      <c r="E879" s="11">
        <f t="shared" si="66"/>
        <v>-1.0794741807467386E-2</v>
      </c>
      <c r="F879">
        <f t="shared" si="69"/>
        <v>1.4453711093437141E-2</v>
      </c>
      <c r="G879">
        <f t="shared" si="67"/>
        <v>-0.74684914743929343</v>
      </c>
      <c r="H879">
        <f t="shared" si="68"/>
        <v>3.0389737166017894</v>
      </c>
    </row>
    <row r="880" spans="1:8" x14ac:dyDescent="0.25">
      <c r="A880" s="13">
        <v>41543</v>
      </c>
      <c r="B880">
        <v>437.44609309999998</v>
      </c>
      <c r="C880" s="12">
        <v>1.0715231630136213E-3</v>
      </c>
      <c r="D880" s="12">
        <f t="shared" si="65"/>
        <v>-1.6290841107527998E-4</v>
      </c>
      <c r="E880" s="11">
        <f t="shared" si="66"/>
        <v>1.2344315740889012E-3</v>
      </c>
      <c r="F880">
        <f t="shared" si="69"/>
        <v>1.5304932875119564E-2</v>
      </c>
      <c r="G880">
        <f t="shared" si="67"/>
        <v>8.065579798103216E-2</v>
      </c>
      <c r="H880">
        <f t="shared" si="68"/>
        <v>3.2573888803295423</v>
      </c>
    </row>
    <row r="881" spans="1:8" x14ac:dyDescent="0.25">
      <c r="A881" s="13">
        <v>41544</v>
      </c>
      <c r="B881">
        <v>436.55943409999998</v>
      </c>
      <c r="C881" s="12">
        <v>-2.0268988887673922E-3</v>
      </c>
      <c r="D881" s="12">
        <f t="shared" si="65"/>
        <v>-1.1642301692931926E-5</v>
      </c>
      <c r="E881" s="11">
        <f t="shared" si="66"/>
        <v>-2.0152565870744602E-3</v>
      </c>
      <c r="F881">
        <f t="shared" si="69"/>
        <v>1.4244061101432309E-2</v>
      </c>
      <c r="G881">
        <f t="shared" si="67"/>
        <v>-0.14148047896760402</v>
      </c>
      <c r="H881">
        <f t="shared" si="68"/>
        <v>3.322468327780713</v>
      </c>
    </row>
    <row r="882" spans="1:8" x14ac:dyDescent="0.25">
      <c r="A882" s="13">
        <v>41547</v>
      </c>
      <c r="B882">
        <v>436.32032830000003</v>
      </c>
      <c r="C882" s="12">
        <v>-5.4770503469447895E-4</v>
      </c>
      <c r="D882" s="12">
        <f t="shared" si="65"/>
        <v>-2.7902402591801772E-5</v>
      </c>
      <c r="E882" s="11">
        <f t="shared" si="66"/>
        <v>-5.1980263210267715E-4</v>
      </c>
      <c r="F882">
        <f t="shared" si="69"/>
        <v>1.4167118266582358E-2</v>
      </c>
      <c r="G882">
        <f t="shared" si="67"/>
        <v>-3.6690780885820409E-2</v>
      </c>
      <c r="H882">
        <f t="shared" si="68"/>
        <v>3.3372199746811706</v>
      </c>
    </row>
    <row r="883" spans="1:8" x14ac:dyDescent="0.25">
      <c r="A883" s="13">
        <v>41548</v>
      </c>
      <c r="B883">
        <v>441.84462989999997</v>
      </c>
      <c r="C883" s="12">
        <v>1.2661114419132868E-2</v>
      </c>
      <c r="D883" s="12">
        <f t="shared" si="65"/>
        <v>-1.3492932054484026E-5</v>
      </c>
      <c r="E883" s="11">
        <f t="shared" si="66"/>
        <v>1.2674607351187353E-2</v>
      </c>
      <c r="F883">
        <f t="shared" si="69"/>
        <v>1.4119238490314526E-2</v>
      </c>
      <c r="G883">
        <f t="shared" si="67"/>
        <v>0.89768349474951092</v>
      </c>
      <c r="H883">
        <f t="shared" si="68"/>
        <v>2.9383606180747055</v>
      </c>
    </row>
    <row r="884" spans="1:8" x14ac:dyDescent="0.25">
      <c r="A884" s="13">
        <v>41549</v>
      </c>
      <c r="B884">
        <v>442.33776399999999</v>
      </c>
      <c r="C884" s="12">
        <v>1.1160803292136201E-3</v>
      </c>
      <c r="D884" s="12">
        <f t="shared" si="65"/>
        <v>1.9008764979213324E-4</v>
      </c>
      <c r="E884" s="11">
        <f t="shared" si="66"/>
        <v>9.2599267942148689E-4</v>
      </c>
      <c r="F884">
        <f t="shared" si="69"/>
        <v>1.5764616445238085E-2</v>
      </c>
      <c r="G884">
        <f t="shared" si="67"/>
        <v>5.8738674844270984E-2</v>
      </c>
      <c r="H884">
        <f t="shared" si="68"/>
        <v>3.2293236666275091</v>
      </c>
    </row>
    <row r="885" spans="1:8" x14ac:dyDescent="0.25">
      <c r="A885" s="13">
        <v>41550</v>
      </c>
      <c r="B885">
        <v>436.40998919999998</v>
      </c>
      <c r="C885" s="12">
        <v>-1.3401014524276555E-2</v>
      </c>
      <c r="D885" s="12">
        <f t="shared" si="65"/>
        <v>4.9419050293888875E-5</v>
      </c>
      <c r="E885" s="11">
        <f t="shared" si="66"/>
        <v>-1.3450433574570445E-2</v>
      </c>
      <c r="F885">
        <f t="shared" si="69"/>
        <v>1.4285631341232789E-2</v>
      </c>
      <c r="G885">
        <f t="shared" si="67"/>
        <v>-0.94153581688394106</v>
      </c>
      <c r="H885">
        <f t="shared" si="68"/>
        <v>2.8863176677375919</v>
      </c>
    </row>
    <row r="886" spans="1:8" x14ac:dyDescent="0.25">
      <c r="A886" s="13">
        <v>41551</v>
      </c>
      <c r="B886">
        <v>434.54694890000002</v>
      </c>
      <c r="C886" s="12">
        <v>-4.269013877100214E-3</v>
      </c>
      <c r="D886" s="12">
        <f t="shared" si="65"/>
        <v>-1.9981769003879458E-4</v>
      </c>
      <c r="E886" s="11">
        <f t="shared" si="66"/>
        <v>-4.0691961870614191E-3</v>
      </c>
      <c r="F886">
        <f t="shared" si="69"/>
        <v>1.5934873046712272E-2</v>
      </c>
      <c r="G886">
        <f t="shared" si="67"/>
        <v>-0.25536420498191464</v>
      </c>
      <c r="H886">
        <f t="shared" si="68"/>
        <v>3.1877013262930807</v>
      </c>
    </row>
    <row r="887" spans="1:8" x14ac:dyDescent="0.25">
      <c r="A887" s="13">
        <v>41554</v>
      </c>
      <c r="B887">
        <v>431.25430999999998</v>
      </c>
      <c r="C887" s="12">
        <v>-7.5771764324543689E-3</v>
      </c>
      <c r="D887" s="12">
        <f t="shared" si="65"/>
        <v>-9.9007666209653114E-5</v>
      </c>
      <c r="E887" s="11">
        <f t="shared" si="66"/>
        <v>-7.4781687662447156E-3</v>
      </c>
      <c r="F887">
        <f t="shared" si="69"/>
        <v>1.4435476317223686E-2</v>
      </c>
      <c r="G887">
        <f t="shared" si="67"/>
        <v>-0.51804101242728928</v>
      </c>
      <c r="H887">
        <f t="shared" si="68"/>
        <v>3.1849446905456165</v>
      </c>
    </row>
    <row r="888" spans="1:8" x14ac:dyDescent="0.25">
      <c r="A888" s="13">
        <v>41555</v>
      </c>
      <c r="B888">
        <v>425.24181829999998</v>
      </c>
      <c r="C888" s="12">
        <v>-1.3941870401248835E-2</v>
      </c>
      <c r="D888" s="12">
        <f t="shared" si="65"/>
        <v>-1.2557357047477752E-4</v>
      </c>
      <c r="E888" s="11">
        <f t="shared" si="66"/>
        <v>-1.3816296830774058E-2</v>
      </c>
      <c r="F888">
        <f t="shared" si="69"/>
        <v>1.4712387787246664E-2</v>
      </c>
      <c r="G888">
        <f t="shared" si="67"/>
        <v>-0.93909275846784179</v>
      </c>
      <c r="H888">
        <f t="shared" si="68"/>
        <v>2.8591792957518463</v>
      </c>
    </row>
    <row r="889" spans="1:8" x14ac:dyDescent="0.25">
      <c r="A889" s="13">
        <v>41556</v>
      </c>
      <c r="B889">
        <v>426.33273179999998</v>
      </c>
      <c r="C889" s="12">
        <v>2.5653956244500176E-3</v>
      </c>
      <c r="D889" s="12">
        <f t="shared" si="65"/>
        <v>-2.3033937805212604E-4</v>
      </c>
      <c r="E889" s="11">
        <f t="shared" si="66"/>
        <v>2.7957350025021436E-3</v>
      </c>
      <c r="F889">
        <f t="shared" si="69"/>
        <v>1.596334766327194E-2</v>
      </c>
      <c r="G889">
        <f t="shared" si="67"/>
        <v>0.1751346309981395</v>
      </c>
      <c r="H889">
        <f t="shared" si="68"/>
        <v>3.2031853529256891</v>
      </c>
    </row>
    <row r="890" spans="1:8" x14ac:dyDescent="0.25">
      <c r="A890" s="13">
        <v>41557</v>
      </c>
      <c r="B890">
        <v>432.49964319999998</v>
      </c>
      <c r="C890" s="12">
        <v>1.4465019783873823E-2</v>
      </c>
      <c r="D890" s="12">
        <f t="shared" si="65"/>
        <v>2.9705697347623454E-6</v>
      </c>
      <c r="E890" s="11">
        <f t="shared" si="66"/>
        <v>1.446204921413906E-2</v>
      </c>
      <c r="F890">
        <f t="shared" si="69"/>
        <v>1.4365017082706329E-2</v>
      </c>
      <c r="G890">
        <f t="shared" si="67"/>
        <v>1.0067547522480531</v>
      </c>
      <c r="H890">
        <f t="shared" si="68"/>
        <v>2.8172432985704572</v>
      </c>
    </row>
    <row r="891" spans="1:8" x14ac:dyDescent="0.25">
      <c r="A891" s="13">
        <v>41558</v>
      </c>
      <c r="B891">
        <v>434.36762700000003</v>
      </c>
      <c r="C891" s="12">
        <v>4.3190412509455101E-3</v>
      </c>
      <c r="D891" s="12">
        <f t="shared" si="65"/>
        <v>2.2537171028168482E-4</v>
      </c>
      <c r="E891" s="11">
        <f t="shared" si="66"/>
        <v>4.0936695406638256E-3</v>
      </c>
      <c r="F891">
        <f t="shared" si="69"/>
        <v>1.6184117097482287E-2</v>
      </c>
      <c r="G891">
        <f t="shared" si="67"/>
        <v>0.25294364320316648</v>
      </c>
      <c r="H891">
        <f t="shared" si="68"/>
        <v>3.1727961672340426</v>
      </c>
    </row>
    <row r="892" spans="1:8" x14ac:dyDescent="0.25">
      <c r="A892" s="13">
        <v>41561</v>
      </c>
      <c r="B892">
        <v>436.41993789999998</v>
      </c>
      <c r="C892" s="12">
        <v>4.7248247162765544E-3</v>
      </c>
      <c r="D892" s="12">
        <f t="shared" si="65"/>
        <v>1.0249877675493821E-4</v>
      </c>
      <c r="E892" s="11">
        <f t="shared" si="66"/>
        <v>4.6223259395216159E-3</v>
      </c>
      <c r="F892">
        <f t="shared" si="69"/>
        <v>1.4459505189613846E-2</v>
      </c>
      <c r="G892">
        <f t="shared" si="67"/>
        <v>0.31967386704503536</v>
      </c>
      <c r="H892">
        <f t="shared" si="68"/>
        <v>3.2663690582487286</v>
      </c>
    </row>
    <row r="893" spans="1:8" x14ac:dyDescent="0.25">
      <c r="A893" s="13">
        <v>41562</v>
      </c>
      <c r="B893">
        <v>439.35893829999998</v>
      </c>
      <c r="C893" s="12">
        <v>6.7343403560848891E-3</v>
      </c>
      <c r="D893" s="12">
        <f t="shared" si="65"/>
        <v>8.2561247771970839E-5</v>
      </c>
      <c r="E893" s="11">
        <f t="shared" si="66"/>
        <v>6.6517791083129186E-3</v>
      </c>
      <c r="F893">
        <f t="shared" si="69"/>
        <v>1.4364456965885711E-2</v>
      </c>
      <c r="G893">
        <f t="shared" si="67"/>
        <v>0.46307208995858973</v>
      </c>
      <c r="H893">
        <f t="shared" si="68"/>
        <v>3.2168419763951004</v>
      </c>
    </row>
    <row r="894" spans="1:8" x14ac:dyDescent="0.25">
      <c r="A894" s="13">
        <v>41563</v>
      </c>
      <c r="B894">
        <v>447.33902399999999</v>
      </c>
      <c r="C894" s="12">
        <v>1.8163021175527039E-2</v>
      </c>
      <c r="D894" s="12">
        <f t="shared" si="65"/>
        <v>1.1399736975672277E-4</v>
      </c>
      <c r="E894" s="11">
        <f t="shared" si="66"/>
        <v>1.8049023805770316E-2</v>
      </c>
      <c r="F894">
        <f t="shared" si="69"/>
        <v>1.4592900041641094E-2</v>
      </c>
      <c r="G894">
        <f t="shared" si="67"/>
        <v>1.2368359787476864</v>
      </c>
      <c r="H894">
        <f t="shared" si="68"/>
        <v>2.5434000147000053</v>
      </c>
    </row>
    <row r="895" spans="1:8" x14ac:dyDescent="0.25">
      <c r="A895" s="13">
        <v>41564</v>
      </c>
      <c r="B895">
        <v>442.73626330000002</v>
      </c>
      <c r="C895" s="12">
        <v>-1.0289200031875501E-2</v>
      </c>
      <c r="D895" s="12">
        <f t="shared" si="65"/>
        <v>2.9201684565592455E-4</v>
      </c>
      <c r="E895" s="11">
        <f t="shared" si="66"/>
        <v>-1.0581216877531425E-2</v>
      </c>
      <c r="F895">
        <f t="shared" si="69"/>
        <v>1.7152090998382084E-2</v>
      </c>
      <c r="G895">
        <f t="shared" si="67"/>
        <v>-0.61690536031609944</v>
      </c>
      <c r="H895">
        <f t="shared" si="68"/>
        <v>2.9564105437003754</v>
      </c>
    </row>
    <row r="896" spans="1:8" x14ac:dyDescent="0.25">
      <c r="A896" s="13">
        <v>41565</v>
      </c>
      <c r="B896">
        <v>503.81742259999999</v>
      </c>
      <c r="C896" s="12">
        <v>0.13796285591047486</v>
      </c>
      <c r="D896" s="12">
        <f t="shared" si="65"/>
        <v>-1.0894236262248372E-4</v>
      </c>
      <c r="E896" s="11">
        <f t="shared" si="66"/>
        <v>0.13807179827309735</v>
      </c>
      <c r="F896">
        <f t="shared" si="69"/>
        <v>1.5217790165204685E-2</v>
      </c>
      <c r="G896">
        <f t="shared" si="67"/>
        <v>9.0730517883468416</v>
      </c>
      <c r="H896">
        <f t="shared" si="68"/>
        <v>-37.893782780301564</v>
      </c>
    </row>
    <row r="897" spans="1:8" x14ac:dyDescent="0.25">
      <c r="A897" s="13">
        <v>41568</v>
      </c>
      <c r="B897">
        <v>499.77755999999999</v>
      </c>
      <c r="C897" s="12">
        <v>-8.0185051544106045E-3</v>
      </c>
      <c r="D897" s="12">
        <f t="shared" si="65"/>
        <v>2.0602003583152567E-3</v>
      </c>
      <c r="E897" s="11">
        <f t="shared" si="66"/>
        <v>-1.0078705512725862E-2</v>
      </c>
      <c r="F897">
        <f t="shared" si="69"/>
        <v>7.2435917875807443E-2</v>
      </c>
      <c r="G897">
        <f t="shared" si="67"/>
        <v>-0.1391396120638102</v>
      </c>
      <c r="H897">
        <f t="shared" si="68"/>
        <v>1.6964345503246869</v>
      </c>
    </row>
    <row r="898" spans="1:8" x14ac:dyDescent="0.25">
      <c r="A898" s="13">
        <v>41569</v>
      </c>
      <c r="B898">
        <v>501.62067209999998</v>
      </c>
      <c r="C898" s="12">
        <v>3.6878648573177575E-3</v>
      </c>
      <c r="D898" s="12">
        <f t="shared" si="65"/>
        <v>2.3328327458296992E-4</v>
      </c>
      <c r="E898" s="11">
        <f t="shared" si="66"/>
        <v>3.4545815827347875E-3</v>
      </c>
      <c r="F898">
        <f t="shared" si="69"/>
        <v>2.6184861802368637E-2</v>
      </c>
      <c r="G898">
        <f t="shared" si="67"/>
        <v>0.13193048750107561</v>
      </c>
      <c r="H898">
        <f t="shared" si="68"/>
        <v>2.7149324690341667</v>
      </c>
    </row>
    <row r="899" spans="1:8" x14ac:dyDescent="0.25">
      <c r="A899" s="13">
        <v>41570</v>
      </c>
      <c r="B899">
        <v>513.78011700000002</v>
      </c>
      <c r="C899" s="12">
        <v>2.4240318583951925E-2</v>
      </c>
      <c r="D899" s="12">
        <f t="shared" si="65"/>
        <v>3.5170429298778218E-5</v>
      </c>
      <c r="E899" s="11">
        <f t="shared" si="66"/>
        <v>2.4205148154653147E-2</v>
      </c>
      <c r="F899">
        <f t="shared" si="69"/>
        <v>1.5715066244333831E-2</v>
      </c>
      <c r="G899">
        <f t="shared" si="67"/>
        <v>1.5402511054244186</v>
      </c>
      <c r="H899">
        <f t="shared" si="68"/>
        <v>2.0480101262993373</v>
      </c>
    </row>
    <row r="900" spans="1:8" x14ac:dyDescent="0.25">
      <c r="A900" s="13">
        <v>41571</v>
      </c>
      <c r="B900">
        <v>510.86104440000003</v>
      </c>
      <c r="C900" s="12">
        <v>-5.6815600748519879E-3</v>
      </c>
      <c r="D900" s="12">
        <f t="shared" si="65"/>
        <v>3.7610463746323919E-4</v>
      </c>
      <c r="E900" s="11">
        <f t="shared" si="66"/>
        <v>-6.0576647123152267E-3</v>
      </c>
      <c r="F900">
        <f t="shared" si="69"/>
        <v>1.8684240778395117E-2</v>
      </c>
      <c r="G900">
        <f t="shared" si="67"/>
        <v>-0.3242125160001042</v>
      </c>
      <c r="H900">
        <f t="shared" si="68"/>
        <v>3.0085794385788684</v>
      </c>
    </row>
    <row r="901" spans="1:8" x14ac:dyDescent="0.25">
      <c r="A901" s="13">
        <v>41572</v>
      </c>
      <c r="B901">
        <v>505.70536559999999</v>
      </c>
      <c r="C901" s="12">
        <v>-1.0092135339963781E-2</v>
      </c>
      <c r="D901" s="12">
        <f t="shared" si="65"/>
        <v>-2.3634828649948272E-5</v>
      </c>
      <c r="E901" s="11">
        <f t="shared" si="66"/>
        <v>-1.0068500511313833E-2</v>
      </c>
      <c r="F901">
        <f t="shared" si="69"/>
        <v>1.4831715239956649E-2</v>
      </c>
      <c r="G901">
        <f t="shared" si="67"/>
        <v>-0.67884936761658465</v>
      </c>
      <c r="H901">
        <f t="shared" si="68"/>
        <v>3.0616307042135995</v>
      </c>
    </row>
    <row r="902" spans="1:8" x14ac:dyDescent="0.25">
      <c r="A902" s="13">
        <v>41575</v>
      </c>
      <c r="B902">
        <v>505.60572509999997</v>
      </c>
      <c r="C902" s="12">
        <v>-1.9703271267801359E-4</v>
      </c>
      <c r="D902" s="12">
        <f t="shared" ref="D902:D965" si="70">+C901*$K$11+C900*$K$10</f>
        <v>-1.6724170857421441E-4</v>
      </c>
      <c r="E902" s="11">
        <f t="shared" ref="E902:E965" si="71">C902-D902</f>
        <v>-2.9791004103799182E-5</v>
      </c>
      <c r="F902">
        <f t="shared" si="69"/>
        <v>1.5144776361065215E-2</v>
      </c>
      <c r="G902">
        <f t="shared" ref="G902:G965" si="72">E902/F902</f>
        <v>-1.9670811501969129E-3</v>
      </c>
      <c r="H902">
        <f t="shared" ref="H902:H965" si="73">1/2*(-LN(PI()*2)-2*LN(F902)-(E902/F902)^2)</f>
        <v>3.2711591332224637</v>
      </c>
    </row>
    <row r="903" spans="1:8" x14ac:dyDescent="0.25">
      <c r="A903" s="13">
        <v>41576</v>
      </c>
      <c r="B903">
        <v>516.18606590000002</v>
      </c>
      <c r="C903" s="12">
        <v>2.092607000822122E-2</v>
      </c>
      <c r="D903" s="12">
        <f t="shared" si="70"/>
        <v>-2.891655207985198E-5</v>
      </c>
      <c r="E903" s="11">
        <f t="shared" si="71"/>
        <v>2.0954986560301071E-2</v>
      </c>
      <c r="F903">
        <f t="shared" ref="F903:F966" si="74">SQRT($K$6+$K$7*G902^2+$K$8*F902^2)</f>
        <v>1.4213583821147081E-2</v>
      </c>
      <c r="G903">
        <f t="shared" si="72"/>
        <v>1.4742929597477084</v>
      </c>
      <c r="H903">
        <f t="shared" si="73"/>
        <v>2.2478487657233934</v>
      </c>
    </row>
    <row r="904" spans="1:8" x14ac:dyDescent="0.25">
      <c r="A904" s="13">
        <v>41577</v>
      </c>
      <c r="B904">
        <v>513.28695200000004</v>
      </c>
      <c r="C904" s="12">
        <v>-5.6164125526039221E-3</v>
      </c>
      <c r="D904" s="12">
        <f t="shared" si="70"/>
        <v>3.159936315678316E-4</v>
      </c>
      <c r="E904" s="11">
        <f t="shared" si="71"/>
        <v>-5.9324061841717537E-3</v>
      </c>
      <c r="F904">
        <f t="shared" si="74"/>
        <v>1.8237196316710849E-2</v>
      </c>
      <c r="G904">
        <f t="shared" si="72"/>
        <v>-0.32529156791144787</v>
      </c>
      <c r="H904">
        <f t="shared" si="73"/>
        <v>3.0324461815754788</v>
      </c>
    </row>
    <row r="905" spans="1:8" x14ac:dyDescent="0.25">
      <c r="A905" s="13">
        <v>41578</v>
      </c>
      <c r="B905">
        <v>513.3666637</v>
      </c>
      <c r="C905" s="12">
        <v>1.5529656401613856E-4</v>
      </c>
      <c r="D905" s="12">
        <f t="shared" si="70"/>
        <v>-3.1167016713623312E-5</v>
      </c>
      <c r="E905" s="11">
        <f t="shared" si="71"/>
        <v>1.8646358072976188E-4</v>
      </c>
      <c r="F905">
        <f t="shared" si="74"/>
        <v>1.4779571835446681E-2</v>
      </c>
      <c r="G905">
        <f t="shared" si="72"/>
        <v>1.2616304640338482E-2</v>
      </c>
      <c r="H905">
        <f t="shared" si="73"/>
        <v>3.2954912142905681</v>
      </c>
    </row>
    <row r="906" spans="1:8" x14ac:dyDescent="0.25">
      <c r="A906" s="13">
        <v>41579</v>
      </c>
      <c r="B906">
        <v>511.6032639</v>
      </c>
      <c r="C906" s="12">
        <v>-3.4349713853458752E-3</v>
      </c>
      <c r="D906" s="12">
        <f t="shared" si="70"/>
        <v>-1.2085208084703745E-5</v>
      </c>
      <c r="E906" s="11">
        <f t="shared" si="71"/>
        <v>-3.4228861772611714E-3</v>
      </c>
      <c r="F906">
        <f t="shared" si="74"/>
        <v>1.4176908049904203E-2</v>
      </c>
      <c r="G906">
        <f t="shared" si="72"/>
        <v>-0.24144095208999405</v>
      </c>
      <c r="H906">
        <f t="shared" si="73"/>
        <v>3.3080554318540742</v>
      </c>
    </row>
    <row r="907" spans="1:8" x14ac:dyDescent="0.25">
      <c r="A907" s="13">
        <v>41582</v>
      </c>
      <c r="B907">
        <v>511.14000629999998</v>
      </c>
      <c r="C907" s="12">
        <v>-9.055016507685254E-4</v>
      </c>
      <c r="D907" s="12">
        <f t="shared" si="70"/>
        <v>-5.1553716847127576E-5</v>
      </c>
      <c r="E907" s="11">
        <f t="shared" si="71"/>
        <v>-8.5394793392139787E-4</v>
      </c>
      <c r="F907">
        <f t="shared" si="74"/>
        <v>1.4243223441376775E-2</v>
      </c>
      <c r="G907">
        <f t="shared" si="72"/>
        <v>-5.9954682129093509E-2</v>
      </c>
      <c r="H907">
        <f t="shared" si="73"/>
        <v>3.3307382181905618</v>
      </c>
    </row>
    <row r="908" spans="1:8" x14ac:dyDescent="0.25">
      <c r="A908" s="13">
        <v>41583</v>
      </c>
      <c r="B908">
        <v>508.85356439999998</v>
      </c>
      <c r="C908" s="12">
        <v>-4.4732203932752457E-3</v>
      </c>
      <c r="D908" s="12">
        <f t="shared" si="70"/>
        <v>-2.2523195110553505E-5</v>
      </c>
      <c r="E908" s="11">
        <f t="shared" si="71"/>
        <v>-4.4506971981646921E-3</v>
      </c>
      <c r="F908">
        <f t="shared" si="74"/>
        <v>1.4131474379901521E-2</v>
      </c>
      <c r="G908">
        <f t="shared" si="72"/>
        <v>-0.31494924581221989</v>
      </c>
      <c r="H908">
        <f t="shared" si="73"/>
        <v>3.29081569686356</v>
      </c>
    </row>
    <row r="909" spans="1:8" x14ac:dyDescent="0.25">
      <c r="A909" s="13">
        <v>41584</v>
      </c>
      <c r="B909">
        <v>509.46626689999999</v>
      </c>
      <c r="C909" s="12">
        <v>1.2040841272724645E-3</v>
      </c>
      <c r="D909" s="12">
        <f t="shared" si="70"/>
        <v>-6.9983116047831959E-5</v>
      </c>
      <c r="E909" s="11">
        <f t="shared" si="71"/>
        <v>1.2740672433202965E-3</v>
      </c>
      <c r="F909">
        <f t="shared" si="74"/>
        <v>1.4326623087684509E-2</v>
      </c>
      <c r="G909">
        <f t="shared" si="72"/>
        <v>8.8930045518927178E-2</v>
      </c>
      <c r="H909">
        <f t="shared" si="73"/>
        <v>3.3227429085467355</v>
      </c>
    </row>
    <row r="910" spans="1:8" x14ac:dyDescent="0.25">
      <c r="A910" s="13">
        <v>41585</v>
      </c>
      <c r="B910">
        <v>502.09387839999999</v>
      </c>
      <c r="C910" s="12">
        <v>-1.4470807939570784E-2</v>
      </c>
      <c r="D910" s="12">
        <f t="shared" si="70"/>
        <v>6.7153333946208782E-6</v>
      </c>
      <c r="E910" s="11">
        <f t="shared" si="71"/>
        <v>-1.4477523272965405E-2</v>
      </c>
      <c r="F910">
        <f t="shared" si="74"/>
        <v>1.4148923324331901E-2</v>
      </c>
      <c r="G910">
        <f t="shared" si="72"/>
        <v>-1.023224378357356</v>
      </c>
      <c r="H910">
        <f t="shared" si="73"/>
        <v>2.815684150504044</v>
      </c>
    </row>
    <row r="911" spans="1:8" x14ac:dyDescent="0.25">
      <c r="A911" s="13">
        <v>41586</v>
      </c>
      <c r="B911">
        <v>506.11881840000001</v>
      </c>
      <c r="C911" s="12">
        <v>8.0163096447742888E-3</v>
      </c>
      <c r="D911" s="12">
        <f t="shared" si="70"/>
        <v>-2.1577180013587465E-4</v>
      </c>
      <c r="E911" s="11">
        <f t="shared" si="71"/>
        <v>8.232081444910163E-3</v>
      </c>
      <c r="F911">
        <f t="shared" si="74"/>
        <v>1.6229049229574834E-2</v>
      </c>
      <c r="G911">
        <f t="shared" si="72"/>
        <v>0.50724360549159697</v>
      </c>
      <c r="H911">
        <f t="shared" si="73"/>
        <v>3.0733659093598371</v>
      </c>
    </row>
    <row r="912" spans="1:8" x14ac:dyDescent="0.25">
      <c r="A912" s="13">
        <v>41589</v>
      </c>
      <c r="B912">
        <v>503.40897460000002</v>
      </c>
      <c r="C912" s="12">
        <v>-5.3541652700578313E-3</v>
      </c>
      <c r="D912" s="12">
        <f t="shared" si="70"/>
        <v>8.4054516473557435E-5</v>
      </c>
      <c r="E912" s="11">
        <f t="shared" si="71"/>
        <v>-5.4382197865313888E-3</v>
      </c>
      <c r="F912">
        <f t="shared" si="74"/>
        <v>1.4868221883708486E-2</v>
      </c>
      <c r="G912">
        <f t="shared" si="72"/>
        <v>-0.36576127455362994</v>
      </c>
      <c r="H912">
        <f t="shared" si="73"/>
        <v>3.2226999148975763</v>
      </c>
    </row>
    <row r="913" spans="1:8" x14ac:dyDescent="0.25">
      <c r="A913" s="13">
        <v>41590</v>
      </c>
      <c r="B913">
        <v>504.00174920000001</v>
      </c>
      <c r="C913" s="12">
        <v>1.1775209221707161E-3</v>
      </c>
      <c r="D913" s="12">
        <f t="shared" si="70"/>
        <v>-6.0378323257042103E-5</v>
      </c>
      <c r="E913" s="11">
        <f t="shared" si="71"/>
        <v>1.2378992454277582E-3</v>
      </c>
      <c r="F913">
        <f t="shared" si="74"/>
        <v>1.4471558813984018E-2</v>
      </c>
      <c r="G913">
        <f t="shared" si="72"/>
        <v>8.5540145421760874E-2</v>
      </c>
      <c r="H913">
        <f t="shared" si="73"/>
        <v>3.312972925400099</v>
      </c>
    </row>
    <row r="914" spans="1:8" x14ac:dyDescent="0.25">
      <c r="A914" s="13">
        <v>41591</v>
      </c>
      <c r="B914">
        <v>514.30813290000003</v>
      </c>
      <c r="C914" s="12">
        <v>2.0449103036565441E-2</v>
      </c>
      <c r="D914" s="12">
        <f t="shared" si="70"/>
        <v>4.0495706647363753E-6</v>
      </c>
      <c r="E914" s="11">
        <f t="shared" si="71"/>
        <v>2.0445053465900705E-2</v>
      </c>
      <c r="F914">
        <f t="shared" si="74"/>
        <v>1.4161818390542071E-2</v>
      </c>
      <c r="G914">
        <f t="shared" si="72"/>
        <v>1.4436743151257239</v>
      </c>
      <c r="H914">
        <f t="shared" si="73"/>
        <v>2.296169484268674</v>
      </c>
    </row>
    <row r="915" spans="1:8" x14ac:dyDescent="0.25">
      <c r="A915" s="13">
        <v>41592</v>
      </c>
      <c r="B915">
        <v>515.68295220000005</v>
      </c>
      <c r="C915" s="12">
        <v>2.6731432230089336E-3</v>
      </c>
      <c r="D915" s="12">
        <f t="shared" si="70"/>
        <v>3.1231222446806808E-4</v>
      </c>
      <c r="E915" s="11">
        <f t="shared" si="71"/>
        <v>2.3608309985408654E-3</v>
      </c>
      <c r="F915">
        <f t="shared" si="74"/>
        <v>1.808255895923629E-2</v>
      </c>
      <c r="G915">
        <f t="shared" si="72"/>
        <v>0.13055845712229738</v>
      </c>
      <c r="H915">
        <f t="shared" si="73"/>
        <v>3.0853461101095503</v>
      </c>
    </row>
    <row r="916" spans="1:8" x14ac:dyDescent="0.25">
      <c r="A916" s="13">
        <v>41593</v>
      </c>
      <c r="B916">
        <v>514.85110269999996</v>
      </c>
      <c r="C916" s="12">
        <v>-1.6131025787283759E-3</v>
      </c>
      <c r="D916" s="12">
        <f t="shared" si="70"/>
        <v>9.2984025792377392E-5</v>
      </c>
      <c r="E916" s="11">
        <f t="shared" si="71"/>
        <v>-1.7060866045207532E-3</v>
      </c>
      <c r="F916">
        <f t="shared" si="74"/>
        <v>1.4575864215939342E-2</v>
      </c>
      <c r="G916">
        <f t="shared" si="72"/>
        <v>-0.11704874436570789</v>
      </c>
      <c r="H916">
        <f t="shared" si="73"/>
        <v>3.3025995166158859</v>
      </c>
    </row>
    <row r="917" spans="1:8" x14ac:dyDescent="0.25">
      <c r="A917" s="13">
        <v>41596</v>
      </c>
      <c r="B917">
        <v>513.84981919999996</v>
      </c>
      <c r="C917" s="12">
        <v>-1.9448020888933604E-3</v>
      </c>
      <c r="D917" s="12">
        <f t="shared" si="70"/>
        <v>-1.7527750736438425E-5</v>
      </c>
      <c r="E917" s="11">
        <f t="shared" si="71"/>
        <v>-1.927274338156922E-3</v>
      </c>
      <c r="F917">
        <f t="shared" si="74"/>
        <v>1.4185894055026826E-2</v>
      </c>
      <c r="G917">
        <f t="shared" si="72"/>
        <v>-0.13585850357270821</v>
      </c>
      <c r="H917">
        <f t="shared" si="73"/>
        <v>3.3273398848056424</v>
      </c>
    </row>
    <row r="918" spans="1:8" x14ac:dyDescent="0.25">
      <c r="A918" s="13">
        <v>41597</v>
      </c>
      <c r="B918">
        <v>510.68669740000001</v>
      </c>
      <c r="C918" s="12">
        <v>-6.1557320481780975E-3</v>
      </c>
      <c r="D918" s="12">
        <f t="shared" si="70"/>
        <v>-3.356012584348541E-5</v>
      </c>
      <c r="E918" s="11">
        <f t="shared" si="71"/>
        <v>-6.1221719223346124E-3</v>
      </c>
      <c r="F918">
        <f t="shared" si="74"/>
        <v>1.4158131601517085E-2</v>
      </c>
      <c r="G918">
        <f t="shared" si="72"/>
        <v>-0.43241383076836237</v>
      </c>
      <c r="H918">
        <f t="shared" si="73"/>
        <v>3.2450367547434502</v>
      </c>
    </row>
    <row r="919" spans="1:8" x14ac:dyDescent="0.25">
      <c r="A919" s="13">
        <v>41598</v>
      </c>
      <c r="B919">
        <v>509.24708889999999</v>
      </c>
      <c r="C919" s="12">
        <v>-2.8189661241018182E-3</v>
      </c>
      <c r="D919" s="12">
        <f t="shared" si="70"/>
        <v>-9.8101529488578635E-5</v>
      </c>
      <c r="E919" s="11">
        <f t="shared" si="71"/>
        <v>-2.7208645946132396E-3</v>
      </c>
      <c r="F919">
        <f t="shared" si="74"/>
        <v>1.4515663070889121E-2</v>
      </c>
      <c r="G919">
        <f t="shared" si="72"/>
        <v>-0.18744335558944467</v>
      </c>
      <c r="H919">
        <f t="shared" si="73"/>
        <v>3.2960209617971032</v>
      </c>
    </row>
    <row r="920" spans="1:8" x14ac:dyDescent="0.25">
      <c r="A920" s="13">
        <v>41599</v>
      </c>
      <c r="B920">
        <v>515.10513149999997</v>
      </c>
      <c r="C920" s="12">
        <v>1.1503340377759796E-2</v>
      </c>
      <c r="D920" s="12">
        <f t="shared" si="70"/>
        <v>-5.8455999007603796E-5</v>
      </c>
      <c r="E920" s="11">
        <f t="shared" si="71"/>
        <v>1.1561796376767399E-2</v>
      </c>
      <c r="F920">
        <f t="shared" si="74"/>
        <v>1.4226199394209811E-2</v>
      </c>
      <c r="G920">
        <f t="shared" si="72"/>
        <v>0.81271153710056621</v>
      </c>
      <c r="H920">
        <f t="shared" si="73"/>
        <v>3.0034814321138548</v>
      </c>
    </row>
    <row r="921" spans="1:8" x14ac:dyDescent="0.25">
      <c r="A921" s="13">
        <v>41600</v>
      </c>
      <c r="B921">
        <v>514.01919190000001</v>
      </c>
      <c r="C921" s="12">
        <v>-2.1081902190289714E-3</v>
      </c>
      <c r="D921" s="12">
        <f t="shared" si="70"/>
        <v>1.6673961871624542E-4</v>
      </c>
      <c r="E921" s="11">
        <f t="shared" si="71"/>
        <v>-2.2749298377452167E-3</v>
      </c>
      <c r="F921">
        <f t="shared" si="74"/>
        <v>1.5488971279555175E-2</v>
      </c>
      <c r="G921">
        <f t="shared" si="72"/>
        <v>-0.14687417238277364</v>
      </c>
      <c r="H921">
        <f t="shared" si="73"/>
        <v>3.2379024942048411</v>
      </c>
    </row>
    <row r="922" spans="1:8" x14ac:dyDescent="0.25">
      <c r="A922" s="13">
        <v>41603</v>
      </c>
      <c r="B922">
        <v>521.01303919999998</v>
      </c>
      <c r="C922" s="12">
        <v>1.3606198776641376E-2</v>
      </c>
      <c r="D922" s="12">
        <f t="shared" si="70"/>
        <v>-2.3224384905363672E-6</v>
      </c>
      <c r="E922" s="11">
        <f t="shared" si="71"/>
        <v>1.3608521215131912E-2</v>
      </c>
      <c r="F922">
        <f t="shared" si="74"/>
        <v>1.4295505798196802E-2</v>
      </c>
      <c r="G922">
        <f t="shared" si="72"/>
        <v>0.95194401703844966</v>
      </c>
      <c r="H922">
        <f t="shared" si="73"/>
        <v>2.8757728319665912</v>
      </c>
    </row>
    <row r="923" spans="1:8" x14ac:dyDescent="0.25">
      <c r="A923" s="13">
        <v>41604</v>
      </c>
      <c r="B923">
        <v>527.2297251</v>
      </c>
      <c r="C923" s="12">
        <v>1.1931919994834672E-2</v>
      </c>
      <c r="D923" s="12">
        <f t="shared" si="70"/>
        <v>2.0037134132352809E-4</v>
      </c>
      <c r="E923" s="11">
        <f t="shared" si="71"/>
        <v>1.1731548653511144E-2</v>
      </c>
      <c r="F923">
        <f t="shared" si="74"/>
        <v>1.597357305471557E-2</v>
      </c>
      <c r="G923">
        <f t="shared" si="72"/>
        <v>0.73443484518624125</v>
      </c>
      <c r="H923">
        <f t="shared" si="73"/>
        <v>2.9481838022400693</v>
      </c>
    </row>
    <row r="924" spans="1:8" x14ac:dyDescent="0.25">
      <c r="A924" s="13">
        <v>41605</v>
      </c>
      <c r="B924">
        <v>529.57097650000003</v>
      </c>
      <c r="C924" s="12">
        <v>4.440666541621896E-3</v>
      </c>
      <c r="D924" s="12">
        <f t="shared" si="70"/>
        <v>2.1543394548796538E-4</v>
      </c>
      <c r="E924" s="11">
        <f t="shared" si="71"/>
        <v>4.2252325961339311E-3</v>
      </c>
      <c r="F924">
        <f t="shared" si="74"/>
        <v>1.5412996847283303E-2</v>
      </c>
      <c r="G924">
        <f t="shared" si="72"/>
        <v>0.27413439696373332</v>
      </c>
      <c r="H924">
        <f t="shared" si="73"/>
        <v>3.2160308073627601</v>
      </c>
    </row>
    <row r="925" spans="1:8" x14ac:dyDescent="0.25">
      <c r="A925" s="13">
        <v>41607</v>
      </c>
      <c r="B925">
        <v>527.81749449999995</v>
      </c>
      <c r="C925" s="12">
        <v>-3.3111368972466027E-3</v>
      </c>
      <c r="D925" s="12">
        <f t="shared" si="70"/>
        <v>9.7828326387961918E-5</v>
      </c>
      <c r="E925" s="11">
        <f t="shared" si="71"/>
        <v>-3.4089652236345648E-3</v>
      </c>
      <c r="F925">
        <f t="shared" si="74"/>
        <v>1.4402051233550775E-2</v>
      </c>
      <c r="G925">
        <f t="shared" si="72"/>
        <v>-0.23669997893724312</v>
      </c>
      <c r="H925">
        <f t="shared" si="73"/>
        <v>3.2934326625512829</v>
      </c>
    </row>
    <row r="926" spans="1:8" x14ac:dyDescent="0.25">
      <c r="A926" s="13">
        <v>41610</v>
      </c>
      <c r="B926">
        <v>525.27207980000003</v>
      </c>
      <c r="C926" s="12">
        <v>-4.8225281020879418E-3</v>
      </c>
      <c r="D926" s="12">
        <f t="shared" si="70"/>
        <v>-3.8667483406435704E-5</v>
      </c>
      <c r="E926" s="11">
        <f t="shared" si="71"/>
        <v>-4.7838606186815062E-3</v>
      </c>
      <c r="F926">
        <f t="shared" si="74"/>
        <v>1.4260054408927296E-2</v>
      </c>
      <c r="G926">
        <f t="shared" si="72"/>
        <v>-0.33547281668761664</v>
      </c>
      <c r="H926">
        <f t="shared" si="73"/>
        <v>3.2750835099376343</v>
      </c>
    </row>
    <row r="927" spans="1:8" x14ac:dyDescent="0.25">
      <c r="A927" s="13">
        <v>41611</v>
      </c>
      <c r="B927">
        <v>524.6643517</v>
      </c>
      <c r="C927" s="12">
        <v>-1.1569777328188646E-3</v>
      </c>
      <c r="D927" s="12">
        <f t="shared" si="70"/>
        <v>-8.1448694606093967E-5</v>
      </c>
      <c r="E927" s="11">
        <f t="shared" si="71"/>
        <v>-1.0755290382127706E-3</v>
      </c>
      <c r="F927">
        <f t="shared" si="74"/>
        <v>1.4367364944008273E-2</v>
      </c>
      <c r="G927">
        <f t="shared" si="72"/>
        <v>-7.4859171629889323E-2</v>
      </c>
      <c r="H927">
        <f t="shared" si="73"/>
        <v>3.3210554867371553</v>
      </c>
    </row>
    <row r="928" spans="1:8" x14ac:dyDescent="0.25">
      <c r="A928" s="13">
        <v>41612</v>
      </c>
      <c r="B928">
        <v>527.1151615</v>
      </c>
      <c r="C928" s="12">
        <v>4.6711955787714921E-3</v>
      </c>
      <c r="D928" s="12">
        <f t="shared" si="70"/>
        <v>-2.9892669722305951E-5</v>
      </c>
      <c r="E928" s="11">
        <f t="shared" si="71"/>
        <v>4.7010882484937984E-3</v>
      </c>
      <c r="F928">
        <f t="shared" si="74"/>
        <v>1.4147904442703335E-2</v>
      </c>
      <c r="G928">
        <f t="shared" si="72"/>
        <v>0.33228159460168999</v>
      </c>
      <c r="H928">
        <f t="shared" si="73"/>
        <v>3.2840446995220067</v>
      </c>
    </row>
    <row r="929" spans="1:8" x14ac:dyDescent="0.25">
      <c r="A929" s="13">
        <v>41613</v>
      </c>
      <c r="B929">
        <v>526.69670389999999</v>
      </c>
      <c r="C929" s="12">
        <v>-7.9386371435274938E-4</v>
      </c>
      <c r="D929" s="12">
        <f t="shared" si="70"/>
        <v>6.7676913850022761E-5</v>
      </c>
      <c r="E929" s="11">
        <f t="shared" si="71"/>
        <v>-8.6154062820277219E-4</v>
      </c>
      <c r="F929">
        <f t="shared" si="74"/>
        <v>1.4352151839300914E-2</v>
      </c>
      <c r="G929">
        <f t="shared" si="72"/>
        <v>-6.0028672902107297E-2</v>
      </c>
      <c r="H929">
        <f t="shared" si="73"/>
        <v>3.3231151400703594</v>
      </c>
    </row>
    <row r="930" spans="1:8" x14ac:dyDescent="0.25">
      <c r="A930" s="13">
        <v>41614</v>
      </c>
      <c r="B930">
        <v>532.9383527</v>
      </c>
      <c r="C930" s="12">
        <v>1.1850556029272319E-2</v>
      </c>
      <c r="D930" s="12">
        <f t="shared" si="70"/>
        <v>-2.0926165723018881E-9</v>
      </c>
      <c r="E930" s="11">
        <f t="shared" si="71"/>
        <v>1.1850558121888892E-2</v>
      </c>
      <c r="F930">
        <f t="shared" si="74"/>
        <v>1.4142086140390893E-2</v>
      </c>
      <c r="G930">
        <f t="shared" si="72"/>
        <v>0.83796393291954152</v>
      </c>
      <c r="H930">
        <f t="shared" si="73"/>
        <v>2.9885697850731061</v>
      </c>
    </row>
    <row r="931" spans="1:8" x14ac:dyDescent="0.25">
      <c r="A931" s="13">
        <v>41617</v>
      </c>
      <c r="B931">
        <v>537.05792750000001</v>
      </c>
      <c r="C931" s="12">
        <v>7.7299274468223267E-3</v>
      </c>
      <c r="D931" s="12">
        <f t="shared" si="70"/>
        <v>1.77195597186131E-4</v>
      </c>
      <c r="E931" s="11">
        <f t="shared" si="71"/>
        <v>7.5527318496361956E-3</v>
      </c>
      <c r="F931">
        <f t="shared" si="74"/>
        <v>1.5563844047033239E-2</v>
      </c>
      <c r="G931">
        <f t="shared" si="72"/>
        <v>0.48527419234041275</v>
      </c>
      <c r="H931">
        <f t="shared" si="73"/>
        <v>3.1261206899379146</v>
      </c>
    </row>
    <row r="932" spans="1:8" x14ac:dyDescent="0.25">
      <c r="A932" s="13">
        <v>41618</v>
      </c>
      <c r="B932">
        <v>540.30573600000002</v>
      </c>
      <c r="C932" s="12">
        <v>6.047408172743296E-3</v>
      </c>
      <c r="D932" s="12">
        <f t="shared" si="70"/>
        <v>1.4736822427736945E-4</v>
      </c>
      <c r="E932" s="11">
        <f t="shared" si="71"/>
        <v>5.9000399484659266E-3</v>
      </c>
      <c r="F932">
        <f t="shared" si="74"/>
        <v>1.4754468699045866E-2</v>
      </c>
      <c r="G932">
        <f t="shared" si="72"/>
        <v>0.3998815591948402</v>
      </c>
      <c r="H932">
        <f t="shared" si="73"/>
        <v>3.2173181155363255</v>
      </c>
    </row>
    <row r="933" spans="1:8" x14ac:dyDescent="0.25">
      <c r="A933" s="13">
        <v>41619</v>
      </c>
      <c r="B933">
        <v>536.63446529999999</v>
      </c>
      <c r="C933" s="12">
        <v>-6.7948023783335199E-3</v>
      </c>
      <c r="D933" s="12">
        <f t="shared" si="70"/>
        <v>1.1133077124216882E-4</v>
      </c>
      <c r="E933" s="11">
        <f t="shared" si="71"/>
        <v>-6.9061331495756887E-3</v>
      </c>
      <c r="F933">
        <f t="shared" si="74"/>
        <v>1.4515610367545007E-2</v>
      </c>
      <c r="G933">
        <f t="shared" si="72"/>
        <v>-0.47577283866869924</v>
      </c>
      <c r="H933">
        <f t="shared" si="73"/>
        <v>3.2004122013649376</v>
      </c>
    </row>
    <row r="934" spans="1:8" x14ac:dyDescent="0.25">
      <c r="A934" s="13">
        <v>41620</v>
      </c>
      <c r="B934">
        <v>532.98315279999997</v>
      </c>
      <c r="C934" s="12">
        <v>-6.8040961512950693E-3</v>
      </c>
      <c r="D934" s="12">
        <f t="shared" si="70"/>
        <v>-8.7227510695894912E-5</v>
      </c>
      <c r="E934" s="11">
        <f t="shared" si="71"/>
        <v>-6.7168686405991744E-3</v>
      </c>
      <c r="F934">
        <f t="shared" si="74"/>
        <v>1.4632264882322936E-2</v>
      </c>
      <c r="G934">
        <f t="shared" si="72"/>
        <v>-0.45904504153104436</v>
      </c>
      <c r="H934">
        <f t="shared" si="73"/>
        <v>3.2002265568284707</v>
      </c>
    </row>
    <row r="935" spans="1:8" x14ac:dyDescent="0.25">
      <c r="A935" s="13">
        <v>41621</v>
      </c>
      <c r="B935">
        <v>528.41527380000002</v>
      </c>
      <c r="C935" s="12">
        <v>-8.5704003513109583E-3</v>
      </c>
      <c r="D935" s="12">
        <f t="shared" si="70"/>
        <v>-1.2037218628256722E-4</v>
      </c>
      <c r="E935" s="11">
        <f t="shared" si="71"/>
        <v>-8.4500281650283903E-3</v>
      </c>
      <c r="F935">
        <f t="shared" si="74"/>
        <v>1.461067467023097E-2</v>
      </c>
      <c r="G935">
        <f t="shared" si="72"/>
        <v>-0.57834619931995312</v>
      </c>
      <c r="H935">
        <f t="shared" si="73"/>
        <v>3.1398221792865675</v>
      </c>
    </row>
    <row r="936" spans="1:8" x14ac:dyDescent="0.25">
      <c r="A936" s="13">
        <v>41624</v>
      </c>
      <c r="B936">
        <v>534.48754989999998</v>
      </c>
      <c r="C936" s="12">
        <v>1.1491484824676546E-2</v>
      </c>
      <c r="D936" s="12">
        <f t="shared" si="70"/>
        <v>-1.4711084731592919E-4</v>
      </c>
      <c r="E936" s="11">
        <f t="shared" si="71"/>
        <v>1.1638595671992475E-2</v>
      </c>
      <c r="F936">
        <f t="shared" si="74"/>
        <v>1.4865915716150837E-2</v>
      </c>
      <c r="G936">
        <f t="shared" si="72"/>
        <v>0.78290472610092288</v>
      </c>
      <c r="H936">
        <f t="shared" si="73"/>
        <v>2.9832757839863029</v>
      </c>
    </row>
    <row r="937" spans="1:8" x14ac:dyDescent="0.25">
      <c r="A937" s="13">
        <v>41625</v>
      </c>
      <c r="B937">
        <v>532.93334800000002</v>
      </c>
      <c r="C937" s="12">
        <v>-2.907835552560134E-3</v>
      </c>
      <c r="D937" s="12">
        <f t="shared" si="70"/>
        <v>1.5177928744341125E-4</v>
      </c>
      <c r="E937" s="11">
        <f t="shared" si="71"/>
        <v>-3.0596148400035455E-3</v>
      </c>
      <c r="F937">
        <f t="shared" si="74"/>
        <v>1.5452606679744697E-2</v>
      </c>
      <c r="G937">
        <f t="shared" si="72"/>
        <v>-0.19799991699873484</v>
      </c>
      <c r="H937">
        <f t="shared" si="73"/>
        <v>3.231437055963513</v>
      </c>
    </row>
    <row r="938" spans="1:8" x14ac:dyDescent="0.25">
      <c r="A938" s="13">
        <v>41626</v>
      </c>
      <c r="B938">
        <v>540.35053600000003</v>
      </c>
      <c r="C938" s="12">
        <v>1.3917665366288912E-2</v>
      </c>
      <c r="D938" s="12">
        <f t="shared" si="70"/>
        <v>-1.4447282400702794E-5</v>
      </c>
      <c r="E938" s="11">
        <f t="shared" si="71"/>
        <v>1.3932112648689614E-2</v>
      </c>
      <c r="F938">
        <f t="shared" si="74"/>
        <v>1.4329473707255529E-2</v>
      </c>
      <c r="G938">
        <f t="shared" si="72"/>
        <v>0.97226966832949935</v>
      </c>
      <c r="H938">
        <f t="shared" si="73"/>
        <v>2.8538440772745761</v>
      </c>
    </row>
    <row r="939" spans="1:8" x14ac:dyDescent="0.25">
      <c r="A939" s="13">
        <v>41627</v>
      </c>
      <c r="B939">
        <v>541.08283719999997</v>
      </c>
      <c r="C939" s="12">
        <v>1.3552335959927664E-3</v>
      </c>
      <c r="D939" s="12">
        <f t="shared" si="70"/>
        <v>2.0302710672971189E-4</v>
      </c>
      <c r="E939" s="11">
        <f t="shared" si="71"/>
        <v>1.1522064892630546E-3</v>
      </c>
      <c r="F939">
        <f t="shared" si="74"/>
        <v>1.6051333442352222E-2</v>
      </c>
      <c r="G939">
        <f t="shared" si="72"/>
        <v>7.1782602573248019E-2</v>
      </c>
      <c r="H939">
        <f t="shared" si="73"/>
        <v>3.2104484481159523</v>
      </c>
    </row>
    <row r="940" spans="1:8" x14ac:dyDescent="0.25">
      <c r="A940" s="13">
        <v>41628</v>
      </c>
      <c r="B940">
        <v>548.25594509999996</v>
      </c>
      <c r="C940" s="12">
        <v>1.3256949595961132E-2</v>
      </c>
      <c r="D940" s="12">
        <f t="shared" si="70"/>
        <v>5.6265465289246033E-5</v>
      </c>
      <c r="E940" s="11">
        <f t="shared" si="71"/>
        <v>1.3200684130671885E-2</v>
      </c>
      <c r="F940">
        <f t="shared" si="74"/>
        <v>1.4319939923219059E-2</v>
      </c>
      <c r="G940">
        <f t="shared" si="72"/>
        <v>0.92183935138356576</v>
      </c>
      <c r="H940">
        <f t="shared" si="73"/>
        <v>2.9022698846800603</v>
      </c>
    </row>
    <row r="941" spans="1:8" x14ac:dyDescent="0.25">
      <c r="A941" s="13">
        <v>41631</v>
      </c>
      <c r="B941">
        <v>555.46890919999998</v>
      </c>
      <c r="C941" s="12">
        <v>1.3156198604803881E-2</v>
      </c>
      <c r="D941" s="12">
        <f t="shared" si="70"/>
        <v>2.0398996030191943E-4</v>
      </c>
      <c r="E941" s="11">
        <f t="shared" si="71"/>
        <v>1.2952208644501962E-2</v>
      </c>
      <c r="F941">
        <f t="shared" si="74"/>
        <v>1.5867116527613283E-2</v>
      </c>
      <c r="G941">
        <f t="shared" si="72"/>
        <v>0.81629252687225462</v>
      </c>
      <c r="H941">
        <f t="shared" si="73"/>
        <v>2.8914011763157119</v>
      </c>
    </row>
    <row r="942" spans="1:8" x14ac:dyDescent="0.25">
      <c r="A942" s="13">
        <v>41632</v>
      </c>
      <c r="B942">
        <v>553.84500500000001</v>
      </c>
      <c r="C942" s="12">
        <v>-2.9234835165459216E-3</v>
      </c>
      <c r="D942" s="12">
        <f t="shared" si="70"/>
        <v>2.3305320079829495E-4</v>
      </c>
      <c r="E942" s="11">
        <f t="shared" si="71"/>
        <v>-3.1565367173442167E-3</v>
      </c>
      <c r="F942">
        <f t="shared" si="74"/>
        <v>1.5652910024872128E-2</v>
      </c>
      <c r="G942">
        <f t="shared" si="72"/>
        <v>-0.20165813975347394</v>
      </c>
      <c r="H942">
        <f t="shared" si="73"/>
        <v>3.2178268993310581</v>
      </c>
    </row>
    <row r="943" spans="1:8" x14ac:dyDescent="0.25">
      <c r="A943" s="13">
        <v>41634</v>
      </c>
      <c r="B943">
        <v>556.64450920000002</v>
      </c>
      <c r="C943" s="12">
        <v>5.0546708460428302E-3</v>
      </c>
      <c r="D943" s="12">
        <f t="shared" si="70"/>
        <v>-1.0405686418499846E-5</v>
      </c>
      <c r="E943" s="11">
        <f t="shared" si="71"/>
        <v>5.0650765324613302E-3</v>
      </c>
      <c r="F943">
        <f t="shared" si="74"/>
        <v>1.4353482862077745E-2</v>
      </c>
      <c r="G943">
        <f t="shared" si="72"/>
        <v>0.35288135856164826</v>
      </c>
      <c r="H943">
        <f t="shared" si="73"/>
        <v>3.2625614982518099</v>
      </c>
    </row>
    <row r="944" spans="1:8" x14ac:dyDescent="0.25">
      <c r="A944" s="13">
        <v>41635</v>
      </c>
      <c r="B944">
        <v>557.11277159999997</v>
      </c>
      <c r="C944" s="12">
        <v>8.4122342403580852E-4</v>
      </c>
      <c r="D944" s="12">
        <f t="shared" si="70"/>
        <v>6.8936983636387259E-5</v>
      </c>
      <c r="E944" s="11">
        <f t="shared" si="71"/>
        <v>7.7228644039942121E-4</v>
      </c>
      <c r="F944">
        <f t="shared" si="74"/>
        <v>1.4401825032300369E-2</v>
      </c>
      <c r="G944">
        <f t="shared" si="72"/>
        <v>5.3624206561830846E-2</v>
      </c>
      <c r="H944">
        <f t="shared" si="73"/>
        <v>3.3200240311072506</v>
      </c>
    </row>
    <row r="945" spans="1:8" x14ac:dyDescent="0.25">
      <c r="A945" s="13">
        <v>41638</v>
      </c>
      <c r="B945">
        <v>552.65945620000002</v>
      </c>
      <c r="C945" s="12">
        <v>-7.9935618550087684E-3</v>
      </c>
      <c r="D945" s="12">
        <f t="shared" si="70"/>
        <v>2.5713588690885409E-5</v>
      </c>
      <c r="E945" s="11">
        <f t="shared" si="71"/>
        <v>-8.0192754436996545E-3</v>
      </c>
      <c r="F945">
        <f t="shared" si="74"/>
        <v>1.4145364028852291E-2</v>
      </c>
      <c r="G945">
        <f t="shared" si="72"/>
        <v>-0.56691898683856723</v>
      </c>
      <c r="H945">
        <f t="shared" si="73"/>
        <v>3.1787312370215752</v>
      </c>
    </row>
    <row r="946" spans="1:8" x14ac:dyDescent="0.25">
      <c r="A946" s="13">
        <v>41639</v>
      </c>
      <c r="B946">
        <v>558.26346950000004</v>
      </c>
      <c r="C946" s="12">
        <v>1.01400839832404E-2</v>
      </c>
      <c r="D946" s="12">
        <f t="shared" si="70"/>
        <v>-1.1873810220272846E-4</v>
      </c>
      <c r="E946" s="11">
        <f t="shared" si="71"/>
        <v>1.0258822085443129E-2</v>
      </c>
      <c r="F946">
        <f t="shared" si="74"/>
        <v>1.4795503719416918E-2</v>
      </c>
      <c r="G946">
        <f t="shared" si="72"/>
        <v>0.69337430343651885</v>
      </c>
      <c r="H946">
        <f t="shared" si="73"/>
        <v>3.0541094515738578</v>
      </c>
    </row>
    <row r="947" spans="1:8" x14ac:dyDescent="0.25">
      <c r="A947" s="13">
        <v>41641</v>
      </c>
      <c r="B947">
        <v>554.48264040000004</v>
      </c>
      <c r="C947" s="12">
        <v>-6.7724816445293712E-3</v>
      </c>
      <c r="D947" s="12">
        <f t="shared" si="70"/>
        <v>1.32822247714631E-4</v>
      </c>
      <c r="E947" s="11">
        <f t="shared" si="71"/>
        <v>-6.9053038922440024E-3</v>
      </c>
      <c r="F947">
        <f t="shared" si="74"/>
        <v>1.5181651145516045E-2</v>
      </c>
      <c r="G947">
        <f t="shared" si="72"/>
        <v>-0.45484538052262574</v>
      </c>
      <c r="H947">
        <f t="shared" si="73"/>
        <v>3.1652870485193789</v>
      </c>
    </row>
    <row r="948" spans="1:8" x14ac:dyDescent="0.25">
      <c r="A948" s="13">
        <v>41642</v>
      </c>
      <c r="B948">
        <v>550.43777260000002</v>
      </c>
      <c r="C948" s="12">
        <v>-7.2948501996060733E-3</v>
      </c>
      <c r="D948" s="12">
        <f t="shared" si="70"/>
        <v>-7.6371858203756315E-5</v>
      </c>
      <c r="E948" s="11">
        <f t="shared" si="71"/>
        <v>-7.2184783414023165E-3</v>
      </c>
      <c r="F948">
        <f t="shared" si="74"/>
        <v>1.4656447900434843E-2</v>
      </c>
      <c r="G948">
        <f t="shared" si="72"/>
        <v>-0.49251212779790604</v>
      </c>
      <c r="H948">
        <f t="shared" si="73"/>
        <v>3.1826522794065384</v>
      </c>
    </row>
    <row r="949" spans="1:8" x14ac:dyDescent="0.25">
      <c r="A949" s="13">
        <v>41645</v>
      </c>
      <c r="B949">
        <v>556.57480699999996</v>
      </c>
      <c r="C949" s="12">
        <v>1.1149370020541172E-2</v>
      </c>
      <c r="D949" s="12">
        <f t="shared" si="70"/>
        <v>-1.2773731794036685E-4</v>
      </c>
      <c r="E949" s="11">
        <f t="shared" si="71"/>
        <v>1.1277107338481538E-2</v>
      </c>
      <c r="F949">
        <f t="shared" si="74"/>
        <v>1.4679628124334635E-2</v>
      </c>
      <c r="G949">
        <f t="shared" si="72"/>
        <v>0.76821478330144555</v>
      </c>
      <c r="H949">
        <f t="shared" si="73"/>
        <v>3.0072790784003081</v>
      </c>
    </row>
    <row r="950" spans="1:8" x14ac:dyDescent="0.25">
      <c r="A950" s="13">
        <v>41646</v>
      </c>
      <c r="B950">
        <v>567.30456170000002</v>
      </c>
      <c r="C950" s="12">
        <v>1.9278189679181823E-2</v>
      </c>
      <c r="D950" s="12">
        <f t="shared" si="70"/>
        <v>1.4988303940626543E-4</v>
      </c>
      <c r="E950" s="11">
        <f t="shared" si="71"/>
        <v>1.9128306639775557E-2</v>
      </c>
      <c r="F950">
        <f t="shared" si="74"/>
        <v>1.5390175412852954E-2</v>
      </c>
      <c r="G950">
        <f t="shared" si="72"/>
        <v>1.2428907485876177</v>
      </c>
      <c r="H950">
        <f t="shared" si="73"/>
        <v>2.4826986936830915</v>
      </c>
    </row>
    <row r="951" spans="1:8" x14ac:dyDescent="0.25">
      <c r="A951" s="13">
        <v>41647</v>
      </c>
      <c r="B951">
        <v>568.48516649999999</v>
      </c>
      <c r="C951" s="12">
        <v>2.0810775722692743E-3</v>
      </c>
      <c r="D951" s="12">
        <f t="shared" si="70"/>
        <v>3.2022990517290289E-4</v>
      </c>
      <c r="E951" s="11">
        <f t="shared" si="71"/>
        <v>1.7608476670963715E-3</v>
      </c>
      <c r="F951">
        <f t="shared" si="74"/>
        <v>1.7245658248990676E-2</v>
      </c>
      <c r="G951">
        <f t="shared" si="72"/>
        <v>0.10210382472350264</v>
      </c>
      <c r="H951">
        <f t="shared" si="73"/>
        <v>3.1360437341798786</v>
      </c>
    </row>
    <row r="952" spans="1:8" x14ac:dyDescent="0.25">
      <c r="A952" s="13">
        <v>41648</v>
      </c>
      <c r="B952">
        <v>563.01066979999996</v>
      </c>
      <c r="C952" s="12">
        <v>-9.6299728165378795E-3</v>
      </c>
      <c r="D952" s="12">
        <f t="shared" si="70"/>
        <v>8.102001195315386E-5</v>
      </c>
      <c r="E952" s="11">
        <f t="shared" si="71"/>
        <v>-9.7109928284910326E-3</v>
      </c>
      <c r="F952">
        <f t="shared" si="74"/>
        <v>1.446400237332353E-2</v>
      </c>
      <c r="G952">
        <f t="shared" si="72"/>
        <v>-0.67139043384017683</v>
      </c>
      <c r="H952">
        <f t="shared" si="73"/>
        <v>3.0917712207167387</v>
      </c>
    </row>
    <row r="953" spans="1:8" x14ac:dyDescent="0.25">
      <c r="A953" s="13">
        <v>41649</v>
      </c>
      <c r="B953">
        <v>562.98076289999995</v>
      </c>
      <c r="C953" s="12">
        <v>-5.3119597201667368E-5</v>
      </c>
      <c r="D953" s="12">
        <f t="shared" si="70"/>
        <v>-1.403018961805851E-4</v>
      </c>
      <c r="E953" s="11">
        <f t="shared" si="71"/>
        <v>8.7182298978917734E-5</v>
      </c>
      <c r="F953">
        <f t="shared" si="74"/>
        <v>1.5090106359347039E-2</v>
      </c>
      <c r="G953">
        <f t="shared" si="72"/>
        <v>5.7774476138742195E-3</v>
      </c>
      <c r="H953">
        <f t="shared" si="73"/>
        <v>3.2747607352389432</v>
      </c>
    </row>
    <row r="954" spans="1:8" x14ac:dyDescent="0.25">
      <c r="A954" s="13">
        <v>41652</v>
      </c>
      <c r="B954">
        <v>559.39420870000004</v>
      </c>
      <c r="C954" s="12">
        <v>-6.3706514260363223E-3</v>
      </c>
      <c r="D954" s="12">
        <f t="shared" si="70"/>
        <v>-2.5552168694558355E-5</v>
      </c>
      <c r="E954" s="11">
        <f t="shared" si="71"/>
        <v>-6.3450992573417641E-3</v>
      </c>
      <c r="F954">
        <f t="shared" si="74"/>
        <v>1.4208055655614496E-2</v>
      </c>
      <c r="G954">
        <f t="shared" si="72"/>
        <v>-0.44658462854728587</v>
      </c>
      <c r="H954">
        <f t="shared" si="73"/>
        <v>3.2352887271053667</v>
      </c>
    </row>
    <row r="955" spans="1:8" x14ac:dyDescent="0.25">
      <c r="A955" s="13">
        <v>41653</v>
      </c>
      <c r="B955">
        <v>572.554937</v>
      </c>
      <c r="C955" s="12">
        <v>2.3526751073424057E-2</v>
      </c>
      <c r="D955" s="12">
        <f t="shared" si="70"/>
        <v>-9.6490545767317779E-5</v>
      </c>
      <c r="E955" s="11">
        <f t="shared" si="71"/>
        <v>2.3623241619191375E-2</v>
      </c>
      <c r="F955">
        <f t="shared" si="74"/>
        <v>1.4546613586053745E-2</v>
      </c>
      <c r="G955">
        <f t="shared" si="72"/>
        <v>1.6239684569499842</v>
      </c>
      <c r="H955">
        <f t="shared" si="73"/>
        <v>1.992821747891161</v>
      </c>
    </row>
    <row r="956" spans="1:8" x14ac:dyDescent="0.25">
      <c r="A956" s="13">
        <v>41654</v>
      </c>
      <c r="B956">
        <v>572.16638639999996</v>
      </c>
      <c r="C956" s="12">
        <v>-6.7862588354561382E-4</v>
      </c>
      <c r="D956" s="12">
        <f t="shared" si="70"/>
        <v>3.3946206464072101E-4</v>
      </c>
      <c r="E956" s="11">
        <f t="shared" si="71"/>
        <v>-1.0180879481863348E-3</v>
      </c>
      <c r="F956">
        <f t="shared" si="74"/>
        <v>1.9024579422161052E-2</v>
      </c>
      <c r="G956">
        <f t="shared" si="72"/>
        <v>-5.3514347181856776E-2</v>
      </c>
      <c r="H956">
        <f t="shared" si="73"/>
        <v>3.0416530561850372</v>
      </c>
    </row>
    <row r="957" spans="1:8" x14ac:dyDescent="0.25">
      <c r="A957" s="13">
        <v>41655</v>
      </c>
      <c r="B957">
        <v>575.95215940000003</v>
      </c>
      <c r="C957" s="12">
        <v>6.6165596057112808E-3</v>
      </c>
      <c r="D957" s="12">
        <f t="shared" si="70"/>
        <v>5.0199075241281587E-5</v>
      </c>
      <c r="E957" s="11">
        <f t="shared" si="71"/>
        <v>6.5663605304699989E-3</v>
      </c>
      <c r="F957">
        <f t="shared" si="74"/>
        <v>1.4661093983434183E-2</v>
      </c>
      <c r="G957">
        <f t="shared" si="72"/>
        <v>0.44787657305037676</v>
      </c>
      <c r="H957">
        <f t="shared" si="73"/>
        <v>3.2033227160600268</v>
      </c>
    </row>
    <row r="958" spans="1:8" x14ac:dyDescent="0.25">
      <c r="A958" s="13">
        <v>41656</v>
      </c>
      <c r="B958">
        <v>573.11780380000005</v>
      </c>
      <c r="C958" s="12">
        <v>-4.9211649852179962E-3</v>
      </c>
      <c r="D958" s="12">
        <f t="shared" si="70"/>
        <v>9.8329262215092169E-5</v>
      </c>
      <c r="E958" s="11">
        <f t="shared" si="71"/>
        <v>-5.0194942474330881E-3</v>
      </c>
      <c r="F958">
        <f t="shared" si="74"/>
        <v>1.4592199781403121E-2</v>
      </c>
      <c r="G958">
        <f t="shared" si="72"/>
        <v>-0.34398475367847764</v>
      </c>
      <c r="H958">
        <f t="shared" si="73"/>
        <v>3.2491668659978368</v>
      </c>
    </row>
    <row r="959" spans="1:8" x14ac:dyDescent="0.25">
      <c r="A959" s="13">
        <v>41660</v>
      </c>
      <c r="B959">
        <v>579.67824010000004</v>
      </c>
      <c r="C959" s="12">
        <v>1.1446924622654731E-2</v>
      </c>
      <c r="D959" s="12">
        <f t="shared" si="70"/>
        <v>-5.7426652020768955E-5</v>
      </c>
      <c r="E959" s="11">
        <f t="shared" si="71"/>
        <v>1.1504351274675499E-2</v>
      </c>
      <c r="F959">
        <f t="shared" si="74"/>
        <v>1.4411696756685327E-2</v>
      </c>
      <c r="G959">
        <f t="shared" si="72"/>
        <v>0.79826487254797651</v>
      </c>
      <c r="H959">
        <f t="shared" si="73"/>
        <v>3.0021631907702928</v>
      </c>
    </row>
    <row r="960" spans="1:8" x14ac:dyDescent="0.25">
      <c r="A960" s="13">
        <v>41661</v>
      </c>
      <c r="B960">
        <v>580.33577309999998</v>
      </c>
      <c r="C960" s="12">
        <v>1.1343068525162536E-3</v>
      </c>
      <c r="D960" s="12">
        <f t="shared" si="70"/>
        <v>1.6048375840522081E-4</v>
      </c>
      <c r="E960" s="11">
        <f t="shared" si="71"/>
        <v>9.7382309411103284E-4</v>
      </c>
      <c r="F960">
        <f t="shared" si="74"/>
        <v>1.545939113420868E-2</v>
      </c>
      <c r="G960">
        <f t="shared" si="72"/>
        <v>6.2992331693849726E-2</v>
      </c>
      <c r="H960">
        <f t="shared" si="73"/>
        <v>3.2486160697658915</v>
      </c>
    </row>
    <row r="961" spans="1:8" x14ac:dyDescent="0.25">
      <c r="A961" s="13">
        <v>41662</v>
      </c>
      <c r="B961">
        <v>577.88496329999998</v>
      </c>
      <c r="C961" s="12">
        <v>-4.223089310707917E-3</v>
      </c>
      <c r="D961" s="12">
        <f t="shared" si="70"/>
        <v>4.6574287811341774E-5</v>
      </c>
      <c r="E961" s="11">
        <f t="shared" si="71"/>
        <v>-4.2696635985192584E-3</v>
      </c>
      <c r="F961">
        <f t="shared" si="74"/>
        <v>1.4254636591833274E-2</v>
      </c>
      <c r="G961">
        <f t="shared" si="72"/>
        <v>-0.29952805678437444</v>
      </c>
      <c r="H961">
        <f t="shared" si="73"/>
        <v>3.2868759887197223</v>
      </c>
    </row>
    <row r="962" spans="1:8" x14ac:dyDescent="0.25">
      <c r="A962" s="13">
        <v>41663</v>
      </c>
      <c r="B962">
        <v>559.81761019999999</v>
      </c>
      <c r="C962" s="12">
        <v>-3.1264618821065571E-2</v>
      </c>
      <c r="D962" s="12">
        <f t="shared" si="70"/>
        <v>-6.0957715858121972E-5</v>
      </c>
      <c r="E962" s="11">
        <f t="shared" si="71"/>
        <v>-3.1203661105207448E-2</v>
      </c>
      <c r="F962">
        <f t="shared" si="74"/>
        <v>1.4318085432808761E-2</v>
      </c>
      <c r="G962">
        <f t="shared" si="72"/>
        <v>-2.1793179857487597</v>
      </c>
      <c r="H962">
        <f t="shared" si="73"/>
        <v>0.95257985050563798</v>
      </c>
    </row>
    <row r="963" spans="1:8" x14ac:dyDescent="0.25">
      <c r="A963" s="13">
        <v>41666</v>
      </c>
      <c r="B963">
        <v>548.55977829999995</v>
      </c>
      <c r="C963" s="12">
        <v>-2.0109820939677281E-2</v>
      </c>
      <c r="D963" s="12">
        <f t="shared" si="70"/>
        <v>-4.8372040437338426E-4</v>
      </c>
      <c r="E963" s="11">
        <f t="shared" si="71"/>
        <v>-1.9626100535303895E-2</v>
      </c>
      <c r="F963">
        <f t="shared" si="74"/>
        <v>2.2152576960122041E-2</v>
      </c>
      <c r="G963">
        <f t="shared" si="72"/>
        <v>-0.88595112752046035</v>
      </c>
      <c r="H963">
        <f t="shared" si="73"/>
        <v>2.4984082145612931</v>
      </c>
    </row>
    <row r="964" spans="1:8" x14ac:dyDescent="0.25">
      <c r="A964" s="13">
        <v>41667</v>
      </c>
      <c r="B964">
        <v>559.4091621</v>
      </c>
      <c r="C964" s="12">
        <v>1.9777942585624153E-2</v>
      </c>
      <c r="D964" s="12">
        <f t="shared" si="70"/>
        <v>-3.8450366597688271E-4</v>
      </c>
      <c r="E964" s="11">
        <f t="shared" si="71"/>
        <v>2.0162446251601036E-2</v>
      </c>
      <c r="F964">
        <f t="shared" si="74"/>
        <v>1.6590867006242075E-2</v>
      </c>
      <c r="G964">
        <f t="shared" si="72"/>
        <v>1.2152738156490077</v>
      </c>
      <c r="H964">
        <f t="shared" si="73"/>
        <v>2.4415191586655234</v>
      </c>
    </row>
    <row r="965" spans="1:8" x14ac:dyDescent="0.25">
      <c r="A965" s="13">
        <v>41668</v>
      </c>
      <c r="B965">
        <v>551.39419520000001</v>
      </c>
      <c r="C965" s="12">
        <v>-1.4327557435620308E-2</v>
      </c>
      <c r="D965" s="12">
        <f t="shared" si="70"/>
        <v>2.4745328712144708E-4</v>
      </c>
      <c r="E965" s="11">
        <f t="shared" si="71"/>
        <v>-1.4575010722741755E-2</v>
      </c>
      <c r="F965">
        <f t="shared" si="74"/>
        <v>1.7232078989462381E-2</v>
      </c>
      <c r="G965">
        <f t="shared" si="72"/>
        <v>-0.84580686588394494</v>
      </c>
      <c r="H965">
        <f t="shared" si="73"/>
        <v>2.7843494143032768</v>
      </c>
    </row>
    <row r="966" spans="1:8" x14ac:dyDescent="0.25">
      <c r="A966" s="13">
        <v>41669</v>
      </c>
      <c r="B966">
        <v>565.57604309999999</v>
      </c>
      <c r="C966" s="12">
        <v>2.5719980412300059E-2</v>
      </c>
      <c r="D966" s="12">
        <f t="shared" ref="D966:D1029" si="75">+C965*$K$11+C964*$K$10</f>
        <v>-1.6587090296072072E-4</v>
      </c>
      <c r="E966" s="11">
        <f t="shared" ref="E966:E1029" si="76">C966-D966</f>
        <v>2.5885851315260781E-2</v>
      </c>
      <c r="F966">
        <f t="shared" si="74"/>
        <v>1.5885959926532016E-2</v>
      </c>
      <c r="G966">
        <f t="shared" ref="G966:G1029" si="77">E966/F966</f>
        <v>1.6294798321898947</v>
      </c>
      <c r="H966">
        <f t="shared" ref="H966:H1029" si="78">1/2*(-LN(PI()*2)-2*LN(F966)-(E966/F966)^2)</f>
        <v>1.8957787883779267</v>
      </c>
    </row>
    <row r="967" spans="1:8" x14ac:dyDescent="0.25">
      <c r="A967" s="13">
        <v>41670</v>
      </c>
      <c r="B967">
        <v>588.28097700000001</v>
      </c>
      <c r="C967" s="12">
        <v>4.0144794280095653E-2</v>
      </c>
      <c r="D967" s="12">
        <f t="shared" si="75"/>
        <v>3.5218492607106224E-4</v>
      </c>
      <c r="E967" s="11">
        <f t="shared" si="76"/>
        <v>3.9792609354024587E-2</v>
      </c>
      <c r="F967">
        <f t="shared" ref="F967:F1030" si="79">SQRT($K$6+$K$7*G966^2+$K$8*F966^2)</f>
        <v>1.9156003089314012E-2</v>
      </c>
      <c r="G967">
        <f t="shared" si="77"/>
        <v>2.0772918634692905</v>
      </c>
      <c r="H967">
        <f t="shared" si="78"/>
        <v>0.87862985900790402</v>
      </c>
    </row>
    <row r="968" spans="1:8" x14ac:dyDescent="0.25">
      <c r="A968" s="13">
        <v>41673</v>
      </c>
      <c r="B968">
        <v>564.59972310000001</v>
      </c>
      <c r="C968" s="12">
        <v>-4.025500539005189E-2</v>
      </c>
      <c r="D968" s="12">
        <f t="shared" si="75"/>
        <v>6.7327655816355042E-4</v>
      </c>
      <c r="E968" s="11">
        <f t="shared" si="76"/>
        <v>-4.0928281948215441E-2</v>
      </c>
      <c r="F968">
        <f t="shared" si="79"/>
        <v>2.1901910908352105E-2</v>
      </c>
      <c r="G968">
        <f t="shared" si="77"/>
        <v>-1.8687082656613214</v>
      </c>
      <c r="H968">
        <f t="shared" si="78"/>
        <v>1.156207565596991</v>
      </c>
    </row>
    <row r="969" spans="1:8" x14ac:dyDescent="0.25">
      <c r="A969" s="13">
        <v>41674</v>
      </c>
      <c r="B969">
        <v>566.95586719999994</v>
      </c>
      <c r="C969" s="12">
        <v>4.1731230172470379E-3</v>
      </c>
      <c r="D969" s="12">
        <f t="shared" si="75"/>
        <v>-5.0567289624142849E-4</v>
      </c>
      <c r="E969" s="11">
        <f t="shared" si="76"/>
        <v>4.6787959134884666E-3</v>
      </c>
      <c r="F969">
        <f t="shared" si="79"/>
        <v>2.0978428292123097E-2</v>
      </c>
      <c r="G969">
        <f t="shared" si="77"/>
        <v>0.22302890609041687</v>
      </c>
      <c r="H969">
        <f t="shared" si="78"/>
        <v>2.9204511137190585</v>
      </c>
    </row>
    <row r="970" spans="1:8" x14ac:dyDescent="0.25">
      <c r="A970" s="13">
        <v>41675</v>
      </c>
      <c r="B970">
        <v>569.46649179999997</v>
      </c>
      <c r="C970" s="12">
        <v>4.4282540233671064E-3</v>
      </c>
      <c r="D970" s="12">
        <f t="shared" si="75"/>
        <v>-4.0337073695205283E-5</v>
      </c>
      <c r="E970" s="11">
        <f t="shared" si="76"/>
        <v>4.4685910970623114E-3</v>
      </c>
      <c r="F970">
        <f t="shared" si="79"/>
        <v>1.5011175878038499E-2</v>
      </c>
      <c r="G970">
        <f t="shared" si="77"/>
        <v>0.29768428092298249</v>
      </c>
      <c r="H970">
        <f t="shared" si="78"/>
        <v>3.2357137980033621</v>
      </c>
    </row>
    <row r="971" spans="1:8" x14ac:dyDescent="0.25">
      <c r="A971" s="13">
        <v>41676</v>
      </c>
      <c r="B971">
        <v>577.81519979999996</v>
      </c>
      <c r="C971" s="12">
        <v>1.4660578137988267E-2</v>
      </c>
      <c r="D971" s="12">
        <f t="shared" si="75"/>
        <v>7.7700706892698068E-5</v>
      </c>
      <c r="E971" s="11">
        <f t="shared" si="76"/>
        <v>1.4582877431095568E-2</v>
      </c>
      <c r="F971">
        <f t="shared" si="79"/>
        <v>1.4389888525826474E-2</v>
      </c>
      <c r="G971">
        <f t="shared" si="77"/>
        <v>1.0134114246210264</v>
      </c>
      <c r="H971">
        <f t="shared" si="78"/>
        <v>2.808789613773647</v>
      </c>
    </row>
    <row r="972" spans="1:8" x14ac:dyDescent="0.25">
      <c r="A972" s="13">
        <v>41677</v>
      </c>
      <c r="B972">
        <v>586.52255100000002</v>
      </c>
      <c r="C972" s="12">
        <v>1.5069439507672922E-2</v>
      </c>
      <c r="D972" s="12">
        <f t="shared" si="75"/>
        <v>2.3311695905166624E-4</v>
      </c>
      <c r="E972" s="11">
        <f t="shared" si="76"/>
        <v>1.4836322548621255E-2</v>
      </c>
      <c r="F972">
        <f t="shared" si="79"/>
        <v>1.6211677882462666E-2</v>
      </c>
      <c r="G972">
        <f t="shared" si="77"/>
        <v>0.91516267817477226</v>
      </c>
      <c r="H972">
        <f t="shared" si="78"/>
        <v>2.784323542527547</v>
      </c>
    </row>
    <row r="973" spans="1:8" x14ac:dyDescent="0.25">
      <c r="A973" s="13">
        <v>41680</v>
      </c>
      <c r="B973">
        <v>584.27596519999997</v>
      </c>
      <c r="C973" s="12">
        <v>-3.8303485452856334E-3</v>
      </c>
      <c r="D973" s="12">
        <f t="shared" si="75"/>
        <v>2.6559763174682696E-4</v>
      </c>
      <c r="E973" s="11">
        <f t="shared" si="76"/>
        <v>-4.0959461770324604E-3</v>
      </c>
      <c r="F973">
        <f t="shared" si="79"/>
        <v>1.6017711919941714E-2</v>
      </c>
      <c r="G973">
        <f t="shared" si="77"/>
        <v>-0.25571356243041765</v>
      </c>
      <c r="H973">
        <f t="shared" si="78"/>
        <v>3.1824269278030504</v>
      </c>
    </row>
    <row r="974" spans="1:8" x14ac:dyDescent="0.25">
      <c r="A974" s="13">
        <v>41681</v>
      </c>
      <c r="B974">
        <v>592.86881459999995</v>
      </c>
      <c r="C974" s="12">
        <v>1.4706833605689473E-2</v>
      </c>
      <c r="D974" s="12">
        <f t="shared" si="75"/>
        <v>-1.9204751027335707E-5</v>
      </c>
      <c r="E974" s="11">
        <f t="shared" si="76"/>
        <v>1.4726038356716809E-2</v>
      </c>
      <c r="F974">
        <f t="shared" si="79"/>
        <v>1.4444667371406039E-2</v>
      </c>
      <c r="G974">
        <f t="shared" si="77"/>
        <v>1.0194792291214514</v>
      </c>
      <c r="H974">
        <f t="shared" si="78"/>
        <v>2.7988224900671277</v>
      </c>
    </row>
    <row r="975" spans="1:8" x14ac:dyDescent="0.25">
      <c r="A975" s="13">
        <v>41682</v>
      </c>
      <c r="B975">
        <v>591.13028610000003</v>
      </c>
      <c r="C975" s="12">
        <v>-2.9323999798722689E-3</v>
      </c>
      <c r="D975" s="12">
        <f t="shared" si="75"/>
        <v>2.1259218781755675E-4</v>
      </c>
      <c r="E975" s="11">
        <f t="shared" si="76"/>
        <v>-3.1449921676898257E-3</v>
      </c>
      <c r="F975">
        <f t="shared" si="79"/>
        <v>1.6239651760088795E-2</v>
      </c>
      <c r="G975">
        <f t="shared" si="77"/>
        <v>-0.19366130592892897</v>
      </c>
      <c r="H975">
        <f t="shared" si="78"/>
        <v>3.1826085039110814</v>
      </c>
    </row>
    <row r="976" spans="1:8" x14ac:dyDescent="0.25">
      <c r="A976" s="13">
        <v>41683</v>
      </c>
      <c r="B976">
        <v>597.71068060000005</v>
      </c>
      <c r="C976" s="12">
        <v>1.1131885228575111E-2</v>
      </c>
      <c r="D976" s="12">
        <f t="shared" si="75"/>
        <v>-6.5554578477200782E-6</v>
      </c>
      <c r="E976" s="11">
        <f t="shared" si="76"/>
        <v>1.1138440686422831E-2</v>
      </c>
      <c r="F976">
        <f t="shared" si="79"/>
        <v>1.4409300445176946E-2</v>
      </c>
      <c r="G976">
        <f t="shared" si="77"/>
        <v>0.77300357007623288</v>
      </c>
      <c r="H976">
        <f t="shared" si="78"/>
        <v>3.022175623752362</v>
      </c>
    </row>
    <row r="977" spans="1:8" x14ac:dyDescent="0.25">
      <c r="A977" s="13">
        <v>41684</v>
      </c>
      <c r="B977">
        <v>599.15526299999999</v>
      </c>
      <c r="C977" s="12">
        <v>2.4168589367514759E-3</v>
      </c>
      <c r="D977" s="12">
        <f t="shared" si="75"/>
        <v>1.608299587149943E-4</v>
      </c>
      <c r="E977" s="11">
        <f t="shared" si="76"/>
        <v>2.2560289780364814E-3</v>
      </c>
      <c r="F977">
        <f t="shared" si="79"/>
        <v>1.5380303126979102E-2</v>
      </c>
      <c r="G977">
        <f t="shared" si="77"/>
        <v>0.14668299833955195</v>
      </c>
      <c r="H977">
        <f t="shared" si="78"/>
        <v>3.2449711217268575</v>
      </c>
    </row>
    <row r="978" spans="1:8" x14ac:dyDescent="0.25">
      <c r="A978" s="13">
        <v>41688</v>
      </c>
      <c r="B978">
        <v>603.18017259999999</v>
      </c>
      <c r="C978" s="12">
        <v>6.7176403989961386E-3</v>
      </c>
      <c r="D978" s="12">
        <f t="shared" si="75"/>
        <v>6.5162828622671303E-5</v>
      </c>
      <c r="E978" s="11">
        <f t="shared" si="76"/>
        <v>6.6524775703734676E-3</v>
      </c>
      <c r="F978">
        <f t="shared" si="79"/>
        <v>1.4284100105421461E-2</v>
      </c>
      <c r="G978">
        <f t="shared" si="77"/>
        <v>0.46572605353336555</v>
      </c>
      <c r="H978">
        <f t="shared" si="78"/>
        <v>3.2212193293794491</v>
      </c>
    </row>
    <row r="979" spans="1:8" x14ac:dyDescent="0.25">
      <c r="A979" s="13">
        <v>41689</v>
      </c>
      <c r="B979">
        <v>598.92613679999999</v>
      </c>
      <c r="C979" s="12">
        <v>-7.0526784421029998E-3</v>
      </c>
      <c r="D979" s="12">
        <f t="shared" si="75"/>
        <v>1.0781338292922302E-4</v>
      </c>
      <c r="E979" s="11">
        <f t="shared" si="76"/>
        <v>-7.1604918250322228E-3</v>
      </c>
      <c r="F979">
        <f t="shared" si="79"/>
        <v>1.4590491640785306E-2</v>
      </c>
      <c r="G979">
        <f t="shared" si="77"/>
        <v>-0.49076425944525764</v>
      </c>
      <c r="H979">
        <f t="shared" si="78"/>
        <v>3.1880219075294778</v>
      </c>
    </row>
    <row r="980" spans="1:8" x14ac:dyDescent="0.25">
      <c r="A980" s="13">
        <v>41690</v>
      </c>
      <c r="B980">
        <v>599.80779110000003</v>
      </c>
      <c r="C980" s="12">
        <v>1.4720584823875171E-3</v>
      </c>
      <c r="D980" s="12">
        <f t="shared" si="75"/>
        <v>-8.9405324784331078E-5</v>
      </c>
      <c r="E980" s="11">
        <f t="shared" si="76"/>
        <v>1.5614638071718482E-3</v>
      </c>
      <c r="F980">
        <f t="shared" si="79"/>
        <v>1.4669720123342212E-2</v>
      </c>
      <c r="G980">
        <f t="shared" si="77"/>
        <v>0.10644128136345786</v>
      </c>
      <c r="H980">
        <f t="shared" si="78"/>
        <v>3.2973663587788655</v>
      </c>
    </row>
    <row r="981" spans="1:8" x14ac:dyDescent="0.25">
      <c r="A981" s="13">
        <v>41691</v>
      </c>
      <c r="B981">
        <v>599.64842799999997</v>
      </c>
      <c r="C981" s="12">
        <v>-2.6569028006084849E-4</v>
      </c>
      <c r="D981" s="12">
        <f t="shared" si="75"/>
        <v>4.1392256191715275E-6</v>
      </c>
      <c r="E981" s="11">
        <f t="shared" si="76"/>
        <v>-2.6982950568002001E-4</v>
      </c>
      <c r="F981">
        <f t="shared" si="79"/>
        <v>1.4190074961443208E-2</v>
      </c>
      <c r="G981">
        <f t="shared" si="77"/>
        <v>-1.9015368587776429E-2</v>
      </c>
      <c r="H981">
        <f t="shared" si="78"/>
        <v>3.3360931798031208</v>
      </c>
    </row>
    <row r="982" spans="1:8" x14ac:dyDescent="0.25">
      <c r="A982" s="13">
        <v>41694</v>
      </c>
      <c r="B982">
        <v>603.99212469999998</v>
      </c>
      <c r="C982" s="12">
        <v>7.2437389930086749E-3</v>
      </c>
      <c r="D982" s="12">
        <f t="shared" si="75"/>
        <v>-2.353312418954911E-7</v>
      </c>
      <c r="E982" s="11">
        <f t="shared" si="76"/>
        <v>7.2439743242505702E-3</v>
      </c>
      <c r="F982">
        <f t="shared" si="79"/>
        <v>1.4119318232094072E-2</v>
      </c>
      <c r="G982">
        <f t="shared" si="77"/>
        <v>0.5130541153031436</v>
      </c>
      <c r="H982">
        <f t="shared" si="78"/>
        <v>3.2096605361093542</v>
      </c>
    </row>
    <row r="983" spans="1:8" x14ac:dyDescent="0.25">
      <c r="A983" s="13">
        <v>41695</v>
      </c>
      <c r="B983">
        <v>607.72314889999996</v>
      </c>
      <c r="C983" s="12">
        <v>6.177272926949362E-3</v>
      </c>
      <c r="D983" s="12">
        <f t="shared" si="75"/>
        <v>1.0887637895369737E-4</v>
      </c>
      <c r="E983" s="11">
        <f t="shared" si="76"/>
        <v>6.0683965479956647E-3</v>
      </c>
      <c r="F983">
        <f t="shared" si="79"/>
        <v>1.4672124363856055E-2</v>
      </c>
      <c r="G983">
        <f t="shared" si="77"/>
        <v>0.41360040287995481</v>
      </c>
      <c r="H983">
        <f t="shared" si="78"/>
        <v>3.2173347073965068</v>
      </c>
    </row>
    <row r="984" spans="1:8" x14ac:dyDescent="0.25">
      <c r="A984" s="13">
        <v>41696</v>
      </c>
      <c r="B984">
        <v>607.8078051</v>
      </c>
      <c r="C984" s="12">
        <v>1.3930060119204946E-4</v>
      </c>
      <c r="D984" s="12">
        <f t="shared" si="75"/>
        <v>1.1204544310664068E-4</v>
      </c>
      <c r="E984" s="11">
        <f t="shared" si="76"/>
        <v>2.7255158085408773E-5</v>
      </c>
      <c r="F984">
        <f t="shared" si="79"/>
        <v>1.4531134533636527E-2</v>
      </c>
      <c r="G984">
        <f t="shared" si="77"/>
        <v>1.8756386861823351E-3</v>
      </c>
      <c r="H984">
        <f t="shared" si="78"/>
        <v>3.3125214300834895</v>
      </c>
    </row>
    <row r="985" spans="1:8" x14ac:dyDescent="0.25">
      <c r="A985" s="13">
        <v>41697</v>
      </c>
      <c r="B985">
        <v>607.32965490000004</v>
      </c>
      <c r="C985" s="12">
        <v>-7.8667992741765502E-4</v>
      </c>
      <c r="D985" s="12">
        <f t="shared" si="75"/>
        <v>1.7982289319559245E-5</v>
      </c>
      <c r="E985" s="11">
        <f t="shared" si="76"/>
        <v>-8.0466221673721426E-4</v>
      </c>
      <c r="F985">
        <f t="shared" si="79"/>
        <v>1.4151856469411769E-2</v>
      </c>
      <c r="G985">
        <f t="shared" si="77"/>
        <v>-5.6859127880249098E-2</v>
      </c>
      <c r="H985">
        <f t="shared" si="78"/>
        <v>3.3373544508307202</v>
      </c>
    </row>
    <row r="986" spans="1:8" x14ac:dyDescent="0.25">
      <c r="A986" s="13">
        <v>41698</v>
      </c>
      <c r="B986">
        <v>605.55627489999995</v>
      </c>
      <c r="C986" s="12">
        <v>-2.9199628005849299E-3</v>
      </c>
      <c r="D986" s="12">
        <f t="shared" si="75"/>
        <v>-1.1540279409562642E-5</v>
      </c>
      <c r="E986" s="11">
        <f t="shared" si="76"/>
        <v>-2.9084225211753671E-3</v>
      </c>
      <c r="F986">
        <f t="shared" si="79"/>
        <v>1.4121861183558916E-2</v>
      </c>
      <c r="G986">
        <f t="shared" si="77"/>
        <v>-0.20595178520529842</v>
      </c>
      <c r="H986">
        <f t="shared" si="78"/>
        <v>3.3198846416173855</v>
      </c>
    </row>
    <row r="987" spans="1:8" x14ac:dyDescent="0.25">
      <c r="A987" s="13">
        <v>41701</v>
      </c>
      <c r="B987">
        <v>599.10045339999999</v>
      </c>
      <c r="C987" s="12">
        <v>-1.066097696876489E-2</v>
      </c>
      <c r="D987" s="12">
        <f t="shared" si="75"/>
        <v>-4.6185231959310801E-5</v>
      </c>
      <c r="E987" s="11">
        <f t="shared" si="76"/>
        <v>-1.061479173680558E-2</v>
      </c>
      <c r="F987">
        <f t="shared" si="79"/>
        <v>1.4203754159373064E-2</v>
      </c>
      <c r="G987">
        <f t="shared" si="77"/>
        <v>-0.74732296952639621</v>
      </c>
      <c r="H987">
        <f t="shared" si="78"/>
        <v>3.0560646283002875</v>
      </c>
    </row>
    <row r="988" spans="1:8" x14ac:dyDescent="0.25">
      <c r="A988" s="13">
        <v>41702</v>
      </c>
      <c r="B988">
        <v>605.18762219999996</v>
      </c>
      <c r="C988" s="12">
        <v>1.0160514427011824E-2</v>
      </c>
      <c r="D988" s="12">
        <f t="shared" si="75"/>
        <v>-1.6874802786700924E-4</v>
      </c>
      <c r="E988" s="11">
        <f t="shared" si="76"/>
        <v>1.0329262454878833E-2</v>
      </c>
      <c r="F988">
        <f t="shared" si="79"/>
        <v>1.5283835614892988E-2</v>
      </c>
      <c r="G988">
        <f t="shared" si="77"/>
        <v>0.67582920381672495</v>
      </c>
      <c r="H988">
        <f t="shared" si="78"/>
        <v>3.0336484152569656</v>
      </c>
    </row>
    <row r="989" spans="1:8" x14ac:dyDescent="0.25">
      <c r="A989" s="13">
        <v>41703</v>
      </c>
      <c r="B989">
        <v>606.85638730000005</v>
      </c>
      <c r="C989" s="12">
        <v>2.7574342877894065E-3</v>
      </c>
      <c r="D989" s="12">
        <f t="shared" si="75"/>
        <v>1.2627607170885636E-4</v>
      </c>
      <c r="E989" s="11">
        <f t="shared" si="76"/>
        <v>2.6311582160805499E-3</v>
      </c>
      <c r="F989">
        <f t="shared" si="79"/>
        <v>1.5179679544754947E-2</v>
      </c>
      <c r="G989">
        <f t="shared" si="77"/>
        <v>0.17333423991744917</v>
      </c>
      <c r="H989">
        <f t="shared" si="78"/>
        <v>3.2538367050276267</v>
      </c>
    </row>
    <row r="990" spans="1:8" x14ac:dyDescent="0.25">
      <c r="A990" s="13">
        <v>41704</v>
      </c>
      <c r="B990">
        <v>607.5288736</v>
      </c>
      <c r="C990" s="12">
        <v>1.1081473542562392E-3</v>
      </c>
      <c r="D990" s="12">
        <f t="shared" si="75"/>
        <v>6.7817525079244344E-5</v>
      </c>
      <c r="E990" s="11">
        <f t="shared" si="76"/>
        <v>1.0403298291769949E-3</v>
      </c>
      <c r="F990">
        <f t="shared" si="79"/>
        <v>1.4281760619661988E-2</v>
      </c>
      <c r="G990">
        <f t="shared" si="77"/>
        <v>7.2843247893733198E-2</v>
      </c>
      <c r="H990">
        <f t="shared" si="78"/>
        <v>3.3271804343906748</v>
      </c>
    </row>
    <row r="991" spans="1:8" x14ac:dyDescent="0.25">
      <c r="A991" s="13">
        <v>41705</v>
      </c>
      <c r="B991">
        <v>605.12786870000002</v>
      </c>
      <c r="C991" s="12">
        <v>-3.9520836034877549E-3</v>
      </c>
      <c r="D991" s="12">
        <f t="shared" si="75"/>
        <v>2.3846894662261066E-5</v>
      </c>
      <c r="E991" s="11">
        <f t="shared" si="76"/>
        <v>-3.9759304981500159E-3</v>
      </c>
      <c r="F991">
        <f t="shared" si="79"/>
        <v>1.4138923218449388E-2</v>
      </c>
      <c r="G991">
        <f t="shared" si="77"/>
        <v>-0.28120461768700766</v>
      </c>
      <c r="H991">
        <f t="shared" si="78"/>
        <v>3.3003472211578262</v>
      </c>
    </row>
    <row r="992" spans="1:8" x14ac:dyDescent="0.25">
      <c r="A992" s="13">
        <v>41708</v>
      </c>
      <c r="B992">
        <v>603.52386190000004</v>
      </c>
      <c r="C992" s="12">
        <v>-2.6506906770726868E-3</v>
      </c>
      <c r="D992" s="12">
        <f t="shared" si="75"/>
        <v>-5.6926071871416326E-5</v>
      </c>
      <c r="E992" s="11">
        <f t="shared" si="76"/>
        <v>-2.5937646052012703E-3</v>
      </c>
      <c r="F992">
        <f t="shared" si="79"/>
        <v>1.4284242139656204E-2</v>
      </c>
      <c r="G992">
        <f t="shared" si="77"/>
        <v>-0.18158223445403576</v>
      </c>
      <c r="H992">
        <f t="shared" si="78"/>
        <v>3.313173710444131</v>
      </c>
    </row>
    <row r="993" spans="1:8" x14ac:dyDescent="0.25">
      <c r="A993" s="13">
        <v>41709</v>
      </c>
      <c r="B993">
        <v>597.75548070000002</v>
      </c>
      <c r="C993" s="12">
        <v>-9.5578345184896829E-3</v>
      </c>
      <c r="D993" s="12">
        <f t="shared" si="75"/>
        <v>-5.0247574752725531E-5</v>
      </c>
      <c r="E993" s="11">
        <f t="shared" si="76"/>
        <v>-9.5075869437369568E-3</v>
      </c>
      <c r="F993">
        <f t="shared" si="79"/>
        <v>1.4198992294691883E-2</v>
      </c>
      <c r="G993">
        <f t="shared" si="77"/>
        <v>-0.66959589430098154</v>
      </c>
      <c r="H993">
        <f t="shared" si="78"/>
        <v>3.1114664180185736</v>
      </c>
    </row>
    <row r="994" spans="1:8" x14ac:dyDescent="0.25">
      <c r="A994" s="13">
        <v>41710</v>
      </c>
      <c r="B994">
        <v>601.39684399999999</v>
      </c>
      <c r="C994" s="12">
        <v>6.0917271653213589E-3</v>
      </c>
      <c r="D994" s="12">
        <f t="shared" si="75"/>
        <v>-1.513713356649328E-4</v>
      </c>
      <c r="E994" s="11">
        <f t="shared" si="76"/>
        <v>6.2430985009862914E-3</v>
      </c>
      <c r="F994">
        <f t="shared" si="79"/>
        <v>1.5060992518714615E-2</v>
      </c>
      <c r="G994">
        <f t="shared" si="77"/>
        <v>0.4145210545207223</v>
      </c>
      <c r="H994">
        <f t="shared" si="78"/>
        <v>3.1907947689597047</v>
      </c>
    </row>
    <row r="995" spans="1:8" x14ac:dyDescent="0.25">
      <c r="A995" s="13">
        <v>41711</v>
      </c>
      <c r="B995">
        <v>592.31089139999995</v>
      </c>
      <c r="C995" s="12">
        <v>-1.510808161141608E-2</v>
      </c>
      <c r="D995" s="12">
        <f t="shared" si="75"/>
        <v>6.7572032521444748E-5</v>
      </c>
      <c r="E995" s="11">
        <f t="shared" si="76"/>
        <v>-1.5175653643937524E-2</v>
      </c>
      <c r="F995">
        <f t="shared" si="79"/>
        <v>1.4570939833685766E-2</v>
      </c>
      <c r="G995">
        <f t="shared" si="77"/>
        <v>-1.0415013593600704</v>
      </c>
      <c r="H995">
        <f t="shared" si="78"/>
        <v>2.7674250821620623</v>
      </c>
    </row>
    <row r="996" spans="1:8" x14ac:dyDescent="0.25">
      <c r="A996" s="13">
        <v>41712</v>
      </c>
      <c r="B996">
        <v>584.21126770000001</v>
      </c>
      <c r="C996" s="12">
        <v>-1.3674615506149901E-2</v>
      </c>
      <c r="D996" s="12">
        <f t="shared" si="75"/>
        <v>-2.1284925559041166E-4</v>
      </c>
      <c r="E996" s="11">
        <f t="shared" si="76"/>
        <v>-1.346176625055949E-2</v>
      </c>
      <c r="F996">
        <f t="shared" si="79"/>
        <v>1.6335849154369274E-2</v>
      </c>
      <c r="G996">
        <f t="shared" si="77"/>
        <v>-0.82406284015905806</v>
      </c>
      <c r="H996">
        <f t="shared" si="78"/>
        <v>2.8559149360714784</v>
      </c>
    </row>
    <row r="997" spans="1:8" x14ac:dyDescent="0.25">
      <c r="A997" s="13">
        <v>41715</v>
      </c>
      <c r="B997">
        <v>593.8252367</v>
      </c>
      <c r="C997" s="12">
        <v>1.6456322449667216E-2</v>
      </c>
      <c r="D997" s="12">
        <f t="shared" si="75"/>
        <v>-2.4565144357654967E-4</v>
      </c>
      <c r="E997" s="11">
        <f t="shared" si="76"/>
        <v>1.6701973893243766E-2</v>
      </c>
      <c r="F997">
        <f t="shared" si="79"/>
        <v>1.5724058486822883E-2</v>
      </c>
      <c r="G997">
        <f t="shared" si="77"/>
        <v>1.0621923027849582</v>
      </c>
      <c r="H997">
        <f t="shared" si="78"/>
        <v>2.6694985745876156</v>
      </c>
    </row>
    <row r="998" spans="1:8" x14ac:dyDescent="0.25">
      <c r="A998" s="13">
        <v>41716</v>
      </c>
      <c r="B998">
        <v>603.36944270000004</v>
      </c>
      <c r="C998" s="12">
        <v>1.6072415603349821E-2</v>
      </c>
      <c r="D998" s="12">
        <f t="shared" si="75"/>
        <v>2.1375315550000514E-4</v>
      </c>
      <c r="E998" s="11">
        <f t="shared" si="76"/>
        <v>1.5858662447849815E-2</v>
      </c>
      <c r="F998">
        <f t="shared" si="79"/>
        <v>1.651926837137907E-2</v>
      </c>
      <c r="G998">
        <f t="shared" si="77"/>
        <v>0.96000997691436463</v>
      </c>
      <c r="H998">
        <f t="shared" si="78"/>
        <v>2.7234796882245784</v>
      </c>
    </row>
    <row r="999" spans="1:8" x14ac:dyDescent="0.25">
      <c r="A999" s="13">
        <v>41717</v>
      </c>
      <c r="B999">
        <v>597.38688879999995</v>
      </c>
      <c r="C999" s="12">
        <v>-9.9152417683416871E-3</v>
      </c>
      <c r="D999" s="12">
        <f t="shared" si="75"/>
        <v>2.8538232987410176E-4</v>
      </c>
      <c r="E999" s="11">
        <f t="shared" si="76"/>
        <v>-1.0200624098215788E-2</v>
      </c>
      <c r="F999">
        <f t="shared" si="79"/>
        <v>1.6207672938824188E-2</v>
      </c>
      <c r="G999">
        <f t="shared" si="77"/>
        <v>-0.62937006050887212</v>
      </c>
      <c r="H999">
        <f t="shared" si="78"/>
        <v>3.0052786409387986</v>
      </c>
    </row>
    <row r="1000" spans="1:8" x14ac:dyDescent="0.25">
      <c r="A1000" s="13">
        <v>41718</v>
      </c>
      <c r="B1000">
        <v>596.3457492</v>
      </c>
      <c r="C1000" s="12">
        <v>-1.7428229837640474E-3</v>
      </c>
      <c r="D1000" s="12">
        <f t="shared" si="75"/>
        <v>-1.0865916151887161E-4</v>
      </c>
      <c r="E1000" s="11">
        <f t="shared" si="76"/>
        <v>-1.6341638222451759E-3</v>
      </c>
      <c r="F1000">
        <f t="shared" si="79"/>
        <v>1.5149386115047835E-2</v>
      </c>
      <c r="G1000">
        <f t="shared" si="77"/>
        <v>-0.10786996976873976</v>
      </c>
      <c r="H1000">
        <f t="shared" si="78"/>
        <v>3.2650387699129961</v>
      </c>
    </row>
    <row r="1001" spans="1:8" x14ac:dyDescent="0.25">
      <c r="A1001" s="13">
        <v>41719</v>
      </c>
      <c r="B1001">
        <v>589.31210650000003</v>
      </c>
      <c r="C1001" s="12">
        <v>-1.1794571705148638E-2</v>
      </c>
      <c r="D1001" s="12">
        <f t="shared" si="75"/>
        <v>-5.1841515589588473E-5</v>
      </c>
      <c r="E1001" s="11">
        <f t="shared" si="76"/>
        <v>-1.1742730189559049E-2</v>
      </c>
      <c r="F1001">
        <f t="shared" si="79"/>
        <v>1.4239108966057606E-2</v>
      </c>
      <c r="G1001">
        <f t="shared" si="77"/>
        <v>-0.82468153151652357</v>
      </c>
      <c r="H1001">
        <f t="shared" si="78"/>
        <v>2.9927746001474764</v>
      </c>
    </row>
    <row r="1002" spans="1:8" x14ac:dyDescent="0.25">
      <c r="A1002" s="13">
        <v>41722</v>
      </c>
      <c r="B1002">
        <v>576.80396759999996</v>
      </c>
      <c r="C1002" s="12">
        <v>-2.1224982080017885E-2</v>
      </c>
      <c r="D1002" s="12">
        <f t="shared" si="75"/>
        <v>-1.8286806406671717E-4</v>
      </c>
      <c r="E1002" s="11">
        <f t="shared" si="76"/>
        <v>-2.1042114015951168E-2</v>
      </c>
      <c r="F1002">
        <f t="shared" si="79"/>
        <v>1.5528833143209499E-2</v>
      </c>
      <c r="G1002">
        <f t="shared" si="77"/>
        <v>-1.3550351028887535</v>
      </c>
      <c r="H1002">
        <f t="shared" si="78"/>
        <v>2.3280581820687272</v>
      </c>
    </row>
    <row r="1003" spans="1:8" x14ac:dyDescent="0.25">
      <c r="A1003" s="13">
        <v>41723</v>
      </c>
      <c r="B1003">
        <v>577.19752300000005</v>
      </c>
      <c r="C1003" s="12">
        <v>6.8230355910614549E-4</v>
      </c>
      <c r="D1003" s="12">
        <f t="shared" si="75"/>
        <v>-3.5133265648737275E-4</v>
      </c>
      <c r="E1003" s="11">
        <f t="shared" si="76"/>
        <v>1.0336362155935182E-3</v>
      </c>
      <c r="F1003">
        <f t="shared" si="79"/>
        <v>1.7767354900152636E-2</v>
      </c>
      <c r="G1003">
        <f t="shared" si="77"/>
        <v>5.8176145036909148E-2</v>
      </c>
      <c r="H1003">
        <f t="shared" si="78"/>
        <v>3.1097617347539428</v>
      </c>
    </row>
    <row r="1004" spans="1:8" x14ac:dyDescent="0.25">
      <c r="A1004" s="13">
        <v>41724</v>
      </c>
      <c r="B1004">
        <v>563.87242670000001</v>
      </c>
      <c r="C1004" s="12">
        <v>-2.3085851496282395E-2</v>
      </c>
      <c r="D1004" s="12">
        <f t="shared" si="75"/>
        <v>-4.4227971746098446E-5</v>
      </c>
      <c r="E1004" s="11">
        <f t="shared" si="76"/>
        <v>-2.3041623524536297E-2</v>
      </c>
      <c r="F1004">
        <f t="shared" si="79"/>
        <v>1.450972651038396E-2</v>
      </c>
      <c r="G1004">
        <f t="shared" si="77"/>
        <v>-1.5880122556442702</v>
      </c>
      <c r="H1004">
        <f t="shared" si="78"/>
        <v>2.0531060653747644</v>
      </c>
    </row>
    <row r="1005" spans="1:8" x14ac:dyDescent="0.25">
      <c r="A1005" s="13">
        <v>41725</v>
      </c>
      <c r="B1005">
        <v>556.93349009999997</v>
      </c>
      <c r="C1005" s="12">
        <v>-1.2305862587765448E-2</v>
      </c>
      <c r="D1005" s="12">
        <f t="shared" si="75"/>
        <v>-3.4741249176207519E-4</v>
      </c>
      <c r="E1005" s="11">
        <f t="shared" si="76"/>
        <v>-1.1958450096003373E-2</v>
      </c>
      <c r="F1005">
        <f t="shared" si="79"/>
        <v>1.8834917354897892E-2</v>
      </c>
      <c r="G1005">
        <f t="shared" si="77"/>
        <v>-0.63490855153095005</v>
      </c>
      <c r="H1005">
        <f t="shared" si="78"/>
        <v>2.8515498580867273</v>
      </c>
    </row>
    <row r="1006" spans="1:8" x14ac:dyDescent="0.25">
      <c r="A1006" s="13">
        <v>41726</v>
      </c>
      <c r="B1006">
        <v>558.45931499999995</v>
      </c>
      <c r="C1006" s="12">
        <v>2.7396896166649309E-3</v>
      </c>
      <c r="D1006" s="12">
        <f t="shared" si="75"/>
        <v>-2.4545213929504637E-4</v>
      </c>
      <c r="E1006" s="11">
        <f t="shared" si="76"/>
        <v>2.9851417559599771E-3</v>
      </c>
      <c r="F1006">
        <f t="shared" si="79"/>
        <v>1.5452668605499592E-2</v>
      </c>
      <c r="G1006">
        <f t="shared" si="77"/>
        <v>0.19317969162281573</v>
      </c>
      <c r="H1006">
        <f t="shared" si="78"/>
        <v>3.2323758354462053</v>
      </c>
    </row>
    <row r="1007" spans="1:8" x14ac:dyDescent="0.25">
      <c r="A1007" s="13">
        <v>41729</v>
      </c>
      <c r="B1007">
        <v>555.4475218</v>
      </c>
      <c r="C1007" s="12">
        <v>-5.393039598596272E-3</v>
      </c>
      <c r="D1007" s="12">
        <f t="shared" si="75"/>
        <v>9.8112024958065994E-6</v>
      </c>
      <c r="E1007" s="11">
        <f t="shared" si="76"/>
        <v>-5.4028508010920788E-3</v>
      </c>
      <c r="F1007">
        <f t="shared" si="79"/>
        <v>1.4325447624010945E-2</v>
      </c>
      <c r="G1007">
        <f t="shared" si="77"/>
        <v>-0.37715057448092143</v>
      </c>
      <c r="H1007">
        <f t="shared" si="78"/>
        <v>3.2556579579997624</v>
      </c>
    </row>
    <row r="1008" spans="1:8" x14ac:dyDescent="0.25">
      <c r="A1008" s="13">
        <v>41730</v>
      </c>
      <c r="B1008">
        <v>565.60967659999994</v>
      </c>
      <c r="C1008" s="12">
        <v>1.8295436384463848E-2</v>
      </c>
      <c r="D1008" s="12">
        <f t="shared" si="75"/>
        <v>-7.452704593594446E-5</v>
      </c>
      <c r="E1008" s="11">
        <f t="shared" si="76"/>
        <v>1.8369963430399792E-2</v>
      </c>
      <c r="F1008">
        <f t="shared" si="79"/>
        <v>1.4436793434528266E-2</v>
      </c>
      <c r="G1008">
        <f t="shared" si="77"/>
        <v>1.2724406921598408</v>
      </c>
      <c r="H1008">
        <f t="shared" si="78"/>
        <v>2.5094840407606993</v>
      </c>
    </row>
    <row r="1009" spans="1:8" x14ac:dyDescent="0.25">
      <c r="A1009" s="13">
        <v>41731</v>
      </c>
      <c r="B1009">
        <v>565.45013070000005</v>
      </c>
      <c r="C1009" s="12">
        <v>-2.8207774124189289E-4</v>
      </c>
      <c r="D1009" s="12">
        <f t="shared" si="75"/>
        <v>2.6285256630304628E-4</v>
      </c>
      <c r="E1009" s="11">
        <f t="shared" si="76"/>
        <v>-5.4493030754493917E-4</v>
      </c>
      <c r="F1009">
        <f t="shared" si="79"/>
        <v>1.7298368072764633E-2</v>
      </c>
      <c r="G1009">
        <f t="shared" si="77"/>
        <v>-3.1501833308941039E-2</v>
      </c>
      <c r="H1009">
        <f t="shared" si="78"/>
        <v>3.1377083970263402</v>
      </c>
    </row>
    <row r="1010" spans="1:8" x14ac:dyDescent="0.25">
      <c r="A1010" s="13">
        <v>41732</v>
      </c>
      <c r="B1010">
        <v>568.18262560000005</v>
      </c>
      <c r="C1010" s="12">
        <v>4.8324242079798019E-3</v>
      </c>
      <c r="D1010" s="12">
        <f t="shared" si="75"/>
        <v>4.2752409169522713E-5</v>
      </c>
      <c r="E1010" s="11">
        <f t="shared" si="76"/>
        <v>4.7896717988102789E-3</v>
      </c>
      <c r="F1010">
        <f t="shared" si="79"/>
        <v>1.4450064830653021E-2</v>
      </c>
      <c r="G1010">
        <f t="shared" si="77"/>
        <v>0.33146368925971292</v>
      </c>
      <c r="H1010">
        <f t="shared" si="78"/>
        <v>3.2631837560298762</v>
      </c>
    </row>
    <row r="1011" spans="1:8" x14ac:dyDescent="0.25">
      <c r="A1011" s="13">
        <v>41733</v>
      </c>
      <c r="B1011">
        <v>541.65534530000002</v>
      </c>
      <c r="C1011" s="12">
        <v>-4.6687946981812889E-2</v>
      </c>
      <c r="D1011" s="12">
        <f t="shared" si="75"/>
        <v>7.2363912121654612E-5</v>
      </c>
      <c r="E1011" s="11">
        <f t="shared" si="76"/>
        <v>-4.6760310893934544E-2</v>
      </c>
      <c r="F1011">
        <f t="shared" si="79"/>
        <v>1.4379910647601359E-2</v>
      </c>
      <c r="G1011">
        <f t="shared" si="77"/>
        <v>-3.2517803510645873</v>
      </c>
      <c r="H1011">
        <f t="shared" si="78"/>
        <v>-1.9640531186232324</v>
      </c>
    </row>
    <row r="1012" spans="1:8" x14ac:dyDescent="0.25">
      <c r="A1012" s="13">
        <v>41736</v>
      </c>
      <c r="B1012">
        <v>536.67900380000003</v>
      </c>
      <c r="C1012" s="12">
        <v>-9.1872840232820607E-3</v>
      </c>
      <c r="D1012" s="12">
        <f t="shared" si="75"/>
        <v>-6.9372081609934012E-4</v>
      </c>
      <c r="E1012" s="11">
        <f t="shared" si="76"/>
        <v>-8.4935632071827215E-3</v>
      </c>
      <c r="F1012">
        <f t="shared" si="79"/>
        <v>2.9117888558550391E-2</v>
      </c>
      <c r="G1012">
        <f t="shared" si="77"/>
        <v>-0.29169571104387682</v>
      </c>
      <c r="H1012">
        <f t="shared" si="78"/>
        <v>2.5749208394486747</v>
      </c>
    </row>
    <row r="1013" spans="1:8" x14ac:dyDescent="0.25">
      <c r="A1013" s="13">
        <v>41737</v>
      </c>
      <c r="B1013">
        <v>553.38318149999998</v>
      </c>
      <c r="C1013" s="12">
        <v>3.1125081439230318E-2</v>
      </c>
      <c r="D1013" s="12">
        <f t="shared" si="75"/>
        <v>-2.5894135711243213E-4</v>
      </c>
      <c r="E1013" s="11">
        <f t="shared" si="76"/>
        <v>3.1384022796342753E-2</v>
      </c>
      <c r="F1013">
        <f t="shared" si="79"/>
        <v>1.6331154905341833E-2</v>
      </c>
      <c r="G1013">
        <f t="shared" si="77"/>
        <v>1.9217270902302939</v>
      </c>
      <c r="H1013">
        <f t="shared" si="78"/>
        <v>1.3492246137097765</v>
      </c>
    </row>
    <row r="1014" spans="1:8" x14ac:dyDescent="0.25">
      <c r="A1014" s="13">
        <v>41738</v>
      </c>
      <c r="B1014">
        <v>562.59794429999999</v>
      </c>
      <c r="C1014" s="12">
        <v>1.6651685681922102E-2</v>
      </c>
      <c r="D1014" s="12">
        <f t="shared" si="75"/>
        <v>4.4714567463489783E-4</v>
      </c>
      <c r="E1014" s="11">
        <f t="shared" si="76"/>
        <v>1.6204540007287202E-2</v>
      </c>
      <c r="F1014">
        <f t="shared" si="79"/>
        <v>2.0782961433835959E-2</v>
      </c>
      <c r="G1014">
        <f t="shared" si="77"/>
        <v>0.77970312647095608</v>
      </c>
      <c r="H1014">
        <f t="shared" si="78"/>
        <v>2.6507147738871044</v>
      </c>
    </row>
    <row r="1015" spans="1:8" x14ac:dyDescent="0.25">
      <c r="A1015" s="13">
        <v>41739</v>
      </c>
      <c r="B1015">
        <v>539.47131449999995</v>
      </c>
      <c r="C1015" s="12">
        <v>-4.110685087691679E-2</v>
      </c>
      <c r="D1015" s="12">
        <f t="shared" si="75"/>
        <v>3.3184188836918115E-4</v>
      </c>
      <c r="E1015" s="11">
        <f t="shared" si="76"/>
        <v>-4.1438692765285973E-2</v>
      </c>
      <c r="F1015">
        <f t="shared" si="79"/>
        <v>1.6085946297959074E-2</v>
      </c>
      <c r="G1015">
        <f t="shared" si="77"/>
        <v>-2.5760805113805185</v>
      </c>
      <c r="H1015">
        <f t="shared" si="78"/>
        <v>-0.10722464482261884</v>
      </c>
    </row>
    <row r="1016" spans="1:8" x14ac:dyDescent="0.25">
      <c r="A1016" s="13">
        <v>41740</v>
      </c>
      <c r="B1016">
        <v>529.14961170000004</v>
      </c>
      <c r="C1016" s="12">
        <v>-1.9132996551570858E-2</v>
      </c>
      <c r="D1016" s="12">
        <f t="shared" si="75"/>
        <v>-5.7893339278546128E-4</v>
      </c>
      <c r="E1016" s="11">
        <f t="shared" si="76"/>
        <v>-1.8554063158785397E-2</v>
      </c>
      <c r="F1016">
        <f t="shared" si="79"/>
        <v>2.472910632371976E-2</v>
      </c>
      <c r="G1016">
        <f t="shared" si="77"/>
        <v>-0.75029250616261212</v>
      </c>
      <c r="H1016">
        <f t="shared" si="78"/>
        <v>2.4993663798296435</v>
      </c>
    </row>
    <row r="1017" spans="1:8" x14ac:dyDescent="0.25">
      <c r="A1017" s="13">
        <v>41743</v>
      </c>
      <c r="B1017">
        <v>531.06435480000005</v>
      </c>
      <c r="C1017" s="12">
        <v>3.6185287821501877E-3</v>
      </c>
      <c r="D1017" s="12">
        <f t="shared" si="75"/>
        <v>-3.9502376713281559E-4</v>
      </c>
      <c r="E1017" s="11">
        <f t="shared" si="76"/>
        <v>4.0135525492830029E-3</v>
      </c>
      <c r="F1017">
        <f t="shared" si="79"/>
        <v>1.6530823431736317E-2</v>
      </c>
      <c r="G1017">
        <f t="shared" si="77"/>
        <v>0.24279205242599575</v>
      </c>
      <c r="H1017">
        <f t="shared" si="78"/>
        <v>3.1541160304425002</v>
      </c>
    </row>
    <row r="1018" spans="1:8" x14ac:dyDescent="0.25">
      <c r="A1018" s="13">
        <v>41744</v>
      </c>
      <c r="B1018">
        <v>534.97367380000003</v>
      </c>
      <c r="C1018" s="12">
        <v>7.361290519060093E-3</v>
      </c>
      <c r="D1018" s="12">
        <f t="shared" si="75"/>
        <v>5.5578217651012328E-6</v>
      </c>
      <c r="E1018" s="11">
        <f t="shared" si="76"/>
        <v>7.355732697294992E-3</v>
      </c>
      <c r="F1018">
        <f t="shared" si="79"/>
        <v>1.448652659906874E-2</v>
      </c>
      <c r="G1018">
        <f t="shared" si="77"/>
        <v>0.5077637242434534</v>
      </c>
      <c r="H1018">
        <f t="shared" si="78"/>
        <v>3.1866857285603634</v>
      </c>
    </row>
    <row r="1019" spans="1:8" x14ac:dyDescent="0.25">
      <c r="A1019" s="13">
        <v>41745</v>
      </c>
      <c r="B1019">
        <v>555.01868620000005</v>
      </c>
      <c r="C1019" s="12">
        <v>3.7469156673854975E-2</v>
      </c>
      <c r="D1019" s="12">
        <f t="shared" si="75"/>
        <v>1.2063663836852128E-4</v>
      </c>
      <c r="E1019" s="11">
        <f t="shared" si="76"/>
        <v>3.7348520035486457E-2</v>
      </c>
      <c r="F1019">
        <f t="shared" si="79"/>
        <v>1.4695245968481816E-2</v>
      </c>
      <c r="G1019">
        <f t="shared" si="77"/>
        <v>2.5415375908365947</v>
      </c>
      <c r="H1019">
        <f t="shared" si="78"/>
        <v>7.1586044985862074E-2</v>
      </c>
    </row>
    <row r="1020" spans="1:8" x14ac:dyDescent="0.25">
      <c r="A1020" s="13">
        <v>41746</v>
      </c>
      <c r="B1020">
        <v>534.63456080000003</v>
      </c>
      <c r="C1020" s="12">
        <v>-3.6726917321581176E-2</v>
      </c>
      <c r="D1020" s="12">
        <f t="shared" si="75"/>
        <v>5.8562710705362629E-4</v>
      </c>
      <c r="E1020" s="11">
        <f t="shared" si="76"/>
        <v>-3.7312544428634804E-2</v>
      </c>
      <c r="F1020">
        <f t="shared" si="79"/>
        <v>2.4424979213129357E-2</v>
      </c>
      <c r="G1020">
        <f t="shared" si="77"/>
        <v>-1.5276387383199037</v>
      </c>
      <c r="H1020">
        <f t="shared" si="78"/>
        <v>1.6263703414901181</v>
      </c>
    </row>
    <row r="1021" spans="1:8" x14ac:dyDescent="0.25">
      <c r="A1021" s="13">
        <v>41750</v>
      </c>
      <c r="B1021">
        <v>527.17505489999996</v>
      </c>
      <c r="C1021" s="12">
        <v>-1.395253215362291E-2</v>
      </c>
      <c r="D1021" s="12">
        <f t="shared" si="75"/>
        <v>-4.5918802356346218E-4</v>
      </c>
      <c r="E1021" s="11">
        <f t="shared" si="76"/>
        <v>-1.3493344130059447E-2</v>
      </c>
      <c r="F1021">
        <f t="shared" si="79"/>
        <v>1.9502429773808762E-2</v>
      </c>
      <c r="G1021">
        <f t="shared" si="77"/>
        <v>-0.69188015475798015</v>
      </c>
      <c r="H1021">
        <f t="shared" si="78"/>
        <v>2.7789286099111421</v>
      </c>
    </row>
    <row r="1022" spans="1:8" x14ac:dyDescent="0.25">
      <c r="A1022" s="13">
        <v>41751</v>
      </c>
      <c r="B1022">
        <v>533.34811769999999</v>
      </c>
      <c r="C1022" s="12">
        <v>1.1709702010029632E-2</v>
      </c>
      <c r="D1022" s="12">
        <f t="shared" si="75"/>
        <v>-3.0541462596759259E-4</v>
      </c>
      <c r="E1022" s="11">
        <f t="shared" si="76"/>
        <v>1.2015116635997225E-2</v>
      </c>
      <c r="F1022">
        <f t="shared" si="79"/>
        <v>1.5680488161488138E-2</v>
      </c>
      <c r="G1022">
        <f t="shared" si="77"/>
        <v>0.76624633826814126</v>
      </c>
      <c r="H1022">
        <f t="shared" si="78"/>
        <v>2.9428328731371809</v>
      </c>
    </row>
    <row r="1023" spans="1:8" x14ac:dyDescent="0.25">
      <c r="A1023" s="13">
        <v>41752</v>
      </c>
      <c r="B1023">
        <v>525.49963179999997</v>
      </c>
      <c r="C1023" s="12">
        <v>-1.4715503138636121E-2</v>
      </c>
      <c r="D1023" s="12">
        <f t="shared" si="75"/>
        <v>1.4124782804666078E-4</v>
      </c>
      <c r="E1023" s="11">
        <f t="shared" si="76"/>
        <v>-1.4856750966682783E-2</v>
      </c>
      <c r="F1023">
        <f t="shared" si="79"/>
        <v>1.5478823922949702E-2</v>
      </c>
      <c r="G1023">
        <f t="shared" si="77"/>
        <v>-0.95981135521900973</v>
      </c>
      <c r="H1023">
        <f t="shared" si="78"/>
        <v>2.7887249356680335</v>
      </c>
    </row>
    <row r="1024" spans="1:8" x14ac:dyDescent="0.25">
      <c r="A1024" s="13">
        <v>41753</v>
      </c>
      <c r="B1024">
        <v>523.72447739999996</v>
      </c>
      <c r="C1024" s="12">
        <v>-3.3780316722954451E-3</v>
      </c>
      <c r="D1024" s="12">
        <f t="shared" si="75"/>
        <v>-1.9247360079614021E-4</v>
      </c>
      <c r="E1024" s="11">
        <f t="shared" si="76"/>
        <v>-3.185558071499305E-3</v>
      </c>
      <c r="F1024">
        <f t="shared" si="79"/>
        <v>1.6107895372216487E-2</v>
      </c>
      <c r="G1024">
        <f t="shared" si="77"/>
        <v>-0.19776376726371572</v>
      </c>
      <c r="H1024">
        <f t="shared" si="78"/>
        <v>3.1899519443807529</v>
      </c>
    </row>
    <row r="1025" spans="1:8" x14ac:dyDescent="0.25">
      <c r="A1025" s="13">
        <v>41754</v>
      </c>
      <c r="B1025">
        <v>514.76905360000001</v>
      </c>
      <c r="C1025" s="12">
        <v>-1.7099494460252496E-2</v>
      </c>
      <c r="D1025" s="12">
        <f t="shared" si="75"/>
        <v>-8.8910048052513873E-5</v>
      </c>
      <c r="E1025" s="11">
        <f t="shared" si="76"/>
        <v>-1.7010584412199981E-2</v>
      </c>
      <c r="F1025">
        <f t="shared" si="79"/>
        <v>1.4398491622173267E-2</v>
      </c>
      <c r="G1025">
        <f t="shared" si="77"/>
        <v>-1.1814143355130453</v>
      </c>
      <c r="H1025">
        <f t="shared" si="78"/>
        <v>2.6238233770643369</v>
      </c>
    </row>
    <row r="1026" spans="1:8" x14ac:dyDescent="0.25">
      <c r="A1026" s="13">
        <v>41757</v>
      </c>
      <c r="B1026">
        <v>515.73640469999998</v>
      </c>
      <c r="C1026" s="12">
        <v>1.8791943556724089E-3</v>
      </c>
      <c r="D1026" s="12">
        <f t="shared" si="75"/>
        <v>-2.6730573373450763E-4</v>
      </c>
      <c r="E1026" s="11">
        <f t="shared" si="76"/>
        <v>2.1465000894069167E-3</v>
      </c>
      <c r="F1026">
        <f t="shared" si="79"/>
        <v>1.6894944157872765E-2</v>
      </c>
      <c r="G1026">
        <f t="shared" si="77"/>
        <v>0.12704984812907374</v>
      </c>
      <c r="H1026">
        <f t="shared" si="78"/>
        <v>3.1537314989076304</v>
      </c>
    </row>
    <row r="1027" spans="1:8" x14ac:dyDescent="0.25">
      <c r="A1027" s="13">
        <v>41758</v>
      </c>
      <c r="B1027">
        <v>526.25756980000006</v>
      </c>
      <c r="C1027" s="12">
        <v>2.040027619558904E-2</v>
      </c>
      <c r="D1027" s="12">
        <f t="shared" si="75"/>
        <v>-1.5523003833898063E-5</v>
      </c>
      <c r="E1027" s="11">
        <f t="shared" si="76"/>
        <v>2.0415799199422938E-2</v>
      </c>
      <c r="F1027">
        <f t="shared" si="79"/>
        <v>1.4436288861090895E-2</v>
      </c>
      <c r="G1027">
        <f t="shared" si="77"/>
        <v>1.4141999648156247</v>
      </c>
      <c r="H1027">
        <f t="shared" si="78"/>
        <v>2.3190908791813136</v>
      </c>
    </row>
    <row r="1028" spans="1:8" x14ac:dyDescent="0.25">
      <c r="A1028" s="13">
        <v>41759</v>
      </c>
      <c r="B1028">
        <v>525.22039540000003</v>
      </c>
      <c r="C1028" s="12">
        <v>-1.9708493701937613E-3</v>
      </c>
      <c r="D1028" s="12">
        <f t="shared" si="75"/>
        <v>3.1337701484870255E-4</v>
      </c>
      <c r="E1028" s="11">
        <f t="shared" si="76"/>
        <v>-2.2842263850424639E-3</v>
      </c>
      <c r="F1028">
        <f t="shared" si="79"/>
        <v>1.7960279555709245E-2</v>
      </c>
      <c r="G1028">
        <f t="shared" si="77"/>
        <v>-0.12718211751422043</v>
      </c>
      <c r="H1028">
        <f t="shared" si="78"/>
        <v>3.0925664720541985</v>
      </c>
    </row>
    <row r="1029" spans="1:8" x14ac:dyDescent="0.25">
      <c r="A1029" s="13">
        <v>41760</v>
      </c>
      <c r="B1029">
        <v>529.89760109999997</v>
      </c>
      <c r="C1029" s="12">
        <v>8.9052248179315452E-3</v>
      </c>
      <c r="D1029" s="12">
        <f t="shared" si="75"/>
        <v>2.2619665310991969E-5</v>
      </c>
      <c r="E1029" s="11">
        <f t="shared" si="76"/>
        <v>8.8826051526205534E-3</v>
      </c>
      <c r="F1029">
        <f t="shared" si="79"/>
        <v>1.4559489477711436E-2</v>
      </c>
      <c r="G1029">
        <f t="shared" si="77"/>
        <v>0.61009042701796601</v>
      </c>
      <c r="H1029">
        <f t="shared" si="78"/>
        <v>3.1244686023981703</v>
      </c>
    </row>
    <row r="1030" spans="1:8" x14ac:dyDescent="0.25">
      <c r="A1030" s="13">
        <v>41761</v>
      </c>
      <c r="B1030">
        <v>526.48694109999997</v>
      </c>
      <c r="C1030" s="12">
        <v>-6.4364511047415585E-3</v>
      </c>
      <c r="D1030" s="12">
        <f t="shared" ref="D1030:D1093" si="80">+C1029*$K$11+C1028*$K$10</f>
        <v>1.2962360181662612E-4</v>
      </c>
      <c r="E1030" s="11">
        <f t="shared" ref="E1030:E1093" si="81">C1030-D1030</f>
        <v>-6.5660747065581842E-3</v>
      </c>
      <c r="F1030">
        <f t="shared" si="79"/>
        <v>1.4938668109530467E-2</v>
      </c>
      <c r="G1030">
        <f t="shared" ref="G1030:G1093" si="82">E1030/F1030</f>
        <v>-0.43953548324493574</v>
      </c>
      <c r="H1030">
        <f t="shared" ref="H1030:H1093" si="83">1/2*(-LN(PI()*2)-2*LN(F1030)-(E1030/F1030)^2)</f>
        <v>3.1882679988262974</v>
      </c>
    </row>
    <row r="1031" spans="1:8" x14ac:dyDescent="0.25">
      <c r="A1031" s="13">
        <v>41764</v>
      </c>
      <c r="B1031">
        <v>526.3672507</v>
      </c>
      <c r="C1031" s="12">
        <v>-2.2733783244444083E-4</v>
      </c>
      <c r="D1031" s="12">
        <f t="shared" si="80"/>
        <v>-7.4463058025092823E-5</v>
      </c>
      <c r="E1031" s="11">
        <f t="shared" si="81"/>
        <v>-1.5287477441934801E-4</v>
      </c>
      <c r="F1031">
        <f t="shared" ref="F1031:F1094" si="84">SQRT($K$6+$K$7*G1030^2+$K$8*F1030^2)</f>
        <v>1.460372067354119E-2</v>
      </c>
      <c r="G1031">
        <f t="shared" si="82"/>
        <v>-1.0468207235456394E-2</v>
      </c>
      <c r="H1031">
        <f t="shared" si="83"/>
        <v>3.3074856171946685</v>
      </c>
    </row>
    <row r="1032" spans="1:8" x14ac:dyDescent="0.25">
      <c r="A1032" s="13">
        <v>41765</v>
      </c>
      <c r="B1032">
        <v>513.73187910000001</v>
      </c>
      <c r="C1032" s="12">
        <v>-2.4004858932991313E-2</v>
      </c>
      <c r="D1032" s="12">
        <f t="shared" si="80"/>
        <v>-1.9979904229798422E-5</v>
      </c>
      <c r="E1032" s="11">
        <f t="shared" si="81"/>
        <v>-2.3984879028761515E-2</v>
      </c>
      <c r="F1032">
        <f t="shared" si="84"/>
        <v>1.4159268169724211E-2</v>
      </c>
      <c r="G1032">
        <f t="shared" si="82"/>
        <v>-1.6939349365560241</v>
      </c>
      <c r="H1032">
        <f t="shared" si="83"/>
        <v>1.9037395571340496</v>
      </c>
    </row>
    <row r="1033" spans="1:8" x14ac:dyDescent="0.25">
      <c r="A1033" s="13">
        <v>41766</v>
      </c>
      <c r="B1033">
        <v>508.56605289999999</v>
      </c>
      <c r="C1033" s="12">
        <v>-1.0055490831228919E-2</v>
      </c>
      <c r="D1033" s="12">
        <f t="shared" si="80"/>
        <v>-3.6364993232586523E-4</v>
      </c>
      <c r="E1033" s="11">
        <f t="shared" si="81"/>
        <v>-9.6918408989030546E-3</v>
      </c>
      <c r="F1033">
        <f t="shared" si="84"/>
        <v>1.9367281365315341E-2</v>
      </c>
      <c r="G1033">
        <f t="shared" si="82"/>
        <v>-0.50042340564432908</v>
      </c>
      <c r="H1033">
        <f t="shared" si="83"/>
        <v>2.9000198385995843</v>
      </c>
    </row>
    <row r="1034" spans="1:8" x14ac:dyDescent="0.25">
      <c r="A1034" s="13">
        <v>41767</v>
      </c>
      <c r="B1034">
        <v>509.6031974</v>
      </c>
      <c r="C1034" s="12">
        <v>2.039350629256198E-3</v>
      </c>
      <c r="D1034" s="12">
        <f t="shared" si="80"/>
        <v>-2.1377782127915602E-4</v>
      </c>
      <c r="E1034" s="11">
        <f t="shared" si="81"/>
        <v>2.2531284505353539E-3</v>
      </c>
      <c r="F1034">
        <f t="shared" si="84"/>
        <v>1.5211297690546403E-2</v>
      </c>
      <c r="G1034">
        <f t="shared" si="82"/>
        <v>0.14812204036580257</v>
      </c>
      <c r="H1034">
        <f t="shared" si="83"/>
        <v>3.2558082554769667</v>
      </c>
    </row>
    <row r="1035" spans="1:8" x14ac:dyDescent="0.25">
      <c r="A1035" s="13">
        <v>41768</v>
      </c>
      <c r="B1035">
        <v>517.31209460000002</v>
      </c>
      <c r="C1035" s="12">
        <v>1.5127254380135069E-2</v>
      </c>
      <c r="D1035" s="12">
        <f t="shared" si="80"/>
        <v>5.0021936218605802E-6</v>
      </c>
      <c r="E1035" s="11">
        <f t="shared" si="81"/>
        <v>1.5122252186513209E-2</v>
      </c>
      <c r="F1035">
        <f t="shared" si="84"/>
        <v>1.426760006263867E-2</v>
      </c>
      <c r="G1035">
        <f t="shared" si="82"/>
        <v>1.0599016036419848</v>
      </c>
      <c r="H1035">
        <f t="shared" si="83"/>
        <v>2.7691298043452073</v>
      </c>
    </row>
    <row r="1036" spans="1:8" x14ac:dyDescent="0.25">
      <c r="A1036" s="13">
        <v>41771</v>
      </c>
      <c r="B1036">
        <v>528.47150850000003</v>
      </c>
      <c r="C1036" s="12">
        <v>2.1571917642151384E-2</v>
      </c>
      <c r="D1036" s="12">
        <f t="shared" si="80"/>
        <v>2.3403587262427064E-4</v>
      </c>
      <c r="E1036" s="11">
        <f t="shared" si="81"/>
        <v>2.1337881769527112E-2</v>
      </c>
      <c r="F1036">
        <f t="shared" si="84"/>
        <v>1.638256417276095E-2</v>
      </c>
      <c r="G1036">
        <f t="shared" si="82"/>
        <v>1.30247509147593</v>
      </c>
      <c r="H1036">
        <f t="shared" si="83"/>
        <v>2.3443784547428881</v>
      </c>
    </row>
    <row r="1037" spans="1:8" x14ac:dyDescent="0.25">
      <c r="A1037" s="13">
        <v>41772</v>
      </c>
      <c r="B1037">
        <v>531.63283899999999</v>
      </c>
      <c r="C1037" s="12">
        <v>5.9820263706797938E-3</v>
      </c>
      <c r="D1037" s="12">
        <f t="shared" si="80"/>
        <v>3.6514484222153066E-4</v>
      </c>
      <c r="E1037" s="11">
        <f t="shared" si="81"/>
        <v>5.616881528458263E-3</v>
      </c>
      <c r="F1037">
        <f t="shared" si="84"/>
        <v>1.7599392035802127E-2</v>
      </c>
      <c r="G1037">
        <f t="shared" si="82"/>
        <v>0.31915202053752434</v>
      </c>
      <c r="H1037">
        <f t="shared" si="83"/>
        <v>3.0700233816437379</v>
      </c>
    </row>
    <row r="1038" spans="1:8" x14ac:dyDescent="0.25">
      <c r="A1038" s="13">
        <v>41773</v>
      </c>
      <c r="B1038">
        <v>525.21044670000003</v>
      </c>
      <c r="C1038" s="12">
        <v>-1.2080503364089501E-2</v>
      </c>
      <c r="D1038" s="12">
        <f t="shared" si="80"/>
        <v>1.4591540787139748E-4</v>
      </c>
      <c r="E1038" s="11">
        <f t="shared" si="81"/>
        <v>-1.2226418771960899E-2</v>
      </c>
      <c r="F1038">
        <f t="shared" si="84"/>
        <v>1.4696789965275948E-2</v>
      </c>
      <c r="G1038">
        <f t="shared" si="82"/>
        <v>-0.83191083228706497</v>
      </c>
      <c r="H1038">
        <f t="shared" si="83"/>
        <v>2.9551498291097507</v>
      </c>
    </row>
    <row r="1039" spans="1:8" x14ac:dyDescent="0.25">
      <c r="A1039" s="13">
        <v>41774</v>
      </c>
      <c r="B1039">
        <v>518.55862130000003</v>
      </c>
      <c r="C1039" s="12">
        <v>-1.2665066816158643E-2</v>
      </c>
      <c r="D1039" s="12">
        <f t="shared" si="80"/>
        <v>-1.6734004758754895E-4</v>
      </c>
      <c r="E1039" s="11">
        <f t="shared" si="81"/>
        <v>-1.2497726768571095E-2</v>
      </c>
      <c r="F1039">
        <f t="shared" si="84"/>
        <v>1.5593328808327606E-2</v>
      </c>
      <c r="G1039">
        <f t="shared" si="82"/>
        <v>-0.80147907622500025</v>
      </c>
      <c r="H1039">
        <f t="shared" si="83"/>
        <v>2.9207892086648255</v>
      </c>
    </row>
    <row r="1040" spans="1:8" x14ac:dyDescent="0.25">
      <c r="A1040" s="13">
        <v>41775</v>
      </c>
      <c r="B1040">
        <v>519.20687950000001</v>
      </c>
      <c r="C1040" s="12">
        <v>1.2501155575714851E-3</v>
      </c>
      <c r="D1040" s="12">
        <f t="shared" si="80"/>
        <v>-2.2260155945372001E-4</v>
      </c>
      <c r="E1040" s="11">
        <f t="shared" si="81"/>
        <v>1.4727171170252052E-3</v>
      </c>
      <c r="F1040">
        <f t="shared" si="84"/>
        <v>1.5579371504463795E-2</v>
      </c>
      <c r="G1040">
        <f t="shared" si="82"/>
        <v>9.4529944074011135E-2</v>
      </c>
      <c r="H1040">
        <f t="shared" si="83"/>
        <v>3.2384010908784298</v>
      </c>
    </row>
    <row r="1041" spans="1:8" x14ac:dyDescent="0.25">
      <c r="A1041" s="13">
        <v>41778</v>
      </c>
      <c r="B1041">
        <v>527.41437480000002</v>
      </c>
      <c r="C1041" s="12">
        <v>1.5807755297664539E-2</v>
      </c>
      <c r="D1041" s="12">
        <f t="shared" si="80"/>
        <v>-1.3641264965270458E-5</v>
      </c>
      <c r="E1041" s="11">
        <f t="shared" si="81"/>
        <v>1.5821396562629809E-2</v>
      </c>
      <c r="F1041">
        <f t="shared" si="84"/>
        <v>1.4277855771997874E-2</v>
      </c>
      <c r="G1041">
        <f t="shared" si="82"/>
        <v>1.1081073247468411</v>
      </c>
      <c r="H1041">
        <f t="shared" si="83"/>
        <v>2.7161560345843281</v>
      </c>
    </row>
    <row r="1042" spans="1:8" x14ac:dyDescent="0.25">
      <c r="A1042" s="13">
        <v>41779</v>
      </c>
      <c r="B1042">
        <v>528.32191020000005</v>
      </c>
      <c r="C1042" s="12">
        <v>1.7207255686653156E-3</v>
      </c>
      <c r="D1042" s="12">
        <f t="shared" si="80"/>
        <v>2.4229991623563233E-4</v>
      </c>
      <c r="E1042" s="11">
        <f t="shared" si="81"/>
        <v>1.4784256524296832E-3</v>
      </c>
      <c r="F1042">
        <f t="shared" si="84"/>
        <v>1.6577729952297626E-2</v>
      </c>
      <c r="G1042">
        <f t="shared" si="82"/>
        <v>8.9181429344297986E-2</v>
      </c>
      <c r="H1042">
        <f t="shared" si="83"/>
        <v>3.176779856593261</v>
      </c>
    </row>
    <row r="1043" spans="1:8" x14ac:dyDescent="0.25">
      <c r="A1043" s="13">
        <v>41780</v>
      </c>
      <c r="B1043">
        <v>537.46684979999998</v>
      </c>
      <c r="C1043" s="12">
        <v>1.730940819118798E-2</v>
      </c>
      <c r="D1043" s="12">
        <f t="shared" si="80"/>
        <v>6.6650888999022963E-5</v>
      </c>
      <c r="E1043" s="11">
        <f t="shared" si="81"/>
        <v>1.7242757302188959E-2</v>
      </c>
      <c r="F1043">
        <f t="shared" si="84"/>
        <v>1.4383453511824591E-2</v>
      </c>
      <c r="G1043">
        <f t="shared" si="82"/>
        <v>1.1987911865543102</v>
      </c>
      <c r="H1043">
        <f t="shared" si="83"/>
        <v>2.6041881070717374</v>
      </c>
    </row>
    <row r="1044" spans="1:8" x14ac:dyDescent="0.25">
      <c r="A1044" s="13">
        <v>41781</v>
      </c>
      <c r="B1044">
        <v>543.57008729999995</v>
      </c>
      <c r="C1044" s="12">
        <v>1.1355560816952881E-2</v>
      </c>
      <c r="D1044" s="12">
        <f t="shared" si="80"/>
        <v>2.6622138178192652E-4</v>
      </c>
      <c r="E1044" s="11">
        <f t="shared" si="81"/>
        <v>1.1089339435170955E-2</v>
      </c>
      <c r="F1044">
        <f t="shared" si="84"/>
        <v>1.6968563918882611E-2</v>
      </c>
      <c r="G1044">
        <f t="shared" si="82"/>
        <v>0.6535225660923929</v>
      </c>
      <c r="H1044">
        <f t="shared" si="83"/>
        <v>2.943908422613756</v>
      </c>
    </row>
    <row r="1045" spans="1:8" x14ac:dyDescent="0.25">
      <c r="A1045" s="13">
        <v>41782</v>
      </c>
      <c r="B1045">
        <v>551.18920200000002</v>
      </c>
      <c r="C1045" s="12">
        <v>1.4016802760147051E-2</v>
      </c>
      <c r="D1045" s="12">
        <f t="shared" si="80"/>
        <v>2.1623384172264769E-4</v>
      </c>
      <c r="E1045" s="11">
        <f t="shared" si="81"/>
        <v>1.3800568918424403E-2</v>
      </c>
      <c r="F1045">
        <f t="shared" si="84"/>
        <v>1.5291495767527743E-2</v>
      </c>
      <c r="G1045">
        <f t="shared" si="82"/>
        <v>0.902499606855374</v>
      </c>
      <c r="H1045">
        <f t="shared" si="83"/>
        <v>2.8542671339117272</v>
      </c>
    </row>
    <row r="1046" spans="1:8" x14ac:dyDescent="0.25">
      <c r="A1046" s="13">
        <v>41786</v>
      </c>
      <c r="B1046">
        <v>564.40300649999995</v>
      </c>
      <c r="C1046" s="12">
        <v>2.3973264447223253E-2</v>
      </c>
      <c r="D1046" s="12">
        <f t="shared" si="80"/>
        <v>2.4118304436545983E-4</v>
      </c>
      <c r="E1046" s="11">
        <f t="shared" si="81"/>
        <v>2.3732081402857794E-2</v>
      </c>
      <c r="F1046">
        <f t="shared" si="84"/>
        <v>1.5886136902784596E-2</v>
      </c>
      <c r="G1046">
        <f t="shared" si="82"/>
        <v>1.4938862448489869</v>
      </c>
      <c r="H1046">
        <f t="shared" si="83"/>
        <v>2.1075218535031057</v>
      </c>
    </row>
    <row r="1047" spans="1:8" x14ac:dyDescent="0.25">
      <c r="A1047" s="13">
        <v>41787</v>
      </c>
      <c r="B1047">
        <v>560.14468680000004</v>
      </c>
      <c r="C1047" s="12">
        <v>-7.5448210781278169E-3</v>
      </c>
      <c r="D1047" s="12">
        <f t="shared" si="80"/>
        <v>3.9861060269922465E-4</v>
      </c>
      <c r="E1047" s="11">
        <f t="shared" si="81"/>
        <v>-7.9434316808270414E-3</v>
      </c>
      <c r="F1047">
        <f t="shared" si="84"/>
        <v>1.8466177012621699E-2</v>
      </c>
      <c r="G1047">
        <f t="shared" si="82"/>
        <v>-0.43016113597295624</v>
      </c>
      <c r="H1047">
        <f t="shared" si="83"/>
        <v>2.9803566551551093</v>
      </c>
    </row>
    <row r="1048" spans="1:8" x14ac:dyDescent="0.25">
      <c r="A1048" s="13">
        <v>41788</v>
      </c>
      <c r="B1048">
        <v>558.54903760000002</v>
      </c>
      <c r="C1048" s="12">
        <v>-2.8486375709741996E-3</v>
      </c>
      <c r="D1048" s="12">
        <f t="shared" si="80"/>
        <v>-5.2502366476808677E-5</v>
      </c>
      <c r="E1048" s="11">
        <f t="shared" si="81"/>
        <v>-2.7961352044973907E-3</v>
      </c>
      <c r="F1048">
        <f t="shared" si="84"/>
        <v>1.4969929523228528E-2</v>
      </c>
      <c r="G1048">
        <f t="shared" si="82"/>
        <v>-0.18678345814245056</v>
      </c>
      <c r="H1048">
        <f t="shared" si="83"/>
        <v>3.265329225106349</v>
      </c>
    </row>
    <row r="1049" spans="1:8" x14ac:dyDescent="0.25">
      <c r="A1049" s="13">
        <v>41789</v>
      </c>
      <c r="B1049">
        <v>558.3595828</v>
      </c>
      <c r="C1049" s="12">
        <v>-3.3919098816115323E-4</v>
      </c>
      <c r="D1049" s="12">
        <f t="shared" si="80"/>
        <v>-6.247468868377575E-5</v>
      </c>
      <c r="E1049" s="11">
        <f t="shared" si="81"/>
        <v>-2.7671629947737745E-4</v>
      </c>
      <c r="F1049">
        <f t="shared" si="84"/>
        <v>1.4270860516193487E-2</v>
      </c>
      <c r="G1049">
        <f t="shared" si="82"/>
        <v>-1.9390302299106689E-2</v>
      </c>
      <c r="H1049">
        <f t="shared" si="83"/>
        <v>3.3304090217289581</v>
      </c>
    </row>
    <row r="1050" spans="1:8" x14ac:dyDescent="0.25">
      <c r="A1050" s="13">
        <v>41792</v>
      </c>
      <c r="B1050">
        <v>552.41583030000004</v>
      </c>
      <c r="C1050" s="12">
        <v>-1.0645026400718183E-2</v>
      </c>
      <c r="D1050" s="12">
        <f t="shared" si="80"/>
        <v>-1.2451069632352103E-5</v>
      </c>
      <c r="E1050" s="11">
        <f t="shared" si="81"/>
        <v>-1.0632575331085831E-2</v>
      </c>
      <c r="F1050">
        <f t="shared" si="84"/>
        <v>1.4127175856407791E-2</v>
      </c>
      <c r="G1050">
        <f t="shared" si="82"/>
        <v>-0.75263275824963394</v>
      </c>
      <c r="H1050">
        <f t="shared" si="83"/>
        <v>3.057488403281603</v>
      </c>
    </row>
    <row r="1051" spans="1:8" x14ac:dyDescent="0.25">
      <c r="A1051" s="13">
        <v>41793</v>
      </c>
      <c r="B1051">
        <v>543.45039689999999</v>
      </c>
      <c r="C1051" s="12">
        <v>-1.6229501234841903E-2</v>
      </c>
      <c r="D1051" s="12">
        <f t="shared" si="80"/>
        <v>-1.6187427167771825E-4</v>
      </c>
      <c r="E1051" s="11">
        <f t="shared" si="81"/>
        <v>-1.6067626963164185E-2</v>
      </c>
      <c r="F1051">
        <f t="shared" si="84"/>
        <v>1.5292975777028674E-2</v>
      </c>
      <c r="G1051">
        <f t="shared" si="82"/>
        <v>-1.050654051731325</v>
      </c>
      <c r="H1051">
        <f t="shared" si="83"/>
        <v>2.7094861541284194</v>
      </c>
    </row>
    <row r="1052" spans="1:8" x14ac:dyDescent="0.25">
      <c r="A1052" s="13">
        <v>41794</v>
      </c>
      <c r="B1052">
        <v>543.17115960000001</v>
      </c>
      <c r="C1052" s="12">
        <v>-5.1382297555180312E-4</v>
      </c>
      <c r="D1052" s="12">
        <f t="shared" si="80"/>
        <v>-2.7282333589454146E-4</v>
      </c>
      <c r="E1052" s="11">
        <f t="shared" si="81"/>
        <v>-2.4099963965726166E-4</v>
      </c>
      <c r="F1052">
        <f t="shared" si="84"/>
        <v>1.6434922441442089E-2</v>
      </c>
      <c r="G1052">
        <f t="shared" si="82"/>
        <v>-1.4663874473149936E-2</v>
      </c>
      <c r="H1052">
        <f t="shared" si="83"/>
        <v>3.189300743174226</v>
      </c>
    </row>
    <row r="1053" spans="1:8" x14ac:dyDescent="0.25">
      <c r="A1053" s="13">
        <v>41795</v>
      </c>
      <c r="B1053">
        <v>552.38592340000002</v>
      </c>
      <c r="C1053" s="12">
        <v>1.6964751602029038E-2</v>
      </c>
      <c r="D1053" s="12">
        <f t="shared" si="80"/>
        <v>-4.9480754860665688E-5</v>
      </c>
      <c r="E1053" s="11">
        <f t="shared" si="81"/>
        <v>1.7014232356889702E-2</v>
      </c>
      <c r="F1053">
        <f t="shared" si="84"/>
        <v>1.4351175249662508E-2</v>
      </c>
      <c r="G1053">
        <f t="shared" si="82"/>
        <v>1.1855636950214108</v>
      </c>
      <c r="H1053">
        <f t="shared" si="83"/>
        <v>2.6222042705177726</v>
      </c>
    </row>
    <row r="1054" spans="1:8" x14ac:dyDescent="0.25">
      <c r="A1054" s="13">
        <v>41796</v>
      </c>
      <c r="B1054">
        <v>554.80927410000004</v>
      </c>
      <c r="C1054" s="12">
        <v>4.3870609248766179E-3</v>
      </c>
      <c r="D1054" s="12">
        <f t="shared" si="80"/>
        <v>2.5526583777969107E-4</v>
      </c>
      <c r="E1054" s="11">
        <f t="shared" si="81"/>
        <v>4.1317950870969266E-3</v>
      </c>
      <c r="F1054">
        <f t="shared" si="84"/>
        <v>1.6908879877479688E-2</v>
      </c>
      <c r="G1054">
        <f t="shared" si="82"/>
        <v>0.24435652255120174</v>
      </c>
      <c r="H1054">
        <f t="shared" si="83"/>
        <v>3.1311227702479609</v>
      </c>
    </row>
    <row r="1055" spans="1:8" x14ac:dyDescent="0.25">
      <c r="A1055" s="13">
        <v>41799</v>
      </c>
      <c r="B1055">
        <v>560.5834701</v>
      </c>
      <c r="C1055" s="12">
        <v>1.0407533308391059E-2</v>
      </c>
      <c r="D1055" s="12">
        <f t="shared" si="80"/>
        <v>1.0995179078326331E-4</v>
      </c>
      <c r="E1055" s="11">
        <f t="shared" si="81"/>
        <v>1.0297581517607795E-2</v>
      </c>
      <c r="F1055">
        <f t="shared" si="84"/>
        <v>1.4530026731955224E-2</v>
      </c>
      <c r="G1055">
        <f t="shared" si="82"/>
        <v>0.70871043168563452</v>
      </c>
      <c r="H1055">
        <f t="shared" si="83"/>
        <v>3.0614641904302613</v>
      </c>
    </row>
    <row r="1056" spans="1:8" x14ac:dyDescent="0.25">
      <c r="A1056" s="13">
        <v>41800</v>
      </c>
      <c r="B1056">
        <v>559.01772779999999</v>
      </c>
      <c r="C1056" s="12">
        <v>-2.7930582750160804E-3</v>
      </c>
      <c r="D1056" s="12">
        <f t="shared" si="80"/>
        <v>1.6868517478600014E-4</v>
      </c>
      <c r="E1056" s="11">
        <f t="shared" si="81"/>
        <v>-2.9617434498020803E-3</v>
      </c>
      <c r="F1056">
        <f t="shared" si="84"/>
        <v>1.5200384953237892E-2</v>
      </c>
      <c r="G1056">
        <f t="shared" si="82"/>
        <v>-0.19484660809009235</v>
      </c>
      <c r="H1056">
        <f t="shared" si="83"/>
        <v>3.248513392032907</v>
      </c>
    </row>
    <row r="1057" spans="1:8" x14ac:dyDescent="0.25">
      <c r="A1057" s="13">
        <v>41801</v>
      </c>
      <c r="B1057">
        <v>557.31239779999999</v>
      </c>
      <c r="C1057" s="12">
        <v>-3.0505830409194301E-3</v>
      </c>
      <c r="D1057" s="12">
        <f t="shared" si="80"/>
        <v>-1.549703752159478E-5</v>
      </c>
      <c r="E1057" s="11">
        <f t="shared" si="81"/>
        <v>-3.0350860033978352E-3</v>
      </c>
      <c r="F1057">
        <f t="shared" si="84"/>
        <v>1.4300858183264861E-2</v>
      </c>
      <c r="G1057">
        <f t="shared" si="82"/>
        <v>-0.21223103987909978</v>
      </c>
      <c r="H1057">
        <f t="shared" si="83"/>
        <v>3.3059761903524936</v>
      </c>
    </row>
    <row r="1058" spans="1:8" x14ac:dyDescent="0.25">
      <c r="A1058" s="13">
        <v>41802</v>
      </c>
      <c r="B1058">
        <v>549.84288240000001</v>
      </c>
      <c r="C1058" s="12">
        <v>-1.3402744007644518E-2</v>
      </c>
      <c r="D1058" s="12">
        <f t="shared" si="80"/>
        <v>-5.3317155011874116E-5</v>
      </c>
      <c r="E1058" s="11">
        <f t="shared" si="81"/>
        <v>-1.3349426852632644E-2</v>
      </c>
      <c r="F1058">
        <f t="shared" si="84"/>
        <v>1.4226619907121771E-2</v>
      </c>
      <c r="G1058">
        <f t="shared" si="82"/>
        <v>-0.93834142893984196</v>
      </c>
      <c r="H1058">
        <f t="shared" si="83"/>
        <v>2.8934595761383806</v>
      </c>
    </row>
    <row r="1059" spans="1:8" x14ac:dyDescent="0.25">
      <c r="A1059" s="13">
        <v>41803</v>
      </c>
      <c r="B1059">
        <v>550.25175879999995</v>
      </c>
      <c r="C1059" s="12">
        <v>7.43624066233739E-4</v>
      </c>
      <c r="D1059" s="12">
        <f t="shared" si="80"/>
        <v>-2.1055205245992405E-4</v>
      </c>
      <c r="E1059" s="11">
        <f t="shared" si="81"/>
        <v>9.5417611869366302E-4</v>
      </c>
      <c r="F1059">
        <f t="shared" si="84"/>
        <v>1.5918241248199676E-2</v>
      </c>
      <c r="G1059">
        <f t="shared" si="82"/>
        <v>5.9942307935657066E-2</v>
      </c>
      <c r="H1059">
        <f t="shared" si="83"/>
        <v>3.2195545056829591</v>
      </c>
    </row>
    <row r="1060" spans="1:8" x14ac:dyDescent="0.25">
      <c r="A1060" s="13">
        <v>41806</v>
      </c>
      <c r="B1060">
        <v>542.7922519</v>
      </c>
      <c r="C1060" s="12">
        <v>-1.3556534405755993E-2</v>
      </c>
      <c r="D1060" s="12">
        <f t="shared" si="80"/>
        <v>-2.3197593051090138E-5</v>
      </c>
      <c r="E1060" s="11">
        <f t="shared" si="81"/>
        <v>-1.3533336812704903E-2</v>
      </c>
      <c r="F1060">
        <f t="shared" si="84"/>
        <v>1.4302307440046425E-2</v>
      </c>
      <c r="G1060">
        <f t="shared" si="82"/>
        <v>-0.94623450582607349</v>
      </c>
      <c r="H1060">
        <f t="shared" si="83"/>
        <v>2.8807159920768752</v>
      </c>
    </row>
    <row r="1061" spans="1:8" x14ac:dyDescent="0.25">
      <c r="A1061" s="13">
        <v>41807</v>
      </c>
      <c r="B1061">
        <v>541.52570619999995</v>
      </c>
      <c r="C1061" s="12">
        <v>-2.3333894239768727E-3</v>
      </c>
      <c r="D1061" s="12">
        <f t="shared" si="80"/>
        <v>-2.0312707948421724E-4</v>
      </c>
      <c r="E1061" s="11">
        <f t="shared" si="81"/>
        <v>-2.1302623444926553E-3</v>
      </c>
      <c r="F1061">
        <f t="shared" si="84"/>
        <v>1.5953356625174539E-2</v>
      </c>
      <c r="G1061">
        <f t="shared" si="82"/>
        <v>-0.13353066658906643</v>
      </c>
      <c r="H1061">
        <f t="shared" si="83"/>
        <v>3.2102322725081485</v>
      </c>
    </row>
    <row r="1062" spans="1:8" x14ac:dyDescent="0.25">
      <c r="A1062" s="13">
        <v>41808</v>
      </c>
      <c r="B1062">
        <v>551.8573566</v>
      </c>
      <c r="C1062" s="12">
        <v>1.9078781084095553E-2</v>
      </c>
      <c r="D1062" s="12">
        <f t="shared" si="80"/>
        <v>-7.0131657774345039E-5</v>
      </c>
      <c r="E1062" s="11">
        <f t="shared" si="81"/>
        <v>1.9148912741869899E-2</v>
      </c>
      <c r="F1062">
        <f t="shared" si="84"/>
        <v>1.4336530090787964E-2</v>
      </c>
      <c r="G1062">
        <f t="shared" si="82"/>
        <v>1.3356727618612656</v>
      </c>
      <c r="H1062">
        <f t="shared" si="83"/>
        <v>2.4339950506405046</v>
      </c>
    </row>
    <row r="1063" spans="1:8" x14ac:dyDescent="0.25">
      <c r="A1063" s="13">
        <v>41809</v>
      </c>
      <c r="B1063">
        <v>553.38318149999998</v>
      </c>
      <c r="C1063" s="12">
        <v>2.7648900241188379E-3</v>
      </c>
      <c r="D1063" s="12">
        <f t="shared" si="80"/>
        <v>2.8256361260099673E-4</v>
      </c>
      <c r="E1063" s="11">
        <f t="shared" si="81"/>
        <v>2.482326411517841E-3</v>
      </c>
      <c r="F1063">
        <f t="shared" si="84"/>
        <v>1.7580173796730193E-2</v>
      </c>
      <c r="G1063">
        <f t="shared" si="82"/>
        <v>0.14120033397960713</v>
      </c>
      <c r="H1063">
        <f t="shared" si="83"/>
        <v>3.1120762003629618</v>
      </c>
    </row>
    <row r="1064" spans="1:8" x14ac:dyDescent="0.25">
      <c r="A1064" s="13">
        <v>41810</v>
      </c>
      <c r="B1064">
        <v>554.83918100000005</v>
      </c>
      <c r="C1064" s="12">
        <v>2.6310873706958393E-3</v>
      </c>
      <c r="D1064" s="12">
        <f t="shared" si="80"/>
        <v>9.0849978457089816E-5</v>
      </c>
      <c r="E1064" s="11">
        <f t="shared" si="81"/>
        <v>2.5402373922387496E-3</v>
      </c>
      <c r="F1064">
        <f t="shared" si="84"/>
        <v>1.4522754793597832E-2</v>
      </c>
      <c r="G1064">
        <f t="shared" si="82"/>
        <v>0.17491429335146388</v>
      </c>
      <c r="H1064">
        <f t="shared" si="83"/>
        <v>3.297802525289844</v>
      </c>
    </row>
    <row r="1065" spans="1:8" x14ac:dyDescent="0.25">
      <c r="A1065" s="13">
        <v>41813</v>
      </c>
      <c r="B1065">
        <v>563.40574849999996</v>
      </c>
      <c r="C1065" s="12">
        <v>1.5439730634307702E-2</v>
      </c>
      <c r="D1065" s="12">
        <f t="shared" si="80"/>
        <v>4.6900027903794646E-5</v>
      </c>
      <c r="E1065" s="11">
        <f t="shared" si="81"/>
        <v>1.5392830606403908E-2</v>
      </c>
      <c r="F1065">
        <f t="shared" si="84"/>
        <v>1.4217113998498209E-2</v>
      </c>
      <c r="G1065">
        <f t="shared" si="82"/>
        <v>1.0826972765379734</v>
      </c>
      <c r="H1065">
        <f t="shared" si="83"/>
        <v>2.7482535993809938</v>
      </c>
    </row>
    <row r="1066" spans="1:8" x14ac:dyDescent="0.25">
      <c r="A1066" s="13">
        <v>41814</v>
      </c>
      <c r="B1066">
        <v>563.07664509999995</v>
      </c>
      <c r="C1066" s="12">
        <v>-5.8413213013219778E-4</v>
      </c>
      <c r="D1066" s="12">
        <f t="shared" si="80"/>
        <v>2.4028272063408602E-4</v>
      </c>
      <c r="E1066" s="11">
        <f t="shared" si="81"/>
        <v>-8.244148507662838E-4</v>
      </c>
      <c r="F1066">
        <f t="shared" si="84"/>
        <v>1.6469464399341775E-2</v>
      </c>
      <c r="G1066">
        <f t="shared" si="82"/>
        <v>-5.0057174342550734E-2</v>
      </c>
      <c r="H1066">
        <f t="shared" si="83"/>
        <v>3.1860558615379273</v>
      </c>
    </row>
    <row r="1067" spans="1:8" x14ac:dyDescent="0.25">
      <c r="A1067" s="13">
        <v>41815</v>
      </c>
      <c r="B1067">
        <v>577.06828599999994</v>
      </c>
      <c r="C1067" s="12">
        <v>2.4848554849074223E-2</v>
      </c>
      <c r="D1067" s="12">
        <f t="shared" si="80"/>
        <v>3.0844853501233778E-5</v>
      </c>
      <c r="E1067" s="11">
        <f t="shared" si="81"/>
        <v>2.4817709995572989E-2</v>
      </c>
      <c r="F1067">
        <f t="shared" si="84"/>
        <v>1.4359870792123282E-2</v>
      </c>
      <c r="G1067">
        <f t="shared" si="82"/>
        <v>1.7282683357559228</v>
      </c>
      <c r="H1067">
        <f t="shared" si="83"/>
        <v>1.8309234597725959</v>
      </c>
    </row>
    <row r="1068" spans="1:8" x14ac:dyDescent="0.25">
      <c r="A1068" s="13">
        <v>41816</v>
      </c>
      <c r="B1068">
        <v>574.42551279999998</v>
      </c>
      <c r="C1068" s="12">
        <v>-4.5796542005774876E-3</v>
      </c>
      <c r="D1068" s="12">
        <f t="shared" si="80"/>
        <v>3.7432510416240706E-4</v>
      </c>
      <c r="E1068" s="11">
        <f t="shared" si="81"/>
        <v>-4.9539793047398946E-3</v>
      </c>
      <c r="F1068">
        <f t="shared" si="84"/>
        <v>1.9566348603442047E-2</v>
      </c>
      <c r="G1068">
        <f t="shared" si="82"/>
        <v>-0.25318874794392693</v>
      </c>
      <c r="H1068">
        <f t="shared" si="83"/>
        <v>2.9829532920616497</v>
      </c>
    </row>
    <row r="1069" spans="1:8" x14ac:dyDescent="0.25">
      <c r="A1069" s="13">
        <v>41817</v>
      </c>
      <c r="B1069">
        <v>575.66215160000002</v>
      </c>
      <c r="C1069" s="12">
        <v>2.1528270810466932E-3</v>
      </c>
      <c r="D1069" s="12">
        <f t="shared" si="80"/>
        <v>-5.4057112012511369E-6</v>
      </c>
      <c r="E1069" s="11">
        <f t="shared" si="81"/>
        <v>2.1582327922479443E-3</v>
      </c>
      <c r="F1069">
        <f t="shared" si="84"/>
        <v>1.4856339612435623E-2</v>
      </c>
      <c r="G1069">
        <f t="shared" si="82"/>
        <v>0.14527352285628806</v>
      </c>
      <c r="H1069">
        <f t="shared" si="83"/>
        <v>3.2798378634790093</v>
      </c>
    </row>
    <row r="1070" spans="1:8" x14ac:dyDescent="0.25">
      <c r="A1070" s="13">
        <v>41820</v>
      </c>
      <c r="B1070">
        <v>573.70749209999997</v>
      </c>
      <c r="C1070" s="12">
        <v>-3.3954976796151115E-3</v>
      </c>
      <c r="D1070" s="12">
        <f t="shared" si="80"/>
        <v>2.079123005702297E-5</v>
      </c>
      <c r="E1070" s="11">
        <f t="shared" si="81"/>
        <v>-3.4162889096721345E-3</v>
      </c>
      <c r="F1070">
        <f t="shared" si="84"/>
        <v>1.4229793609171237E-2</v>
      </c>
      <c r="G1070">
        <f t="shared" si="82"/>
        <v>-0.24008000421526168</v>
      </c>
      <c r="H1070">
        <f t="shared" si="83"/>
        <v>3.3046596334922009</v>
      </c>
    </row>
    <row r="1071" spans="1:8" x14ac:dyDescent="0.25">
      <c r="A1071" s="13">
        <v>41821</v>
      </c>
      <c r="B1071">
        <v>581.07727629999999</v>
      </c>
      <c r="C1071" s="12">
        <v>1.2845891506529927E-2</v>
      </c>
      <c r="D1071" s="12">
        <f t="shared" si="80"/>
        <v>-4.5823094142264322E-5</v>
      </c>
      <c r="E1071" s="11">
        <f t="shared" si="81"/>
        <v>1.2891714600672191E-2</v>
      </c>
      <c r="F1071">
        <f t="shared" si="84"/>
        <v>1.4246883834879058E-2</v>
      </c>
      <c r="G1071">
        <f t="shared" si="82"/>
        <v>0.90487960385490351</v>
      </c>
      <c r="H1071">
        <f t="shared" si="83"/>
        <v>2.9228749924941781</v>
      </c>
    </row>
    <row r="1072" spans="1:8" x14ac:dyDescent="0.25">
      <c r="A1072" s="13">
        <v>41822</v>
      </c>
      <c r="B1072">
        <v>580.74322949999998</v>
      </c>
      <c r="C1072" s="12">
        <v>-5.748750013544468E-4</v>
      </c>
      <c r="D1072" s="12">
        <f t="shared" si="80"/>
        <v>1.8556359824943602E-4</v>
      </c>
      <c r="E1072" s="11">
        <f t="shared" si="81"/>
        <v>-7.6043859960388282E-4</v>
      </c>
      <c r="F1072">
        <f t="shared" si="84"/>
        <v>1.5800828403832765E-2</v>
      </c>
      <c r="G1072">
        <f t="shared" si="82"/>
        <v>-4.812650198893529E-2</v>
      </c>
      <c r="H1072">
        <f t="shared" si="83"/>
        <v>3.2275962963998079</v>
      </c>
    </row>
    <row r="1073" spans="1:8" x14ac:dyDescent="0.25">
      <c r="A1073" s="13">
        <v>41823</v>
      </c>
      <c r="B1073">
        <v>583.13166799999999</v>
      </c>
      <c r="C1073" s="12">
        <v>4.1127272410155236E-3</v>
      </c>
      <c r="D1073" s="12">
        <f t="shared" si="80"/>
        <v>2.4318772901194577E-5</v>
      </c>
      <c r="E1073" s="11">
        <f t="shared" si="81"/>
        <v>4.0884084681143294E-3</v>
      </c>
      <c r="F1073">
        <f t="shared" si="84"/>
        <v>1.4287045436448622E-2</v>
      </c>
      <c r="G1073">
        <f t="shared" si="82"/>
        <v>0.28616192804175744</v>
      </c>
      <c r="H1073">
        <f t="shared" si="83"/>
        <v>3.2885192081040326</v>
      </c>
    </row>
    <row r="1074" spans="1:8" x14ac:dyDescent="0.25">
      <c r="A1074" s="13">
        <v>41827</v>
      </c>
      <c r="B1074">
        <v>580.65845119999994</v>
      </c>
      <c r="C1074" s="12">
        <v>-4.2412664852906623E-3</v>
      </c>
      <c r="D1074" s="12">
        <f t="shared" si="80"/>
        <v>6.0726249167401956E-5</v>
      </c>
      <c r="E1074" s="11">
        <f t="shared" si="81"/>
        <v>-4.301992734458064E-3</v>
      </c>
      <c r="F1074">
        <f t="shared" si="84"/>
        <v>1.4304431840884613E-2</v>
      </c>
      <c r="G1074">
        <f t="shared" si="82"/>
        <v>-0.30074544604855979</v>
      </c>
      <c r="H1074">
        <f t="shared" si="83"/>
        <v>3.2830234259241049</v>
      </c>
    </row>
    <row r="1075" spans="1:8" x14ac:dyDescent="0.25">
      <c r="A1075" s="13">
        <v>41828</v>
      </c>
      <c r="B1075">
        <v>569.52894530000003</v>
      </c>
      <c r="C1075" s="12">
        <v>-1.9167043684629848E-2</v>
      </c>
      <c r="D1075" s="12">
        <f t="shared" si="80"/>
        <v>-5.3578185313292503E-5</v>
      </c>
      <c r="E1075" s="11">
        <f t="shared" si="81"/>
        <v>-1.9113465499316556E-2</v>
      </c>
      <c r="F1075">
        <f t="shared" si="84"/>
        <v>1.4324422728331274E-2</v>
      </c>
      <c r="G1075">
        <f t="shared" si="82"/>
        <v>-1.3343271042618263</v>
      </c>
      <c r="H1075">
        <f t="shared" si="83"/>
        <v>2.4366363716015496</v>
      </c>
    </row>
    <row r="1076" spans="1:8" x14ac:dyDescent="0.25">
      <c r="A1076" s="13">
        <v>41829</v>
      </c>
      <c r="B1076">
        <v>574.50528569999994</v>
      </c>
      <c r="C1076" s="12">
        <v>8.7376426449732314E-3</v>
      </c>
      <c r="D1076" s="12">
        <f t="shared" si="80"/>
        <v>-3.0079523155738868E-4</v>
      </c>
      <c r="E1076" s="11">
        <f t="shared" si="81"/>
        <v>9.0384378765306205E-3</v>
      </c>
      <c r="F1076">
        <f t="shared" si="84"/>
        <v>1.75729612502416E-2</v>
      </c>
      <c r="G1076">
        <f t="shared" si="82"/>
        <v>0.51433777994624308</v>
      </c>
      <c r="H1076">
        <f t="shared" si="83"/>
        <v>2.9901836417007734</v>
      </c>
    </row>
    <row r="1077" spans="1:8" x14ac:dyDescent="0.25">
      <c r="A1077" s="13">
        <v>41830</v>
      </c>
      <c r="B1077">
        <v>569.53889400000003</v>
      </c>
      <c r="C1077" s="12">
        <v>-8.6446405692310879E-3</v>
      </c>
      <c r="D1077" s="12">
        <f t="shared" si="80"/>
        <v>8.2895253134277142E-5</v>
      </c>
      <c r="E1077" s="11">
        <f t="shared" si="81"/>
        <v>-8.7275358223653648E-3</v>
      </c>
      <c r="F1077">
        <f t="shared" si="84"/>
        <v>1.5029167683724091E-2</v>
      </c>
      <c r="G1077">
        <f t="shared" si="82"/>
        <v>-0.58070653052975729</v>
      </c>
      <c r="H1077">
        <f t="shared" si="83"/>
        <v>3.1102138832437216</v>
      </c>
    </row>
    <row r="1078" spans="1:8" x14ac:dyDescent="0.25">
      <c r="A1078" s="13">
        <v>41831</v>
      </c>
      <c r="B1078">
        <v>577.59685279999997</v>
      </c>
      <c r="C1078" s="12">
        <v>1.4148215134891062E-2</v>
      </c>
      <c r="D1078" s="12">
        <f t="shared" si="80"/>
        <v>-1.0829188652037857E-4</v>
      </c>
      <c r="E1078" s="11">
        <f t="shared" si="81"/>
        <v>1.425650702141144E-2</v>
      </c>
      <c r="F1078">
        <f t="shared" si="84"/>
        <v>1.4911597317917092E-2</v>
      </c>
      <c r="G1078">
        <f t="shared" si="82"/>
        <v>0.95606840216114708</v>
      </c>
      <c r="H1078">
        <f t="shared" si="83"/>
        <v>2.8296440972884009</v>
      </c>
    </row>
    <row r="1079" spans="1:8" x14ac:dyDescent="0.25">
      <c r="A1079" s="13">
        <v>41834</v>
      </c>
      <c r="B1079">
        <v>583.27125579999995</v>
      </c>
      <c r="C1079" s="12">
        <v>9.8241584463147902E-3</v>
      </c>
      <c r="D1079" s="12">
        <f t="shared" si="80"/>
        <v>1.9177067372219155E-4</v>
      </c>
      <c r="E1079" s="11">
        <f t="shared" si="81"/>
        <v>9.6323877725925985E-3</v>
      </c>
      <c r="F1079">
        <f t="shared" si="84"/>
        <v>1.6042674526675058E-2</v>
      </c>
      <c r="G1079">
        <f t="shared" si="82"/>
        <v>0.60042281332681069</v>
      </c>
      <c r="H1079">
        <f t="shared" si="83"/>
        <v>3.0333106387926709</v>
      </c>
    </row>
    <row r="1080" spans="1:8" x14ac:dyDescent="0.25">
      <c r="A1080" s="13">
        <v>41835</v>
      </c>
      <c r="B1080">
        <v>583.18153410000002</v>
      </c>
      <c r="C1080" s="12">
        <v>-1.5382499841665176E-4</v>
      </c>
      <c r="D1080" s="12">
        <f t="shared" si="80"/>
        <v>1.8494770427987918E-4</v>
      </c>
      <c r="E1080" s="11">
        <f t="shared" si="81"/>
        <v>-3.3877270269653094E-4</v>
      </c>
      <c r="F1080">
        <f t="shared" si="84"/>
        <v>1.5060235562034209E-2</v>
      </c>
      <c r="G1080">
        <f t="shared" si="82"/>
        <v>-2.2494515527403371E-2</v>
      </c>
      <c r="H1080">
        <f t="shared" si="83"/>
        <v>3.2765058803443021</v>
      </c>
    </row>
    <row r="1081" spans="1:8" x14ac:dyDescent="0.25">
      <c r="A1081" s="13">
        <v>41836</v>
      </c>
      <c r="B1081">
        <v>581.06732769999996</v>
      </c>
      <c r="C1081" s="12">
        <v>-3.6252972297259323E-3</v>
      </c>
      <c r="D1081" s="12">
        <f t="shared" si="80"/>
        <v>2.2921250482834432E-5</v>
      </c>
      <c r="E1081" s="11">
        <f t="shared" si="81"/>
        <v>-3.6482184802087668E-3</v>
      </c>
      <c r="F1081">
        <f t="shared" si="84"/>
        <v>1.4206027449683965E-2</v>
      </c>
      <c r="G1081">
        <f t="shared" si="82"/>
        <v>-0.25680778761904527</v>
      </c>
      <c r="H1081">
        <f t="shared" si="83"/>
        <v>3.3021752830529305</v>
      </c>
    </row>
    <row r="1082" spans="1:8" x14ac:dyDescent="0.25">
      <c r="A1082" s="13">
        <v>41837</v>
      </c>
      <c r="B1082">
        <v>572.16170899999997</v>
      </c>
      <c r="C1082" s="12">
        <v>-1.532631121293726E-2</v>
      </c>
      <c r="D1082" s="12">
        <f t="shared" si="80"/>
        <v>-5.5226766804655738E-5</v>
      </c>
      <c r="E1082" s="11">
        <f t="shared" si="81"/>
        <v>-1.5271084446132604E-2</v>
      </c>
      <c r="F1082">
        <f t="shared" si="84"/>
        <v>1.4262471163854115E-2</v>
      </c>
      <c r="G1082">
        <f t="shared" si="82"/>
        <v>-1.0707179892384044</v>
      </c>
      <c r="H1082">
        <f t="shared" si="83"/>
        <v>2.7579665461676104</v>
      </c>
    </row>
    <row r="1083" spans="1:8" x14ac:dyDescent="0.25">
      <c r="A1083" s="13">
        <v>41838</v>
      </c>
      <c r="B1083">
        <v>593.45336980000002</v>
      </c>
      <c r="C1083" s="12">
        <v>3.7212662897719406E-2</v>
      </c>
      <c r="D1083" s="12">
        <f t="shared" si="80"/>
        <v>-2.411223794199482E-4</v>
      </c>
      <c r="E1083" s="11">
        <f t="shared" si="81"/>
        <v>3.7453785277139356E-2</v>
      </c>
      <c r="F1083">
        <f t="shared" si="84"/>
        <v>1.6425182271183041E-2</v>
      </c>
      <c r="G1083">
        <f t="shared" si="82"/>
        <v>2.2802660365510641</v>
      </c>
      <c r="H1083">
        <f t="shared" si="83"/>
        <v>0.59019448556412035</v>
      </c>
    </row>
    <row r="1084" spans="1:8" x14ac:dyDescent="0.25">
      <c r="A1084" s="13">
        <v>41841</v>
      </c>
      <c r="B1084">
        <v>587.85867900000005</v>
      </c>
      <c r="C1084" s="12">
        <v>-9.4273469234582574E-3</v>
      </c>
      <c r="D1084" s="12">
        <f t="shared" si="80"/>
        <v>5.2344124080573172E-4</v>
      </c>
      <c r="E1084" s="11">
        <f t="shared" si="81"/>
        <v>-9.9507881642639899E-3</v>
      </c>
      <c r="F1084">
        <f t="shared" si="84"/>
        <v>2.2903127429343206E-2</v>
      </c>
      <c r="G1084">
        <f t="shared" si="82"/>
        <v>-0.4344728987323872</v>
      </c>
      <c r="H1084">
        <f t="shared" si="83"/>
        <v>2.7631599257085488</v>
      </c>
    </row>
    <row r="1085" spans="1:8" x14ac:dyDescent="0.25">
      <c r="A1085" s="13">
        <v>41842</v>
      </c>
      <c r="B1085">
        <v>593.11431760000005</v>
      </c>
      <c r="C1085" s="12">
        <v>8.9403096147875338E-3</v>
      </c>
      <c r="D1085" s="12">
        <f t="shared" si="80"/>
        <v>-4.6950085623947835E-5</v>
      </c>
      <c r="E1085" s="11">
        <f t="shared" si="81"/>
        <v>8.9872597004114815E-3</v>
      </c>
      <c r="F1085">
        <f t="shared" si="84"/>
        <v>1.5555567014198426E-2</v>
      </c>
      <c r="G1085">
        <f t="shared" si="82"/>
        <v>0.57775198372443204</v>
      </c>
      <c r="H1085">
        <f t="shared" si="83"/>
        <v>3.077499486528851</v>
      </c>
    </row>
    <row r="1086" spans="1:8" x14ac:dyDescent="0.25">
      <c r="A1086" s="13">
        <v>41843</v>
      </c>
      <c r="B1086">
        <v>594.35089559999994</v>
      </c>
      <c r="C1086" s="12">
        <v>2.0848898151770712E-3</v>
      </c>
      <c r="D1086" s="12">
        <f t="shared" si="80"/>
        <v>1.109912645492859E-4</v>
      </c>
      <c r="E1086" s="11">
        <f t="shared" si="81"/>
        <v>1.9738985506277851E-3</v>
      </c>
      <c r="F1086">
        <f t="shared" si="84"/>
        <v>1.4956401831716976E-2</v>
      </c>
      <c r="G1086">
        <f t="shared" si="82"/>
        <v>0.1319768332542309</v>
      </c>
      <c r="H1086">
        <f t="shared" si="83"/>
        <v>3.2749683791728796</v>
      </c>
    </row>
    <row r="1087" spans="1:8" x14ac:dyDescent="0.25">
      <c r="A1087" s="13">
        <v>41844</v>
      </c>
      <c r="B1087">
        <v>591.7280816</v>
      </c>
      <c r="C1087" s="12">
        <v>-4.4129049344701077E-3</v>
      </c>
      <c r="D1087" s="12">
        <f t="shared" si="80"/>
        <v>5.4509617629755231E-5</v>
      </c>
      <c r="E1087" s="11">
        <f t="shared" si="81"/>
        <v>-4.4674145520998626E-3</v>
      </c>
      <c r="F1087">
        <f t="shared" si="84"/>
        <v>1.4231933605464963E-2</v>
      </c>
      <c r="G1087">
        <f t="shared" si="82"/>
        <v>-0.31390074433627252</v>
      </c>
      <c r="H1087">
        <f t="shared" si="83"/>
        <v>3.2840616219358276</v>
      </c>
    </row>
    <row r="1088" spans="1:8" x14ac:dyDescent="0.25">
      <c r="A1088" s="13">
        <v>41845</v>
      </c>
      <c r="B1088">
        <v>587.40994699999999</v>
      </c>
      <c r="C1088" s="12">
        <v>-7.297498182482709E-3</v>
      </c>
      <c r="D1088" s="12">
        <f t="shared" si="80"/>
        <v>-6.1385644639572851E-5</v>
      </c>
      <c r="E1088" s="11">
        <f t="shared" si="81"/>
        <v>-7.2361125378431358E-3</v>
      </c>
      <c r="F1088">
        <f t="shared" si="84"/>
        <v>1.4334771901947641E-2</v>
      </c>
      <c r="G1088">
        <f t="shared" si="82"/>
        <v>-0.50479439696281303</v>
      </c>
      <c r="H1088">
        <f t="shared" si="83"/>
        <v>3.1987198669335806</v>
      </c>
    </row>
    <row r="1089" spans="1:8" x14ac:dyDescent="0.25">
      <c r="A1089" s="13">
        <v>41848</v>
      </c>
      <c r="B1089">
        <v>588.98563690000003</v>
      </c>
      <c r="C1089" s="12">
        <v>2.6824365301394426E-3</v>
      </c>
      <c r="D1089" s="12">
        <f t="shared" si="80"/>
        <v>-1.2171332380821523E-4</v>
      </c>
      <c r="E1089" s="11">
        <f t="shared" si="81"/>
        <v>2.8041498539476579E-3</v>
      </c>
      <c r="F1089">
        <f t="shared" si="84"/>
        <v>1.4674654071933257E-2</v>
      </c>
      <c r="G1089">
        <f t="shared" si="82"/>
        <v>0.19108796978804937</v>
      </c>
      <c r="H1089">
        <f t="shared" si="83"/>
        <v>3.2844376468533052</v>
      </c>
    </row>
    <row r="1090" spans="1:8" x14ac:dyDescent="0.25">
      <c r="A1090" s="13">
        <v>41849</v>
      </c>
      <c r="B1090">
        <v>584.00923560000001</v>
      </c>
      <c r="C1090" s="12">
        <v>-8.4491046779888723E-3</v>
      </c>
      <c r="D1090" s="12">
        <f t="shared" si="80"/>
        <v>2.1816620095078881E-5</v>
      </c>
      <c r="E1090" s="11">
        <f t="shared" si="81"/>
        <v>-8.4709212980839509E-3</v>
      </c>
      <c r="F1090">
        <f t="shared" si="84"/>
        <v>1.4244841828466744E-2</v>
      </c>
      <c r="G1090">
        <f t="shared" si="82"/>
        <v>-0.59466587274810945</v>
      </c>
      <c r="H1090">
        <f t="shared" si="83"/>
        <v>3.1556081314363413</v>
      </c>
    </row>
    <row r="1091" spans="1:8" x14ac:dyDescent="0.25">
      <c r="A1091" s="13">
        <v>41850</v>
      </c>
      <c r="B1091">
        <v>585.81429679999997</v>
      </c>
      <c r="C1091" s="12">
        <v>3.0908093399335534E-3</v>
      </c>
      <c r="D1091" s="12">
        <f t="shared" si="80"/>
        <v>-1.2089617465853043E-4</v>
      </c>
      <c r="E1091" s="11">
        <f t="shared" si="81"/>
        <v>3.2117055145920838E-3</v>
      </c>
      <c r="F1091">
        <f t="shared" si="84"/>
        <v>1.4871234077628444E-2</v>
      </c>
      <c r="G1091">
        <f t="shared" si="82"/>
        <v>0.21596765257186129</v>
      </c>
      <c r="H1091">
        <f t="shared" si="83"/>
        <v>3.2660669841721917</v>
      </c>
    </row>
    <row r="1092" spans="1:8" x14ac:dyDescent="0.25">
      <c r="A1092" s="13">
        <v>41851</v>
      </c>
      <c r="B1092">
        <v>570.03755390000003</v>
      </c>
      <c r="C1092" s="12">
        <v>-2.6931303974962906E-2</v>
      </c>
      <c r="D1092" s="12">
        <f t="shared" si="80"/>
        <v>2.503353052631499E-5</v>
      </c>
      <c r="E1092" s="11">
        <f t="shared" si="81"/>
        <v>-2.695633750548922E-2</v>
      </c>
      <c r="F1092">
        <f t="shared" si="84"/>
        <v>1.4286167682207543E-2</v>
      </c>
      <c r="G1092">
        <f t="shared" si="82"/>
        <v>-1.8868837399312846</v>
      </c>
      <c r="H1092">
        <f t="shared" si="83"/>
        <v>1.5493598475852544</v>
      </c>
    </row>
    <row r="1093" spans="1:8" x14ac:dyDescent="0.25">
      <c r="A1093" s="13">
        <v>41852</v>
      </c>
      <c r="B1093">
        <v>564.5226361</v>
      </c>
      <c r="C1093" s="12">
        <v>-9.6746569805250537E-3</v>
      </c>
      <c r="D1093" s="12">
        <f t="shared" si="80"/>
        <v>-3.9938391895826079E-4</v>
      </c>
      <c r="E1093" s="11">
        <f t="shared" si="81"/>
        <v>-9.2752730615667921E-3</v>
      </c>
      <c r="F1093">
        <f t="shared" si="84"/>
        <v>2.0439644311423914E-2</v>
      </c>
      <c r="G1093">
        <f t="shared" si="82"/>
        <v>-0.4537883791051468</v>
      </c>
      <c r="H1093">
        <f t="shared" si="83"/>
        <v>2.8683784356816742</v>
      </c>
    </row>
    <row r="1094" spans="1:8" x14ac:dyDescent="0.25">
      <c r="A1094" s="13">
        <v>41855</v>
      </c>
      <c r="B1094">
        <v>571.58333689999995</v>
      </c>
      <c r="C1094" s="12">
        <v>1.2507382961255198E-2</v>
      </c>
      <c r="D1094" s="12">
        <f t="shared" ref="D1094:D1157" si="85">+C1093*$K$11+C1092*$K$10</f>
        <v>-2.1553871245909984E-4</v>
      </c>
      <c r="E1094" s="11">
        <f t="shared" ref="E1094:E1157" si="86">C1094-D1094</f>
        <v>1.2722921673714298E-2</v>
      </c>
      <c r="F1094">
        <f t="shared" si="84"/>
        <v>1.5256503578015392E-2</v>
      </c>
      <c r="G1094">
        <f t="shared" ref="G1094:G1157" si="87">E1094/F1094</f>
        <v>0.83393430274863345</v>
      </c>
      <c r="H1094">
        <f t="shared" ref="H1094:H1157" si="88">1/2*(-LN(PI()*2)-2*LN(F1094)-(E1094/F1094)^2)</f>
        <v>2.9160876588514446</v>
      </c>
    </row>
    <row r="1095" spans="1:8" x14ac:dyDescent="0.25">
      <c r="A1095" s="13">
        <v>41856</v>
      </c>
      <c r="B1095">
        <v>563.52537810000001</v>
      </c>
      <c r="C1095" s="12">
        <v>-1.4097609709377679E-2</v>
      </c>
      <c r="D1095" s="12">
        <f t="shared" si="85"/>
        <v>1.643065085548162E-4</v>
      </c>
      <c r="E1095" s="11">
        <f t="shared" si="86"/>
        <v>-1.4261916217932494E-2</v>
      </c>
      <c r="F1095">
        <f t="shared" ref="F1095:F1158" si="89">SQRT($K$6+$K$7*G1094^2+$K$8*F1094^2)</f>
        <v>1.5651531145204806E-2</v>
      </c>
      <c r="G1095">
        <f t="shared" si="87"/>
        <v>-0.91121540030937798</v>
      </c>
      <c r="H1095">
        <f t="shared" si="88"/>
        <v>2.8230912439422142</v>
      </c>
    </row>
    <row r="1096" spans="1:8" x14ac:dyDescent="0.25">
      <c r="A1096" s="13">
        <v>41857</v>
      </c>
      <c r="B1096">
        <v>564.82585959999994</v>
      </c>
      <c r="C1096" s="12">
        <v>2.3077603077694686E-3</v>
      </c>
      <c r="D1096" s="12">
        <f t="shared" si="85"/>
        <v>-1.8107814671732128E-4</v>
      </c>
      <c r="E1096" s="11">
        <f t="shared" si="86"/>
        <v>2.4888384544867899E-3</v>
      </c>
      <c r="F1096">
        <f t="shared" si="89"/>
        <v>1.5950211139761732E-2</v>
      </c>
      <c r="G1096">
        <f t="shared" si="87"/>
        <v>0.15603796292592328</v>
      </c>
      <c r="H1096">
        <f t="shared" si="88"/>
        <v>3.2071707560945746</v>
      </c>
    </row>
    <row r="1097" spans="1:8" x14ac:dyDescent="0.25">
      <c r="A1097" s="13">
        <v>41858</v>
      </c>
      <c r="B1097">
        <v>561.82004810000001</v>
      </c>
      <c r="C1097" s="12">
        <v>-5.3216605594662569E-3</v>
      </c>
      <c r="D1097" s="12">
        <f t="shared" si="85"/>
        <v>-1.3263261255407375E-6</v>
      </c>
      <c r="E1097" s="11">
        <f t="shared" si="86"/>
        <v>-5.320334233340716E-3</v>
      </c>
      <c r="F1097">
        <f t="shared" si="89"/>
        <v>1.4350116511289351E-2</v>
      </c>
      <c r="G1097">
        <f t="shared" si="87"/>
        <v>-0.37075198860965114</v>
      </c>
      <c r="H1097">
        <f t="shared" si="88"/>
        <v>3.2563301658221762</v>
      </c>
    </row>
    <row r="1098" spans="1:8" x14ac:dyDescent="0.25">
      <c r="A1098" s="13">
        <v>41859</v>
      </c>
      <c r="B1098">
        <v>567.21527549999996</v>
      </c>
      <c r="C1098" s="12">
        <v>9.6031236661024977E-3</v>
      </c>
      <c r="D1098" s="12">
        <f t="shared" si="85"/>
        <v>-7.455750704622182E-5</v>
      </c>
      <c r="E1098" s="11">
        <f t="shared" si="86"/>
        <v>9.6776811731487198E-3</v>
      </c>
      <c r="F1098">
        <f t="shared" si="89"/>
        <v>1.4428990091028023E-2</v>
      </c>
      <c r="G1098">
        <f t="shared" si="87"/>
        <v>0.67071091684831929</v>
      </c>
      <c r="H1098">
        <f t="shared" si="88"/>
        <v>3.094650795212861</v>
      </c>
    </row>
    <row r="1099" spans="1:8" x14ac:dyDescent="0.25">
      <c r="A1099" s="13">
        <v>41862</v>
      </c>
      <c r="B1099">
        <v>566.32769829999995</v>
      </c>
      <c r="C1099" s="12">
        <v>-1.5647977731516605E-3</v>
      </c>
      <c r="D1099" s="12">
        <f t="shared" si="85"/>
        <v>1.3156760681187039E-4</v>
      </c>
      <c r="E1099" s="11">
        <f t="shared" si="86"/>
        <v>-1.6963653799635309E-3</v>
      </c>
      <c r="F1099">
        <f t="shared" si="89"/>
        <v>1.5085030905673787E-2</v>
      </c>
      <c r="G1099">
        <f t="shared" si="87"/>
        <v>-0.11245355681210394</v>
      </c>
      <c r="H1099">
        <f t="shared" si="88"/>
        <v>3.268790923180128</v>
      </c>
    </row>
    <row r="1100" spans="1:8" x14ac:dyDescent="0.25">
      <c r="A1100" s="13">
        <v>41863</v>
      </c>
      <c r="B1100">
        <v>561.19180989999995</v>
      </c>
      <c r="C1100" s="12">
        <v>-9.0687572149780182E-3</v>
      </c>
      <c r="D1100" s="12">
        <f t="shared" si="85"/>
        <v>1.0126933645461708E-6</v>
      </c>
      <c r="E1100" s="11">
        <f t="shared" si="86"/>
        <v>-9.0697699083425645E-3</v>
      </c>
      <c r="F1100">
        <f t="shared" si="89"/>
        <v>1.4234712166436644E-2</v>
      </c>
      <c r="G1100">
        <f t="shared" si="87"/>
        <v>-0.637158644466851</v>
      </c>
      <c r="H1100">
        <f t="shared" si="88"/>
        <v>3.1301476762733755</v>
      </c>
    </row>
    <row r="1101" spans="1:8" x14ac:dyDescent="0.25">
      <c r="A1101" s="13">
        <v>41864</v>
      </c>
      <c r="B1101">
        <v>573.20883219999996</v>
      </c>
      <c r="C1101" s="12">
        <v>2.1413395719622752E-2</v>
      </c>
      <c r="D1101" s="12">
        <f t="shared" si="85"/>
        <v>-1.411834871776008E-4</v>
      </c>
      <c r="E1101" s="11">
        <f t="shared" si="86"/>
        <v>2.1554579206800352E-2</v>
      </c>
      <c r="F1101">
        <f t="shared" si="89"/>
        <v>1.4977769215322057E-2</v>
      </c>
      <c r="G1101">
        <f t="shared" si="87"/>
        <v>1.4391047756798325</v>
      </c>
      <c r="H1101">
        <f t="shared" si="88"/>
        <v>2.2467384186207005</v>
      </c>
    </row>
    <row r="1102" spans="1:8" x14ac:dyDescent="0.25">
      <c r="A1102" s="13">
        <v>41865</v>
      </c>
      <c r="B1102">
        <v>573.0791931</v>
      </c>
      <c r="C1102" s="12">
        <v>-2.2616382148610281E-4</v>
      </c>
      <c r="D1102" s="12">
        <f t="shared" si="85"/>
        <v>3.0056419858881745E-4</v>
      </c>
      <c r="E1102" s="11">
        <f t="shared" si="86"/>
        <v>-5.267280200749202E-4</v>
      </c>
      <c r="F1102">
        <f t="shared" si="89"/>
        <v>1.8123403388217621E-2</v>
      </c>
      <c r="G1102">
        <f t="shared" si="87"/>
        <v>-2.9063416445133942E-2</v>
      </c>
      <c r="H1102">
        <f t="shared" si="88"/>
        <v>3.0911902967549758</v>
      </c>
    </row>
    <row r="1103" spans="1:8" x14ac:dyDescent="0.25">
      <c r="A1103" s="13">
        <v>41866</v>
      </c>
      <c r="B1103">
        <v>571.91244040000004</v>
      </c>
      <c r="C1103" s="12">
        <v>-2.0359362441489948E-3</v>
      </c>
      <c r="D1103" s="12">
        <f t="shared" si="85"/>
        <v>5.1611154472161283E-5</v>
      </c>
      <c r="E1103" s="11">
        <f t="shared" si="86"/>
        <v>-2.087547398621156E-3</v>
      </c>
      <c r="F1103">
        <f t="shared" si="89"/>
        <v>1.4546655612164713E-2</v>
      </c>
      <c r="G1103">
        <f t="shared" si="87"/>
        <v>-0.14350703380063759</v>
      </c>
      <c r="H1103">
        <f t="shared" si="88"/>
        <v>3.3011584990395457</v>
      </c>
    </row>
    <row r="1104" spans="1:8" x14ac:dyDescent="0.25">
      <c r="A1104" s="13">
        <v>41869</v>
      </c>
      <c r="B1104">
        <v>580.56866769999999</v>
      </c>
      <c r="C1104" s="12">
        <v>1.5135581408135979E-2</v>
      </c>
      <c r="D1104" s="12">
        <f t="shared" si="85"/>
        <v>-3.1374107730543529E-5</v>
      </c>
      <c r="E1104" s="11">
        <f t="shared" si="86"/>
        <v>1.5166955515866522E-2</v>
      </c>
      <c r="F1104">
        <f t="shared" si="89"/>
        <v>1.4197896700191965E-2</v>
      </c>
      <c r="G1104">
        <f t="shared" si="87"/>
        <v>1.0682536882847904</v>
      </c>
      <c r="H1104">
        <f t="shared" si="88"/>
        <v>2.7651399405788188</v>
      </c>
    </row>
    <row r="1105" spans="1:8" x14ac:dyDescent="0.25">
      <c r="A1105" s="13">
        <v>41870</v>
      </c>
      <c r="B1105">
        <v>585.25582310000004</v>
      </c>
      <c r="C1105" s="12">
        <v>8.0733867684745775E-3</v>
      </c>
      <c r="D1105" s="12">
        <f t="shared" si="85"/>
        <v>2.2368844662348222E-4</v>
      </c>
      <c r="E1105" s="11">
        <f t="shared" si="86"/>
        <v>7.8496983218510948E-3</v>
      </c>
      <c r="F1105">
        <f t="shared" si="89"/>
        <v>1.6409963120005384E-2</v>
      </c>
      <c r="G1105">
        <f t="shared" si="87"/>
        <v>0.47834954073001718</v>
      </c>
      <c r="H1105">
        <f t="shared" si="88"/>
        <v>3.0765189465294687</v>
      </c>
    </row>
    <row r="1106" spans="1:8" x14ac:dyDescent="0.25">
      <c r="A1106" s="13">
        <v>41871</v>
      </c>
      <c r="B1106">
        <v>582.89228720000006</v>
      </c>
      <c r="C1106" s="12">
        <v>-4.0384662684443962E-3</v>
      </c>
      <c r="D1106" s="12">
        <f t="shared" si="85"/>
        <v>1.6100535513042689E-4</v>
      </c>
      <c r="E1106" s="11">
        <f t="shared" si="86"/>
        <v>-4.1994716235748235E-3</v>
      </c>
      <c r="F1106">
        <f t="shared" si="89"/>
        <v>1.4828573712122201E-2</v>
      </c>
      <c r="G1106">
        <f t="shared" si="87"/>
        <v>-0.28320131828604661</v>
      </c>
      <c r="H1106">
        <f t="shared" si="88"/>
        <v>3.2521592767648437</v>
      </c>
    </row>
    <row r="1107" spans="1:8" x14ac:dyDescent="0.25">
      <c r="A1107" s="13">
        <v>41872</v>
      </c>
      <c r="B1107">
        <v>581.77539960000001</v>
      </c>
      <c r="C1107" s="12">
        <v>-1.9161131902519779E-3</v>
      </c>
      <c r="D1107" s="12">
        <f t="shared" si="85"/>
        <v>-4.0332117399961747E-5</v>
      </c>
      <c r="E1107" s="11">
        <f t="shared" si="86"/>
        <v>-1.8757810728520161E-3</v>
      </c>
      <c r="F1107">
        <f t="shared" si="89"/>
        <v>1.4353725576595545E-2</v>
      </c>
      <c r="G1107">
        <f t="shared" si="87"/>
        <v>-0.1306825230036841</v>
      </c>
      <c r="H1107">
        <f t="shared" si="88"/>
        <v>3.316268254296098</v>
      </c>
    </row>
    <row r="1108" spans="1:8" x14ac:dyDescent="0.25">
      <c r="A1108" s="13">
        <v>41873</v>
      </c>
      <c r="B1108">
        <v>580.96759550000002</v>
      </c>
      <c r="C1108" s="12">
        <v>-1.3885153971023856E-3</v>
      </c>
      <c r="D1108" s="12">
        <f t="shared" si="85"/>
        <v>-3.9359330235992442E-5</v>
      </c>
      <c r="E1108" s="11">
        <f t="shared" si="86"/>
        <v>-1.3491560668663931E-3</v>
      </c>
      <c r="F1108">
        <f t="shared" si="89"/>
        <v>1.4171403691171444E-2</v>
      </c>
      <c r="G1108">
        <f t="shared" si="87"/>
        <v>-9.5202712184883673E-2</v>
      </c>
      <c r="H1108">
        <f t="shared" si="88"/>
        <v>3.3330588580031186</v>
      </c>
    </row>
    <row r="1109" spans="1:8" x14ac:dyDescent="0.25">
      <c r="A1109" s="13">
        <v>41876</v>
      </c>
      <c r="B1109">
        <v>578.61406910000005</v>
      </c>
      <c r="C1109" s="12">
        <v>-4.0510459072582439E-3</v>
      </c>
      <c r="D1109" s="12">
        <f t="shared" si="85"/>
        <v>-2.5925199156819149E-5</v>
      </c>
      <c r="E1109" s="11">
        <f t="shared" si="86"/>
        <v>-4.0251207081014248E-3</v>
      </c>
      <c r="F1109">
        <f t="shared" si="89"/>
        <v>1.4136389345397625E-2</v>
      </c>
      <c r="G1109">
        <f t="shared" si="87"/>
        <v>-0.28473470910815574</v>
      </c>
      <c r="H1109">
        <f t="shared" si="88"/>
        <v>3.2995275410272558</v>
      </c>
    </row>
    <row r="1110" spans="1:8" x14ac:dyDescent="0.25">
      <c r="A1110" s="13">
        <v>41877</v>
      </c>
      <c r="B1110">
        <v>576.280441</v>
      </c>
      <c r="C1110" s="12">
        <v>-4.0331340432663287E-3</v>
      </c>
      <c r="D1110" s="12">
        <f t="shared" si="85"/>
        <v>-6.4839195694902442E-5</v>
      </c>
      <c r="E1110" s="11">
        <f t="shared" si="86"/>
        <v>-3.9682948475714261E-3</v>
      </c>
      <c r="F1110">
        <f t="shared" si="89"/>
        <v>1.4288285916446654E-2</v>
      </c>
      <c r="G1110">
        <f t="shared" si="87"/>
        <v>-0.2777306438838606</v>
      </c>
      <c r="H1110">
        <f t="shared" si="88"/>
        <v>3.290809555617952</v>
      </c>
    </row>
    <row r="1111" spans="1:8" x14ac:dyDescent="0.25">
      <c r="A1111" s="13">
        <v>41878</v>
      </c>
      <c r="B1111">
        <v>569.43916179999997</v>
      </c>
      <c r="C1111" s="12">
        <v>-1.187144090493264E-2</v>
      </c>
      <c r="D1111" s="12">
        <f t="shared" si="85"/>
        <v>-7.1410911110138028E-5</v>
      </c>
      <c r="E1111" s="11">
        <f t="shared" si="86"/>
        <v>-1.1800029993822502E-2</v>
      </c>
      <c r="F1111">
        <f t="shared" si="89"/>
        <v>1.4294363388776763E-2</v>
      </c>
      <c r="G1111">
        <f t="shared" si="87"/>
        <v>-0.82550230974870198</v>
      </c>
      <c r="H1111">
        <f t="shared" si="88"/>
        <v>2.9882244231332606</v>
      </c>
    </row>
    <row r="1112" spans="1:8" x14ac:dyDescent="0.25">
      <c r="A1112" s="13">
        <v>41879</v>
      </c>
      <c r="B1112">
        <v>567.64411010000003</v>
      </c>
      <c r="C1112" s="12">
        <v>-3.1523151557152351E-3</v>
      </c>
      <c r="D1112" s="12">
        <f t="shared" si="85"/>
        <v>-1.8991671899144076E-4</v>
      </c>
      <c r="E1112" s="11">
        <f t="shared" si="86"/>
        <v>-2.9623984367237945E-3</v>
      </c>
      <c r="F1112">
        <f t="shared" si="89"/>
        <v>1.5536384673004217E-2</v>
      </c>
      <c r="G1112">
        <f t="shared" si="87"/>
        <v>-0.19067488988420919</v>
      </c>
      <c r="H1112">
        <f t="shared" si="88"/>
        <v>3.2274536176130115</v>
      </c>
    </row>
    <row r="1113" spans="1:8" x14ac:dyDescent="0.25">
      <c r="A1113" s="13">
        <v>41880</v>
      </c>
      <c r="B1113">
        <v>570.03755390000003</v>
      </c>
      <c r="C1113" s="12">
        <v>4.2164513951854499E-3</v>
      </c>
      <c r="D1113" s="12">
        <f t="shared" si="85"/>
        <v>-7.8187001365173845E-5</v>
      </c>
      <c r="E1113" s="11">
        <f t="shared" si="86"/>
        <v>4.2946383965506239E-3</v>
      </c>
      <c r="F1113">
        <f t="shared" si="89"/>
        <v>1.4332095625616086E-2</v>
      </c>
      <c r="G1113">
        <f t="shared" si="87"/>
        <v>0.29965181008663638</v>
      </c>
      <c r="H1113">
        <f t="shared" si="88"/>
        <v>3.2814196705376388</v>
      </c>
    </row>
    <row r="1114" spans="1:8" x14ac:dyDescent="0.25">
      <c r="A1114" s="13">
        <v>41884</v>
      </c>
      <c r="B1114">
        <v>575.75187419999997</v>
      </c>
      <c r="C1114" s="12">
        <v>1.0024462881269125E-2</v>
      </c>
      <c r="D1114" s="12">
        <f t="shared" si="85"/>
        <v>5.5671096476898047E-5</v>
      </c>
      <c r="E1114" s="11">
        <f t="shared" si="86"/>
        <v>9.9687917847922271E-3</v>
      </c>
      <c r="F1114">
        <f t="shared" si="89"/>
        <v>1.4325676820440825E-2</v>
      </c>
      <c r="G1114">
        <f t="shared" si="87"/>
        <v>0.69586881721135119</v>
      </c>
      <c r="H1114">
        <f t="shared" si="88"/>
        <v>3.0846465314089948</v>
      </c>
    </row>
    <row r="1115" spans="1:8" x14ac:dyDescent="0.25">
      <c r="A1115" s="13">
        <v>41885</v>
      </c>
      <c r="B1115">
        <v>576.36021400000004</v>
      </c>
      <c r="C1115" s="12">
        <v>1.0566006421521834E-3</v>
      </c>
      <c r="D1115" s="12">
        <f t="shared" si="85"/>
        <v>1.6245289765431085E-4</v>
      </c>
      <c r="E1115" s="11">
        <f t="shared" si="86"/>
        <v>8.9414774449787251E-4</v>
      </c>
      <c r="F1115">
        <f t="shared" si="89"/>
        <v>1.5145276684108934E-2</v>
      </c>
      <c r="G1115">
        <f t="shared" si="87"/>
        <v>5.9038059399472723E-2</v>
      </c>
      <c r="H1115">
        <f t="shared" si="88"/>
        <v>3.2693852862294497</v>
      </c>
    </row>
    <row r="1116" spans="1:8" x14ac:dyDescent="0.25">
      <c r="A1116" s="13">
        <v>41886</v>
      </c>
      <c r="B1116">
        <v>580.38916259999996</v>
      </c>
      <c r="C1116" s="12">
        <v>6.9903308766554595E-3</v>
      </c>
      <c r="D1116" s="12">
        <f t="shared" si="85"/>
        <v>4.1743321062162638E-5</v>
      </c>
      <c r="E1116" s="11">
        <f t="shared" si="86"/>
        <v>6.9485875555932971E-3</v>
      </c>
      <c r="F1116">
        <f t="shared" si="89"/>
        <v>1.4221138555667952E-2</v>
      </c>
      <c r="G1116">
        <f t="shared" si="87"/>
        <v>0.48860979227460521</v>
      </c>
      <c r="H1116">
        <f t="shared" si="88"/>
        <v>3.2147174928483566</v>
      </c>
    </row>
    <row r="1117" spans="1:8" x14ac:dyDescent="0.25">
      <c r="A1117" s="13">
        <v>41887</v>
      </c>
      <c r="B1117">
        <v>584.47798769999997</v>
      </c>
      <c r="C1117" s="12">
        <v>7.0449714837594879E-3</v>
      </c>
      <c r="D1117" s="12">
        <f t="shared" si="85"/>
        <v>1.0844191313643216E-4</v>
      </c>
      <c r="E1117" s="11">
        <f t="shared" si="86"/>
        <v>6.9365295706230561E-3</v>
      </c>
      <c r="F1117">
        <f t="shared" si="89"/>
        <v>1.4630386241842007E-2</v>
      </c>
      <c r="G1117">
        <f t="shared" si="87"/>
        <v>0.47411800727345166</v>
      </c>
      <c r="H1117">
        <f t="shared" si="88"/>
        <v>3.193322188010721</v>
      </c>
    </row>
    <row r="1118" spans="1:8" x14ac:dyDescent="0.25">
      <c r="A1118" s="13">
        <v>41890</v>
      </c>
      <c r="B1118">
        <v>588.10800849999998</v>
      </c>
      <c r="C1118" s="12">
        <v>6.2107057517848396E-3</v>
      </c>
      <c r="D1118" s="12">
        <f t="shared" si="85"/>
        <v>1.2451784990483942E-4</v>
      </c>
      <c r="E1118" s="11">
        <f t="shared" si="86"/>
        <v>6.0861879018800002E-3</v>
      </c>
      <c r="F1118">
        <f t="shared" si="89"/>
        <v>1.4639962023974478E-2</v>
      </c>
      <c r="G1118">
        <f t="shared" si="87"/>
        <v>0.41572429572653447</v>
      </c>
      <c r="H1118">
        <f t="shared" si="88"/>
        <v>3.2186484862098164</v>
      </c>
    </row>
    <row r="1119" spans="1:8" x14ac:dyDescent="0.25">
      <c r="A1119" s="13">
        <v>41891</v>
      </c>
      <c r="B1119">
        <v>579.42181240000002</v>
      </c>
      <c r="C1119" s="12">
        <v>-1.4769729326003511E-2</v>
      </c>
      <c r="D1119" s="12">
        <f t="shared" si="85"/>
        <v>1.1204027694459008E-4</v>
      </c>
      <c r="E1119" s="11">
        <f t="shared" si="86"/>
        <v>-1.4881769602948101E-2</v>
      </c>
      <c r="F1119">
        <f t="shared" si="89"/>
        <v>1.4531729716655402E-2</v>
      </c>
      <c r="G1119">
        <f t="shared" si="87"/>
        <v>-1.0240879711581412</v>
      </c>
      <c r="H1119">
        <f t="shared" si="88"/>
        <v>2.7881041444402634</v>
      </c>
    </row>
    <row r="1120" spans="1:8" x14ac:dyDescent="0.25">
      <c r="A1120" s="13">
        <v>41892</v>
      </c>
      <c r="B1120">
        <v>581.50611100000003</v>
      </c>
      <c r="C1120" s="12">
        <v>3.5972042394585291E-3</v>
      </c>
      <c r="D1120" s="12">
        <f t="shared" si="85"/>
        <v>-2.0742601583492878E-4</v>
      </c>
      <c r="E1120" s="11">
        <f t="shared" si="86"/>
        <v>3.8046302552934581E-3</v>
      </c>
      <c r="F1120">
        <f t="shared" si="89"/>
        <v>1.6264870608855054E-2</v>
      </c>
      <c r="G1120">
        <f t="shared" si="87"/>
        <v>0.23391703179133255</v>
      </c>
      <c r="H1120">
        <f t="shared" si="88"/>
        <v>3.1724505521915045</v>
      </c>
    </row>
    <row r="1121" spans="1:8" x14ac:dyDescent="0.25">
      <c r="A1121" s="13">
        <v>41893</v>
      </c>
      <c r="B1121">
        <v>579.76092540000002</v>
      </c>
      <c r="C1121" s="12">
        <v>-3.0011474806324046E-3</v>
      </c>
      <c r="D1121" s="12">
        <f t="shared" si="85"/>
        <v>1.6448765774884438E-5</v>
      </c>
      <c r="E1121" s="11">
        <f t="shared" si="86"/>
        <v>-3.0175962464072891E-3</v>
      </c>
      <c r="F1121">
        <f t="shared" si="89"/>
        <v>1.4448583463782786E-2</v>
      </c>
      <c r="G1121">
        <f t="shared" si="87"/>
        <v>-0.20885066373262667</v>
      </c>
      <c r="H1121">
        <f t="shared" si="88"/>
        <v>3.2964110663415589</v>
      </c>
    </row>
    <row r="1122" spans="1:8" x14ac:dyDescent="0.25">
      <c r="A1122" s="13">
        <v>41894</v>
      </c>
      <c r="B1122">
        <v>574.04654419999997</v>
      </c>
      <c r="C1122" s="12">
        <v>-9.8564441818107529E-3</v>
      </c>
      <c r="D1122" s="12">
        <f t="shared" si="85"/>
        <v>-3.6146668105898827E-5</v>
      </c>
      <c r="E1122" s="11">
        <f t="shared" si="86"/>
        <v>-9.8202975137048534E-3</v>
      </c>
      <c r="F1122">
        <f t="shared" si="89"/>
        <v>1.4237901165258603E-2</v>
      </c>
      <c r="G1122">
        <f t="shared" si="87"/>
        <v>-0.68972929364526092</v>
      </c>
      <c r="H1122">
        <f t="shared" si="88"/>
        <v>3.0950459914805788</v>
      </c>
    </row>
    <row r="1123" spans="1:8" x14ac:dyDescent="0.25">
      <c r="A1123" s="13">
        <v>41897</v>
      </c>
      <c r="B1123">
        <v>571.5334709</v>
      </c>
      <c r="C1123" s="12">
        <v>-4.3778214944264482E-3</v>
      </c>
      <c r="D1123" s="12">
        <f t="shared" si="85"/>
        <v>-1.5678837352668876E-4</v>
      </c>
      <c r="E1123" s="11">
        <f t="shared" si="86"/>
        <v>-4.2210331208997597E-3</v>
      </c>
      <c r="F1123">
        <f t="shared" si="89"/>
        <v>1.5120086826941947E-2</v>
      </c>
      <c r="G1123">
        <f t="shared" si="87"/>
        <v>-0.27916725407809501</v>
      </c>
      <c r="H1123">
        <f t="shared" si="88"/>
        <v>3.2338254546451988</v>
      </c>
    </row>
    <row r="1124" spans="1:8" x14ac:dyDescent="0.25">
      <c r="A1124" s="13">
        <v>41898</v>
      </c>
      <c r="B1124">
        <v>578.36473960000001</v>
      </c>
      <c r="C1124" s="12">
        <v>1.195252605108621E-2</v>
      </c>
      <c r="D1124" s="12">
        <f t="shared" si="85"/>
        <v>-9.1543902587996464E-5</v>
      </c>
      <c r="E1124" s="11">
        <f t="shared" si="86"/>
        <v>1.2044069953674207E-2</v>
      </c>
      <c r="F1124">
        <f t="shared" si="89"/>
        <v>1.4378102466118573E-2</v>
      </c>
      <c r="G1124">
        <f t="shared" si="87"/>
        <v>0.83766755606698307</v>
      </c>
      <c r="H1124">
        <f t="shared" si="88"/>
        <v>2.9722668914070374</v>
      </c>
    </row>
    <row r="1125" spans="1:8" x14ac:dyDescent="0.25">
      <c r="A1125" s="13">
        <v>41899</v>
      </c>
      <c r="B1125">
        <v>583.1715246</v>
      </c>
      <c r="C1125" s="12">
        <v>8.3109924773843158E-3</v>
      </c>
      <c r="D1125" s="12">
        <f t="shared" si="85"/>
        <v>1.695271925798354E-4</v>
      </c>
      <c r="E1125" s="11">
        <f t="shared" si="86"/>
        <v>8.1414652848044809E-3</v>
      </c>
      <c r="F1125">
        <f t="shared" si="89"/>
        <v>1.5583645467419716E-2</v>
      </c>
      <c r="G1125">
        <f t="shared" si="87"/>
        <v>0.52243650574736256</v>
      </c>
      <c r="H1125">
        <f t="shared" si="88"/>
        <v>3.1061247976478703</v>
      </c>
    </row>
    <row r="1126" spans="1:8" x14ac:dyDescent="0.25">
      <c r="A1126" s="13">
        <v>41900</v>
      </c>
      <c r="B1126">
        <v>587.65927650000003</v>
      </c>
      <c r="C1126" s="12">
        <v>7.6954235772712654E-3</v>
      </c>
      <c r="D1126" s="12">
        <f t="shared" si="85"/>
        <v>1.5641870380934511E-4</v>
      </c>
      <c r="E1126" s="11">
        <f t="shared" si="86"/>
        <v>7.5390048734619202E-3</v>
      </c>
      <c r="F1126">
        <f t="shared" si="89"/>
        <v>1.4834034388677132E-2</v>
      </c>
      <c r="G1126">
        <f t="shared" si="87"/>
        <v>0.50822349981987824</v>
      </c>
      <c r="H1126">
        <f t="shared" si="88"/>
        <v>3.1627470213476081</v>
      </c>
    </row>
    <row r="1127" spans="1:8" x14ac:dyDescent="0.25">
      <c r="A1127" s="13">
        <v>41901</v>
      </c>
      <c r="B1127">
        <v>594.45062780000001</v>
      </c>
      <c r="C1127" s="12">
        <v>1.155661379234596E-2</v>
      </c>
      <c r="D1127" s="12">
        <f t="shared" si="85"/>
        <v>1.3774978835459558E-4</v>
      </c>
      <c r="E1127" s="11">
        <f t="shared" si="86"/>
        <v>1.1418864003991364E-2</v>
      </c>
      <c r="F1127">
        <f t="shared" si="89"/>
        <v>1.4729512889375769E-2</v>
      </c>
      <c r="G1127">
        <f t="shared" si="87"/>
        <v>0.77523704210392863</v>
      </c>
      <c r="H1127">
        <f t="shared" si="88"/>
        <v>2.9984673494135161</v>
      </c>
    </row>
    <row r="1128" spans="1:8" x14ac:dyDescent="0.25">
      <c r="A1128" s="13">
        <v>41904</v>
      </c>
      <c r="B1128">
        <v>585.76443180000001</v>
      </c>
      <c r="C1128" s="12">
        <v>-1.4612140342330382E-2</v>
      </c>
      <c r="D1128" s="12">
        <f t="shared" si="85"/>
        <v>1.945670397049912E-4</v>
      </c>
      <c r="E1128" s="11">
        <f t="shared" si="86"/>
        <v>-1.4806707382035373E-2</v>
      </c>
      <c r="F1128">
        <f t="shared" si="89"/>
        <v>1.5416314676287584E-2</v>
      </c>
      <c r="G1128">
        <f t="shared" si="87"/>
        <v>-0.96045700239955067</v>
      </c>
      <c r="H1128">
        <f t="shared" si="88"/>
        <v>2.7921515758269972</v>
      </c>
    </row>
    <row r="1129" spans="1:8" x14ac:dyDescent="0.25">
      <c r="A1129" s="13">
        <v>41905</v>
      </c>
      <c r="B1129">
        <v>579.54150279999999</v>
      </c>
      <c r="C1129" s="12">
        <v>-1.062360338417534E-2</v>
      </c>
      <c r="D1129" s="12">
        <f t="shared" si="85"/>
        <v>-1.9130370443319215E-4</v>
      </c>
      <c r="E1129" s="11">
        <f t="shared" si="86"/>
        <v>-1.0432299679742147E-2</v>
      </c>
      <c r="F1129">
        <f t="shared" si="89"/>
        <v>1.6104489626470944E-2</v>
      </c>
      <c r="G1129">
        <f t="shared" si="87"/>
        <v>-0.64778828275281564</v>
      </c>
      <c r="H1129">
        <f t="shared" si="88"/>
        <v>2.9999038242379958</v>
      </c>
    </row>
    <row r="1130" spans="1:8" x14ac:dyDescent="0.25">
      <c r="A1130" s="13">
        <v>41906</v>
      </c>
      <c r="B1130">
        <v>586.38272019999999</v>
      </c>
      <c r="C1130" s="12">
        <v>1.180453404449433E-2</v>
      </c>
      <c r="D1130" s="12">
        <f t="shared" si="85"/>
        <v>-1.9823132322881757E-4</v>
      </c>
      <c r="E1130" s="11">
        <f t="shared" si="86"/>
        <v>1.2002765367723147E-2</v>
      </c>
      <c r="F1130">
        <f t="shared" si="89"/>
        <v>1.5186337966997613E-2</v>
      </c>
      <c r="G1130">
        <f t="shared" si="87"/>
        <v>0.79036601146419316</v>
      </c>
      <c r="H1130">
        <f t="shared" si="88"/>
        <v>2.956081324026079</v>
      </c>
    </row>
    <row r="1131" spans="1:8" x14ac:dyDescent="0.25">
      <c r="A1131" s="13">
        <v>41907</v>
      </c>
      <c r="B1131">
        <v>573.48806950000005</v>
      </c>
      <c r="C1131" s="12">
        <v>-2.1990161469290781E-2</v>
      </c>
      <c r="D1131" s="12">
        <f t="shared" si="85"/>
        <v>1.5123738252542955E-4</v>
      </c>
      <c r="E1131" s="11">
        <f t="shared" si="86"/>
        <v>-2.2141398851816211E-2</v>
      </c>
      <c r="F1131">
        <f t="shared" si="89"/>
        <v>1.5505749565150486E-2</v>
      </c>
      <c r="G1131">
        <f t="shared" si="87"/>
        <v>-1.4279476628191836</v>
      </c>
      <c r="H1131">
        <f t="shared" si="88"/>
        <v>2.228088587070868</v>
      </c>
    </row>
    <row r="1132" spans="1:8" x14ac:dyDescent="0.25">
      <c r="A1132" s="13">
        <v>41908</v>
      </c>
      <c r="B1132">
        <v>575.52250300000003</v>
      </c>
      <c r="C1132" s="12">
        <v>3.5474731004843107E-3</v>
      </c>
      <c r="D1132" s="12">
        <f t="shared" si="85"/>
        <v>-3.0225672542881255E-4</v>
      </c>
      <c r="E1132" s="11">
        <f t="shared" si="86"/>
        <v>3.8497298259131231E-3</v>
      </c>
      <c r="F1132">
        <f t="shared" si="89"/>
        <v>1.8112011289654648E-2</v>
      </c>
      <c r="G1132">
        <f t="shared" si="87"/>
        <v>0.21255120507306885</v>
      </c>
      <c r="H1132">
        <f t="shared" si="88"/>
        <v>3.0696524130433072</v>
      </c>
    </row>
    <row r="1133" spans="1:8" x14ac:dyDescent="0.25">
      <c r="A1133" s="13">
        <v>41911</v>
      </c>
      <c r="B1133">
        <v>574.7845231</v>
      </c>
      <c r="C1133" s="12">
        <v>-1.2822780971259995E-3</v>
      </c>
      <c r="D1133" s="12">
        <f t="shared" si="85"/>
        <v>-2.859703637278686E-6</v>
      </c>
      <c r="E1133" s="11">
        <f t="shared" si="86"/>
        <v>-1.2794183934887208E-3</v>
      </c>
      <c r="F1133">
        <f t="shared" si="89"/>
        <v>1.4638385162186737E-2</v>
      </c>
      <c r="G1133">
        <f t="shared" si="87"/>
        <v>-8.7401607439163503E-2</v>
      </c>
      <c r="H1133">
        <f t="shared" si="88"/>
        <v>3.3013500259659829</v>
      </c>
    </row>
    <row r="1134" spans="1:8" x14ac:dyDescent="0.25">
      <c r="A1134" s="13">
        <v>41912</v>
      </c>
      <c r="B1134">
        <v>575.78178109999999</v>
      </c>
      <c r="C1134" s="12">
        <v>1.7350119217223181E-3</v>
      </c>
      <c r="D1134" s="12">
        <f t="shared" si="85"/>
        <v>-1.0277135557220746E-5</v>
      </c>
      <c r="E1134" s="11">
        <f t="shared" si="86"/>
        <v>1.7452890572795389E-3</v>
      </c>
      <c r="F1134">
        <f t="shared" si="89"/>
        <v>1.4178989915736509E-2</v>
      </c>
      <c r="G1134">
        <f t="shared" si="87"/>
        <v>0.12308980171729547</v>
      </c>
      <c r="H1134">
        <f t="shared" si="88"/>
        <v>3.329479910590087</v>
      </c>
    </row>
    <row r="1135" spans="1:8" x14ac:dyDescent="0.25">
      <c r="A1135" s="13">
        <v>41913</v>
      </c>
      <c r="B1135">
        <v>566.71667639999998</v>
      </c>
      <c r="C1135" s="12">
        <v>-1.5743993640579657E-2</v>
      </c>
      <c r="D1135" s="12">
        <f t="shared" si="85"/>
        <v>2.2946073094347154E-5</v>
      </c>
      <c r="E1135" s="11">
        <f t="shared" si="86"/>
        <v>-1.5766939713674002E-2</v>
      </c>
      <c r="F1135">
        <f t="shared" si="89"/>
        <v>1.4150308739043533E-2</v>
      </c>
      <c r="G1135">
        <f t="shared" si="87"/>
        <v>-1.1142470460852816</v>
      </c>
      <c r="H1135">
        <f t="shared" si="88"/>
        <v>2.7183070630576842</v>
      </c>
    </row>
    <row r="1136" spans="1:8" x14ac:dyDescent="0.25">
      <c r="A1136" s="13">
        <v>41914</v>
      </c>
      <c r="B1136">
        <v>568.52167770000005</v>
      </c>
      <c r="C1136" s="12">
        <v>3.1850153262933389E-3</v>
      </c>
      <c r="D1136" s="12">
        <f t="shared" si="85"/>
        <v>-2.3366385049341238E-4</v>
      </c>
      <c r="E1136" s="11">
        <f t="shared" si="86"/>
        <v>3.4186791767867515E-3</v>
      </c>
      <c r="F1136">
        <f t="shared" si="89"/>
        <v>1.6592428051997517E-2</v>
      </c>
      <c r="G1136">
        <f t="shared" si="87"/>
        <v>0.20603851142661342</v>
      </c>
      <c r="H1136">
        <f t="shared" si="88"/>
        <v>3.1586443618296083</v>
      </c>
    </row>
    <row r="1137" spans="1:8" x14ac:dyDescent="0.25">
      <c r="A1137" s="13">
        <v>41915</v>
      </c>
      <c r="B1137">
        <v>573.70749209999997</v>
      </c>
      <c r="C1137" s="12">
        <v>9.1215772474666501E-3</v>
      </c>
      <c r="D1137" s="12">
        <f t="shared" si="85"/>
        <v>7.7107114249162098E-6</v>
      </c>
      <c r="E1137" s="11">
        <f t="shared" si="86"/>
        <v>9.1138665360417336E-3</v>
      </c>
      <c r="F1137">
        <f t="shared" si="89"/>
        <v>1.4458379547418016E-2</v>
      </c>
      <c r="G1137">
        <f t="shared" si="87"/>
        <v>0.63035186662182296</v>
      </c>
      <c r="H1137">
        <f t="shared" si="88"/>
        <v>3.1188708619436456</v>
      </c>
    </row>
    <row r="1138" spans="1:8" x14ac:dyDescent="0.25">
      <c r="A1138" s="13">
        <v>41918</v>
      </c>
      <c r="B1138">
        <v>575.77183239999999</v>
      </c>
      <c r="C1138" s="12">
        <v>3.5982453226184319E-3</v>
      </c>
      <c r="D1138" s="12">
        <f t="shared" si="85"/>
        <v>1.4614628530984893E-4</v>
      </c>
      <c r="E1138" s="11">
        <f t="shared" si="86"/>
        <v>3.452099037308583E-3</v>
      </c>
      <c r="F1138">
        <f t="shared" si="89"/>
        <v>1.4980717827434729E-2</v>
      </c>
      <c r="G1138">
        <f t="shared" si="87"/>
        <v>0.23043615646952709</v>
      </c>
      <c r="H1138">
        <f t="shared" si="88"/>
        <v>3.2555024386778602</v>
      </c>
    </row>
    <row r="1139" spans="1:8" x14ac:dyDescent="0.25">
      <c r="A1139" s="13">
        <v>41919</v>
      </c>
      <c r="B1139">
        <v>562.19901660000005</v>
      </c>
      <c r="C1139" s="12">
        <v>-2.3573254258417164E-2</v>
      </c>
      <c r="D1139" s="12">
        <f t="shared" si="85"/>
        <v>7.7864479846060088E-5</v>
      </c>
      <c r="E1139" s="11">
        <f t="shared" si="86"/>
        <v>-2.3651118738263224E-2</v>
      </c>
      <c r="F1139">
        <f t="shared" si="89"/>
        <v>1.4310997012772145E-2</v>
      </c>
      <c r="G1139">
        <f t="shared" si="87"/>
        <v>-1.6526534606327772</v>
      </c>
      <c r="H1139">
        <f t="shared" si="88"/>
        <v>1.9621567517144862</v>
      </c>
    </row>
    <row r="1140" spans="1:8" x14ac:dyDescent="0.25">
      <c r="A1140" s="13">
        <v>41920</v>
      </c>
      <c r="B1140">
        <v>570.93507969999996</v>
      </c>
      <c r="C1140" s="12">
        <v>1.5539093527471515E-2</v>
      </c>
      <c r="D1140" s="12">
        <f t="shared" si="85"/>
        <v>-3.4729041381448923E-4</v>
      </c>
      <c r="E1140" s="11">
        <f t="shared" si="86"/>
        <v>1.5886383941286004E-2</v>
      </c>
      <c r="F1140">
        <f t="shared" si="89"/>
        <v>1.9158307198750685E-2</v>
      </c>
      <c r="G1140">
        <f t="shared" si="87"/>
        <v>0.82921647390234754</v>
      </c>
      <c r="H1140">
        <f t="shared" si="88"/>
        <v>2.6922803476382833</v>
      </c>
    </row>
    <row r="1141" spans="1:8" x14ac:dyDescent="0.25">
      <c r="A1141" s="13">
        <v>41921</v>
      </c>
      <c r="B1141">
        <v>559.34683129999996</v>
      </c>
      <c r="C1141" s="12">
        <v>-2.0296963371192911E-2</v>
      </c>
      <c r="D1141" s="12">
        <f t="shared" si="85"/>
        <v>1.7444115073175212E-4</v>
      </c>
      <c r="E1141" s="11">
        <f t="shared" si="86"/>
        <v>-2.0471404521924662E-2</v>
      </c>
      <c r="F1141">
        <f t="shared" si="89"/>
        <v>1.6043702710519522E-2</v>
      </c>
      <c r="G1141">
        <f t="shared" si="87"/>
        <v>-1.2759775527691615</v>
      </c>
      <c r="H1141">
        <f t="shared" si="88"/>
        <v>2.3994409700919754</v>
      </c>
    </row>
    <row r="1142" spans="1:8" x14ac:dyDescent="0.25">
      <c r="A1142" s="13">
        <v>41922</v>
      </c>
      <c r="B1142">
        <v>543.00166490000004</v>
      </c>
      <c r="C1142" s="12">
        <v>-2.9221880746175821E-2</v>
      </c>
      <c r="D1142" s="12">
        <f t="shared" si="85"/>
        <v>-2.6704994509281824E-4</v>
      </c>
      <c r="E1142" s="11">
        <f t="shared" si="86"/>
        <v>-2.8954830801083003E-2</v>
      </c>
      <c r="F1142">
        <f t="shared" si="89"/>
        <v>1.7449790616615612E-2</v>
      </c>
      <c r="G1142">
        <f t="shared" si="87"/>
        <v>-1.6593225349943364</v>
      </c>
      <c r="H1142">
        <f t="shared" si="88"/>
        <v>1.7528134586788175</v>
      </c>
    </row>
    <row r="1143" spans="1:8" x14ac:dyDescent="0.25">
      <c r="A1143" s="13">
        <v>41925</v>
      </c>
      <c r="B1143">
        <v>531.75246760000005</v>
      </c>
      <c r="C1143" s="12">
        <v>-2.0716690255584536E-2</v>
      </c>
      <c r="D1143" s="12">
        <f t="shared" si="85"/>
        <v>-4.941340478555828E-4</v>
      </c>
      <c r="E1143" s="11">
        <f t="shared" si="86"/>
        <v>-2.0222556207728951E-2</v>
      </c>
      <c r="F1143">
        <f t="shared" si="89"/>
        <v>1.9441692752866509E-2</v>
      </c>
      <c r="G1143">
        <f t="shared" si="87"/>
        <v>-1.0401643758487702</v>
      </c>
      <c r="H1143">
        <f t="shared" si="88"/>
        <v>2.4804259103788766</v>
      </c>
    </row>
    <row r="1144" spans="1:8" x14ac:dyDescent="0.25">
      <c r="A1144" s="13">
        <v>41926</v>
      </c>
      <c r="B1144">
        <v>536.4695309</v>
      </c>
      <c r="C1144" s="12">
        <v>8.8707877958513759E-3</v>
      </c>
      <c r="D1144" s="12">
        <f t="shared" si="85"/>
        <v>-3.8843258904889329E-4</v>
      </c>
      <c r="E1144" s="11">
        <f t="shared" si="86"/>
        <v>9.2592203849002699E-3</v>
      </c>
      <c r="F1144">
        <f t="shared" si="89"/>
        <v>1.6811248276012259E-2</v>
      </c>
      <c r="G1144">
        <f t="shared" si="87"/>
        <v>0.55077530430099741</v>
      </c>
      <c r="H1144">
        <f t="shared" si="88"/>
        <v>3.0150918252575662</v>
      </c>
    </row>
    <row r="1145" spans="1:8" x14ac:dyDescent="0.25">
      <c r="A1145" s="13">
        <v>41927</v>
      </c>
      <c r="B1145">
        <v>528.58118930000001</v>
      </c>
      <c r="C1145" s="12">
        <v>-1.470417450692163E-2</v>
      </c>
      <c r="D1145" s="12">
        <f t="shared" si="85"/>
        <v>8.0926483277571408E-5</v>
      </c>
      <c r="E1145" s="11">
        <f t="shared" si="86"/>
        <v>-1.4785100990199201E-2</v>
      </c>
      <c r="F1145">
        <f t="shared" si="89"/>
        <v>1.5024513653823127E-2</v>
      </c>
      <c r="G1145">
        <f t="shared" si="87"/>
        <v>-0.98406519710786078</v>
      </c>
      <c r="H1145">
        <f t="shared" si="88"/>
        <v>2.7949414789305269</v>
      </c>
    </row>
    <row r="1146" spans="1:8" x14ac:dyDescent="0.25">
      <c r="A1146" s="13">
        <v>41928</v>
      </c>
      <c r="B1146">
        <v>523.07628109999996</v>
      </c>
      <c r="C1146" s="12">
        <v>-1.0414498872519884E-2</v>
      </c>
      <c r="D1146" s="12">
        <f t="shared" si="85"/>
        <v>-1.9959818648373947E-4</v>
      </c>
      <c r="E1146" s="11">
        <f t="shared" si="86"/>
        <v>-1.0214900686036145E-2</v>
      </c>
      <c r="F1146">
        <f t="shared" si="89"/>
        <v>1.6156146910879274E-2</v>
      </c>
      <c r="G1146">
        <f t="shared" si="87"/>
        <v>-0.63226094330434723</v>
      </c>
      <c r="H1146">
        <f t="shared" si="88"/>
        <v>3.0066392046330233</v>
      </c>
    </row>
    <row r="1147" spans="1:8" x14ac:dyDescent="0.25">
      <c r="A1147" s="13">
        <v>41929</v>
      </c>
      <c r="B1147">
        <v>509.77272399999998</v>
      </c>
      <c r="C1147" s="12">
        <v>-2.5433302140986713E-2</v>
      </c>
      <c r="D1147" s="12">
        <f t="shared" si="85"/>
        <v>-1.9530521067394406E-4</v>
      </c>
      <c r="E1147" s="11">
        <f t="shared" si="86"/>
        <v>-2.523799693031277E-2</v>
      </c>
      <c r="F1147">
        <f t="shared" si="89"/>
        <v>1.5151470968047778E-2</v>
      </c>
      <c r="G1147">
        <f t="shared" si="87"/>
        <v>-1.6657126548000516</v>
      </c>
      <c r="H1147">
        <f t="shared" si="88"/>
        <v>1.8834198007543332</v>
      </c>
    </row>
    <row r="1148" spans="1:8" x14ac:dyDescent="0.25">
      <c r="A1148" s="13">
        <v>41932</v>
      </c>
      <c r="B1148">
        <v>519.41629160000002</v>
      </c>
      <c r="C1148" s="12">
        <v>1.8917386407673042E-2</v>
      </c>
      <c r="D1148" s="12">
        <f t="shared" si="85"/>
        <v>-4.1143538077646638E-4</v>
      </c>
      <c r="E1148" s="11">
        <f t="shared" si="86"/>
        <v>1.932882178844951E-2</v>
      </c>
      <c r="F1148">
        <f t="shared" si="89"/>
        <v>1.9289304293142077E-2</v>
      </c>
      <c r="G1148">
        <f t="shared" si="87"/>
        <v>1.0020486739545855</v>
      </c>
      <c r="H1148">
        <f t="shared" si="88"/>
        <v>2.5272152126974721</v>
      </c>
    </row>
    <row r="1149" spans="1:8" x14ac:dyDescent="0.25">
      <c r="A1149" s="13">
        <v>41933</v>
      </c>
      <c r="B1149">
        <v>525.10070499999995</v>
      </c>
      <c r="C1149" s="12">
        <v>1.0943848877919882E-2</v>
      </c>
      <c r="D1149" s="12">
        <f t="shared" si="85"/>
        <v>2.2075646196700638E-4</v>
      </c>
      <c r="E1149" s="11">
        <f t="shared" si="86"/>
        <v>1.0723092415952875E-2</v>
      </c>
      <c r="F1149">
        <f t="shared" si="89"/>
        <v>1.6651738532498062E-2</v>
      </c>
      <c r="G1149">
        <f t="shared" si="87"/>
        <v>0.64396233432475214</v>
      </c>
      <c r="H1149">
        <f t="shared" si="88"/>
        <v>2.9689583744212786</v>
      </c>
    </row>
    <row r="1150" spans="1:8" x14ac:dyDescent="0.25">
      <c r="A1150" s="13">
        <v>41934</v>
      </c>
      <c r="B1150">
        <v>531.25386949999995</v>
      </c>
      <c r="C1150" s="12">
        <v>1.1718065585152759E-2</v>
      </c>
      <c r="D1150" s="12">
        <f t="shared" si="85"/>
        <v>2.1413929019324199E-4</v>
      </c>
      <c r="E1150" s="11">
        <f t="shared" si="86"/>
        <v>1.1503926294959518E-2</v>
      </c>
      <c r="F1150">
        <f t="shared" si="89"/>
        <v>1.5233040974029869E-2</v>
      </c>
      <c r="G1150">
        <f t="shared" si="87"/>
        <v>0.75519565099129238</v>
      </c>
      <c r="H1150">
        <f t="shared" si="88"/>
        <v>2.9801896931683181</v>
      </c>
    </row>
    <row r="1151" spans="1:8" x14ac:dyDescent="0.25">
      <c r="A1151" s="13">
        <v>41935</v>
      </c>
      <c r="B1151">
        <v>542.49305630000003</v>
      </c>
      <c r="C1151" s="12">
        <v>2.1155962234360892E-2</v>
      </c>
      <c r="D1151" s="12">
        <f t="shared" si="85"/>
        <v>2.0535730476169034E-4</v>
      </c>
      <c r="E1151" s="11">
        <f t="shared" si="86"/>
        <v>2.0950604929599201E-2</v>
      </c>
      <c r="F1151">
        <f t="shared" si="89"/>
        <v>1.5402393291863187E-2</v>
      </c>
      <c r="G1151">
        <f t="shared" si="87"/>
        <v>1.3602175020856686</v>
      </c>
      <c r="H1151">
        <f t="shared" si="88"/>
        <v>2.3291980133799077</v>
      </c>
    </row>
    <row r="1152" spans="1:8" x14ac:dyDescent="0.25">
      <c r="A1152" s="13">
        <v>41936</v>
      </c>
      <c r="B1152">
        <v>538.30449999999996</v>
      </c>
      <c r="C1152" s="12">
        <v>-7.7209399297524239E-3</v>
      </c>
      <c r="D1152" s="12">
        <f t="shared" si="85"/>
        <v>3.5009213526022835E-4</v>
      </c>
      <c r="E1152" s="11">
        <f t="shared" si="86"/>
        <v>-8.0710320650126521E-3</v>
      </c>
      <c r="F1152">
        <f t="shared" si="89"/>
        <v>1.77810347079412E-2</v>
      </c>
      <c r="G1152">
        <f t="shared" si="87"/>
        <v>-0.45391239585219656</v>
      </c>
      <c r="H1152">
        <f t="shared" si="88"/>
        <v>3.0076660907835193</v>
      </c>
    </row>
    <row r="1153" spans="1:8" x14ac:dyDescent="0.25">
      <c r="A1153" s="13">
        <v>41939</v>
      </c>
      <c r="B1153">
        <v>539.29180929999995</v>
      </c>
      <c r="C1153" s="12">
        <v>1.8341093191678315E-3</v>
      </c>
      <c r="D1153" s="12">
        <f t="shared" si="85"/>
        <v>-6.2406492138922346E-5</v>
      </c>
      <c r="E1153" s="11">
        <f t="shared" si="86"/>
        <v>1.8965158113067539E-3</v>
      </c>
      <c r="F1153">
        <f t="shared" si="89"/>
        <v>1.4933109936617461E-2</v>
      </c>
      <c r="G1153">
        <f t="shared" si="87"/>
        <v>0.12700072653026612</v>
      </c>
      <c r="H1153">
        <f t="shared" si="88"/>
        <v>3.2771712624684324</v>
      </c>
    </row>
    <row r="1154" spans="1:8" x14ac:dyDescent="0.25">
      <c r="A1154" s="13">
        <v>41940</v>
      </c>
      <c r="B1154">
        <v>547.39957249999998</v>
      </c>
      <c r="C1154" s="12">
        <v>1.5034092971899282E-2</v>
      </c>
      <c r="D1154" s="12">
        <f t="shared" si="85"/>
        <v>7.8977139943160216E-6</v>
      </c>
      <c r="E1154" s="11">
        <f t="shared" si="86"/>
        <v>1.5026195257904966E-2</v>
      </c>
      <c r="F1154">
        <f t="shared" si="89"/>
        <v>1.4226806508591349E-2</v>
      </c>
      <c r="G1154">
        <f t="shared" si="87"/>
        <v>1.0561889099167039</v>
      </c>
      <c r="H1154">
        <f t="shared" si="88"/>
        <v>2.7759212717812232</v>
      </c>
    </row>
    <row r="1155" spans="1:8" x14ac:dyDescent="0.25">
      <c r="A1155" s="13">
        <v>41941</v>
      </c>
      <c r="B1155">
        <v>547.82840710000005</v>
      </c>
      <c r="C1155" s="12">
        <v>7.834032424278714E-4</v>
      </c>
      <c r="D1155" s="12">
        <f t="shared" si="85"/>
        <v>2.3209937239702225E-4</v>
      </c>
      <c r="E1155" s="11">
        <f t="shared" si="86"/>
        <v>5.5130387003084918E-4</v>
      </c>
      <c r="F1155">
        <f t="shared" si="89"/>
        <v>1.6364449085689407E-2</v>
      </c>
      <c r="G1155">
        <f t="shared" si="87"/>
        <v>3.3689118841951145E-2</v>
      </c>
      <c r="H1155">
        <f t="shared" si="88"/>
        <v>3.1931380242070975</v>
      </c>
    </row>
    <row r="1156" spans="1:8" x14ac:dyDescent="0.25">
      <c r="A1156" s="13">
        <v>41942</v>
      </c>
      <c r="B1156">
        <v>548.80576780000001</v>
      </c>
      <c r="C1156" s="12">
        <v>1.7840635632127011E-3</v>
      </c>
      <c r="D1156" s="12">
        <f t="shared" si="85"/>
        <v>5.0485903963055487E-5</v>
      </c>
      <c r="E1156" s="11">
        <f t="shared" si="86"/>
        <v>1.7335776592496456E-3</v>
      </c>
      <c r="F1156">
        <f t="shared" si="89"/>
        <v>1.4345395082592321E-2</v>
      </c>
      <c r="G1156">
        <f t="shared" si="87"/>
        <v>0.12084558489109072</v>
      </c>
      <c r="H1156">
        <f t="shared" si="88"/>
        <v>3.3180859275452583</v>
      </c>
    </row>
    <row r="1157" spans="1:8" x14ac:dyDescent="0.25">
      <c r="A1157" s="13">
        <v>41943</v>
      </c>
      <c r="B1157">
        <v>557.55177960000003</v>
      </c>
      <c r="C1157" s="12">
        <v>1.593644293328067E-2</v>
      </c>
      <c r="D1157" s="12">
        <f t="shared" si="85"/>
        <v>2.8996704607121142E-5</v>
      </c>
      <c r="E1157" s="11">
        <f t="shared" si="86"/>
        <v>1.5907446228673548E-2</v>
      </c>
      <c r="F1157">
        <f t="shared" si="89"/>
        <v>1.4165241558576682E-2</v>
      </c>
      <c r="G1157">
        <f t="shared" si="87"/>
        <v>1.1229915256222374</v>
      </c>
      <c r="H1157">
        <f t="shared" si="88"/>
        <v>2.707470576130802</v>
      </c>
    </row>
    <row r="1158" spans="1:8" x14ac:dyDescent="0.25">
      <c r="A1158" s="13">
        <v>41946</v>
      </c>
      <c r="B1158">
        <v>553.70233519999999</v>
      </c>
      <c r="C1158" s="12">
        <v>-6.9041917555383581E-3</v>
      </c>
      <c r="D1158" s="12">
        <f t="shared" ref="D1158:D1221" si="90">+C1157*$K$11+C1156*$K$10</f>
        <v>2.4561850580857847E-4</v>
      </c>
      <c r="E1158" s="11">
        <f t="shared" ref="E1158:E1221" si="91">C1158-D1158</f>
        <v>-7.1498102613469366E-3</v>
      </c>
      <c r="F1158">
        <f t="shared" si="89"/>
        <v>1.6629738613450653E-2</v>
      </c>
      <c r="G1158">
        <f t="shared" ref="G1158:G1221" si="92">E1158/F1158</f>
        <v>-0.42994122923639622</v>
      </c>
      <c r="H1158">
        <f t="shared" ref="H1158:H1221" si="93">1/2*(-LN(PI()*2)-2*LN(F1158)-(E1158/F1158)^2)</f>
        <v>3.0851994401695615</v>
      </c>
    </row>
    <row r="1159" spans="1:8" x14ac:dyDescent="0.25">
      <c r="A1159" s="13">
        <v>41947</v>
      </c>
      <c r="B1159">
        <v>552.59533550000003</v>
      </c>
      <c r="C1159" s="12">
        <v>-1.9992686135233972E-3</v>
      </c>
      <c r="D1159" s="12">
        <f t="shared" si="90"/>
        <v>-6.3467455646459142E-5</v>
      </c>
      <c r="E1159" s="11">
        <f t="shared" si="91"/>
        <v>-1.9358011578769381E-3</v>
      </c>
      <c r="F1159">
        <f t="shared" ref="F1159:F1222" si="94">SQRT($K$6+$K$7*G1158^2+$K$8*F1158^2)</f>
        <v>1.4761107031326295E-2</v>
      </c>
      <c r="G1159">
        <f t="shared" si="92"/>
        <v>-0.13114200403592666</v>
      </c>
      <c r="H1159">
        <f t="shared" si="93"/>
        <v>3.288221814683999</v>
      </c>
    </row>
    <row r="1160" spans="1:8" x14ac:dyDescent="0.25">
      <c r="A1160" s="13">
        <v>41948</v>
      </c>
      <c r="B1160">
        <v>544.42775759999995</v>
      </c>
      <c r="C1160" s="12">
        <v>-1.4780396024533737E-2</v>
      </c>
      <c r="D1160" s="12">
        <f t="shared" si="90"/>
        <v>-4.798186070924544E-5</v>
      </c>
      <c r="E1160" s="11">
        <f t="shared" si="91"/>
        <v>-1.4732414163824491E-2</v>
      </c>
      <c r="F1160">
        <f t="shared" si="94"/>
        <v>1.4211842175684072E-2</v>
      </c>
      <c r="G1160">
        <f t="shared" si="92"/>
        <v>-1.0366294518124539</v>
      </c>
      <c r="H1160">
        <f t="shared" si="93"/>
        <v>2.7974408625017855</v>
      </c>
    </row>
    <row r="1161" spans="1:8" x14ac:dyDescent="0.25">
      <c r="A1161" s="13">
        <v>41949</v>
      </c>
      <c r="B1161">
        <v>540.55835500000001</v>
      </c>
      <c r="C1161" s="12">
        <v>-7.1072838333178234E-3</v>
      </c>
      <c r="D1161" s="12">
        <f t="shared" si="90"/>
        <v>-2.2868674323350986E-4</v>
      </c>
      <c r="E1161" s="11">
        <f t="shared" si="91"/>
        <v>-6.8785970900843135E-3</v>
      </c>
      <c r="F1161">
        <f t="shared" si="94"/>
        <v>1.6286366952687696E-2</v>
      </c>
      <c r="G1161">
        <f t="shared" si="92"/>
        <v>-0.42235307052007426</v>
      </c>
      <c r="H1161">
        <f t="shared" si="93"/>
        <v>3.1092973131102108</v>
      </c>
    </row>
    <row r="1162" spans="1:8" x14ac:dyDescent="0.25">
      <c r="A1162" s="13">
        <v>41950</v>
      </c>
      <c r="B1162">
        <v>539.5311901</v>
      </c>
      <c r="C1162" s="12">
        <v>-1.9001924408327264E-3</v>
      </c>
      <c r="D1162" s="12">
        <f t="shared" si="90"/>
        <v>-1.4548054640693486E-4</v>
      </c>
      <c r="E1162" s="11">
        <f t="shared" si="91"/>
        <v>-1.7547118944257916E-3</v>
      </c>
      <c r="F1162">
        <f t="shared" si="94"/>
        <v>1.4710786383022202E-2</v>
      </c>
      <c r="G1162">
        <f t="shared" si="92"/>
        <v>-0.11928063182610782</v>
      </c>
      <c r="H1162">
        <f t="shared" si="93"/>
        <v>3.2931218189516178</v>
      </c>
    </row>
    <row r="1163" spans="1:8" x14ac:dyDescent="0.25">
      <c r="A1163" s="13">
        <v>41953</v>
      </c>
      <c r="B1163">
        <v>545.99343799999997</v>
      </c>
      <c r="C1163" s="12">
        <v>1.197752422580467E-2</v>
      </c>
      <c r="D1163" s="12">
        <f t="shared" si="90"/>
        <v>-4.7005306610267572E-5</v>
      </c>
      <c r="E1163" s="11">
        <f t="shared" si="91"/>
        <v>1.2024529532414938E-2</v>
      </c>
      <c r="F1163">
        <f t="shared" si="94"/>
        <v>1.4200416790385749E-2</v>
      </c>
      <c r="G1163">
        <f t="shared" si="92"/>
        <v>0.8467730003922157</v>
      </c>
      <c r="H1163">
        <f t="shared" si="93"/>
        <v>2.9770331730687607</v>
      </c>
    </row>
    <row r="1164" spans="1:8" x14ac:dyDescent="0.25">
      <c r="A1164" s="13">
        <v>41954</v>
      </c>
      <c r="B1164">
        <v>548.78580959999999</v>
      </c>
      <c r="C1164" s="12">
        <v>5.1142951648441848E-3</v>
      </c>
      <c r="D1164" s="12">
        <f t="shared" si="90"/>
        <v>1.7627271696420298E-4</v>
      </c>
      <c r="E1164" s="11">
        <f t="shared" si="91"/>
        <v>4.9380224478799816E-3</v>
      </c>
      <c r="F1164">
        <f t="shared" si="94"/>
        <v>1.5598130551681525E-2</v>
      </c>
      <c r="G1164">
        <f t="shared" si="92"/>
        <v>0.31657783806327022</v>
      </c>
      <c r="H1164">
        <f t="shared" si="93"/>
        <v>3.1915549113571959</v>
      </c>
    </row>
    <row r="1165" spans="1:8" x14ac:dyDescent="0.25">
      <c r="A1165" s="13">
        <v>41955</v>
      </c>
      <c r="B1165">
        <v>545.81393279999998</v>
      </c>
      <c r="C1165" s="12">
        <v>-5.4153674311770983E-3</v>
      </c>
      <c r="D1165" s="12">
        <f t="shared" si="90"/>
        <v>1.0813394168569012E-4</v>
      </c>
      <c r="E1165" s="11">
        <f t="shared" si="91"/>
        <v>-5.5235013728627885E-3</v>
      </c>
      <c r="F1165">
        <f t="shared" si="94"/>
        <v>1.4474375072591639E-2</v>
      </c>
      <c r="G1165">
        <f t="shared" si="92"/>
        <v>-0.38160551631151041</v>
      </c>
      <c r="H1165">
        <f t="shared" si="93"/>
        <v>3.2436255110886458</v>
      </c>
    </row>
    <row r="1166" spans="1:8" x14ac:dyDescent="0.25">
      <c r="A1166" s="13">
        <v>41956</v>
      </c>
      <c r="B1166">
        <v>543.88924210000005</v>
      </c>
      <c r="C1166" s="12">
        <v>-3.5262762350648513E-3</v>
      </c>
      <c r="D1166" s="12">
        <f t="shared" si="90"/>
        <v>-6.8762079447132158E-5</v>
      </c>
      <c r="E1166" s="11">
        <f t="shared" si="91"/>
        <v>-3.4575141556177193E-3</v>
      </c>
      <c r="F1166">
        <f t="shared" si="94"/>
        <v>1.4458234301990339E-2</v>
      </c>
      <c r="G1166">
        <f t="shared" si="92"/>
        <v>-0.23913806370821875</v>
      </c>
      <c r="H1166">
        <f t="shared" si="93"/>
        <v>3.288959138875013</v>
      </c>
    </row>
    <row r="1167" spans="1:8" x14ac:dyDescent="0.25">
      <c r="A1167" s="13">
        <v>41957</v>
      </c>
      <c r="B1167">
        <v>542.91188139999997</v>
      </c>
      <c r="C1167" s="12">
        <v>-1.796984798276946E-3</v>
      </c>
      <c r="D1167" s="12">
        <f t="shared" si="90"/>
        <v>-6.7251118603865346E-5</v>
      </c>
      <c r="E1167" s="11">
        <f t="shared" si="91"/>
        <v>-1.7297336796730806E-3</v>
      </c>
      <c r="F1167">
        <f t="shared" si="94"/>
        <v>1.4268011342116776E-2</v>
      </c>
      <c r="G1167">
        <f t="shared" si="92"/>
        <v>-0.1212315884952514</v>
      </c>
      <c r="H1167">
        <f t="shared" si="93"/>
        <v>3.3234481343227018</v>
      </c>
    </row>
    <row r="1168" spans="1:8" x14ac:dyDescent="0.25">
      <c r="A1168" s="13">
        <v>41960</v>
      </c>
      <c r="B1168">
        <v>535.04343719999997</v>
      </c>
      <c r="C1168" s="12">
        <v>-1.4493041080091529E-2</v>
      </c>
      <c r="D1168" s="12">
        <f t="shared" si="90"/>
        <v>-3.6241238473177695E-5</v>
      </c>
      <c r="E1168" s="11">
        <f t="shared" si="91"/>
        <v>-1.4456799841618351E-2</v>
      </c>
      <c r="F1168">
        <f t="shared" si="94"/>
        <v>1.4157927156967991E-2</v>
      </c>
      <c r="G1168">
        <f t="shared" si="92"/>
        <v>-1.0211099182342711</v>
      </c>
      <c r="H1168">
        <f t="shared" si="93"/>
        <v>2.8172093228891204</v>
      </c>
    </row>
    <row r="1169" spans="1:8" x14ac:dyDescent="0.25">
      <c r="A1169" s="13">
        <v>41961</v>
      </c>
      <c r="B1169">
        <v>533.56753930000002</v>
      </c>
      <c r="C1169" s="12">
        <v>-2.7584637010475976E-3</v>
      </c>
      <c r="D1169" s="12">
        <f t="shared" si="90"/>
        <v>-2.2382072963417416E-4</v>
      </c>
      <c r="E1169" s="11">
        <f t="shared" si="91"/>
        <v>-2.5346429714134234E-3</v>
      </c>
      <c r="F1169">
        <f t="shared" si="94"/>
        <v>1.6221641232571058E-2</v>
      </c>
      <c r="G1169">
        <f t="shared" si="92"/>
        <v>-0.15625071070639709</v>
      </c>
      <c r="H1169">
        <f t="shared" si="93"/>
        <v>3.1902633741791235</v>
      </c>
    </row>
    <row r="1170" spans="1:8" x14ac:dyDescent="0.25">
      <c r="A1170" s="13">
        <v>41962</v>
      </c>
      <c r="B1170">
        <v>535.52213900000004</v>
      </c>
      <c r="C1170" s="12">
        <v>3.6632657649382505E-3</v>
      </c>
      <c r="D1170" s="12">
        <f t="shared" si="90"/>
        <v>-7.8967563015586726E-5</v>
      </c>
      <c r="E1170" s="11">
        <f t="shared" si="91"/>
        <v>3.742233327953837E-3</v>
      </c>
      <c r="F1170">
        <f t="shared" si="94"/>
        <v>1.4379482743509583E-2</v>
      </c>
      <c r="G1170">
        <f t="shared" si="92"/>
        <v>0.26024811842713574</v>
      </c>
      <c r="H1170">
        <f t="shared" si="93"/>
        <v>3.2891498231077954</v>
      </c>
    </row>
    <row r="1171" spans="1:8" x14ac:dyDescent="0.25">
      <c r="A1171" s="13">
        <v>41963</v>
      </c>
      <c r="B1171">
        <v>533.36807590000001</v>
      </c>
      <c r="C1171" s="12">
        <v>-4.0223605022612352E-3</v>
      </c>
      <c r="D1171" s="12">
        <f t="shared" si="90"/>
        <v>4.831653068088904E-5</v>
      </c>
      <c r="E1171" s="11">
        <f t="shared" si="91"/>
        <v>-4.0706770329421238E-3</v>
      </c>
      <c r="F1171">
        <f t="shared" si="94"/>
        <v>1.4282990877508141E-2</v>
      </c>
      <c r="G1171">
        <f t="shared" si="92"/>
        <v>-0.28500172462844198</v>
      </c>
      <c r="H1171">
        <f t="shared" si="93"/>
        <v>3.2891343740723662</v>
      </c>
    </row>
    <row r="1172" spans="1:8" x14ac:dyDescent="0.25">
      <c r="A1172" s="13">
        <v>41964</v>
      </c>
      <c r="B1172">
        <v>536.03074660000004</v>
      </c>
      <c r="C1172" s="12">
        <v>4.9921823601966064E-3</v>
      </c>
      <c r="D1172" s="12">
        <f t="shared" si="90"/>
        <v>-5.1422406562817792E-5</v>
      </c>
      <c r="E1172" s="11">
        <f t="shared" si="91"/>
        <v>5.0436047667594243E-3</v>
      </c>
      <c r="F1172">
        <f t="shared" si="94"/>
        <v>1.4302622950634714E-2</v>
      </c>
      <c r="G1172">
        <f t="shared" si="92"/>
        <v>0.35263495263542566</v>
      </c>
      <c r="H1172">
        <f t="shared" si="93"/>
        <v>3.2661980973001632</v>
      </c>
    </row>
    <row r="1173" spans="1:8" x14ac:dyDescent="0.25">
      <c r="A1173" s="13">
        <v>41967</v>
      </c>
      <c r="B1173">
        <v>537.79595219999999</v>
      </c>
      <c r="C1173" s="12">
        <v>3.2931051272646616E-3</v>
      </c>
      <c r="D1173" s="12">
        <f t="shared" si="90"/>
        <v>6.5167783497489863E-5</v>
      </c>
      <c r="E1173" s="11">
        <f t="shared" si="91"/>
        <v>3.2279373437671716E-3</v>
      </c>
      <c r="F1173">
        <f t="shared" si="94"/>
        <v>1.4396589158733914E-2</v>
      </c>
      <c r="G1173">
        <f t="shared" si="92"/>
        <v>0.22421542409640086</v>
      </c>
      <c r="H1173">
        <f t="shared" si="93"/>
        <v>3.2966891530276587</v>
      </c>
    </row>
    <row r="1174" spans="1:8" x14ac:dyDescent="0.25">
      <c r="A1174" s="13">
        <v>41968</v>
      </c>
      <c r="B1174">
        <v>539.60095360000003</v>
      </c>
      <c r="C1174" s="12">
        <v>3.3562941346363395E-3</v>
      </c>
      <c r="D1174" s="12">
        <f t="shared" si="90"/>
        <v>6.2636908054739828E-5</v>
      </c>
      <c r="E1174" s="11">
        <f t="shared" si="91"/>
        <v>3.2936572265815996E-3</v>
      </c>
      <c r="F1174">
        <f t="shared" si="94"/>
        <v>1.4247153856064751E-2</v>
      </c>
      <c r="G1174">
        <f t="shared" si="92"/>
        <v>0.231180013907097</v>
      </c>
      <c r="H1174">
        <f t="shared" si="93"/>
        <v>3.3055374889953</v>
      </c>
    </row>
    <row r="1175" spans="1:8" x14ac:dyDescent="0.25">
      <c r="A1175" s="13">
        <v>41969</v>
      </c>
      <c r="B1175">
        <v>538.89294240000004</v>
      </c>
      <c r="C1175" s="12">
        <v>-1.3121014617866189E-3</v>
      </c>
      <c r="D1175" s="12">
        <f t="shared" si="90"/>
        <v>5.9226041803388948E-5</v>
      </c>
      <c r="E1175" s="11">
        <f t="shared" si="91"/>
        <v>-1.3713275035900079E-3</v>
      </c>
      <c r="F1175">
        <f t="shared" si="94"/>
        <v>1.4239529609901699E-2</v>
      </c>
      <c r="G1175">
        <f t="shared" si="92"/>
        <v>-9.6304269955408639E-2</v>
      </c>
      <c r="H1175">
        <f t="shared" si="93"/>
        <v>3.3281576171459353</v>
      </c>
    </row>
    <row r="1176" spans="1:8" x14ac:dyDescent="0.25">
      <c r="A1176" s="13">
        <v>41971</v>
      </c>
      <c r="B1176">
        <v>540.34894299999996</v>
      </c>
      <c r="C1176" s="12">
        <v>2.7018364603468292E-3</v>
      </c>
      <c r="D1176" s="12">
        <f t="shared" si="90"/>
        <v>-1.1219528665681685E-5</v>
      </c>
      <c r="E1176" s="11">
        <f t="shared" si="91"/>
        <v>2.713055989012511E-3</v>
      </c>
      <c r="F1176">
        <f t="shared" si="94"/>
        <v>1.4143427060871414E-2</v>
      </c>
      <c r="G1176">
        <f t="shared" si="92"/>
        <v>0.19182451165024444</v>
      </c>
      <c r="H1176">
        <f t="shared" si="93"/>
        <v>3.3211684266418393</v>
      </c>
    </row>
    <row r="1177" spans="1:8" x14ac:dyDescent="0.25">
      <c r="A1177" s="13">
        <v>41974</v>
      </c>
      <c r="B1177">
        <v>532.34084919999998</v>
      </c>
      <c r="C1177" s="12">
        <v>-1.482022664010274E-2</v>
      </c>
      <c r="D1177" s="12">
        <f t="shared" si="90"/>
        <v>3.7492334469669733E-5</v>
      </c>
      <c r="E1177" s="11">
        <f t="shared" si="91"/>
        <v>-1.485771897457241E-2</v>
      </c>
      <c r="F1177">
        <f t="shared" si="94"/>
        <v>1.4193691172377756E-2</v>
      </c>
      <c r="G1177">
        <f t="shared" si="92"/>
        <v>-1.0467833063387284</v>
      </c>
      <c r="H1177">
        <f t="shared" si="93"/>
        <v>2.7881415183141147</v>
      </c>
    </row>
    <row r="1178" spans="1:8" x14ac:dyDescent="0.25">
      <c r="A1178" s="13">
        <v>41975</v>
      </c>
      <c r="B1178">
        <v>532.29098409999995</v>
      </c>
      <c r="C1178" s="12">
        <v>-9.3671376290127562E-5</v>
      </c>
      <c r="D1178" s="12">
        <f t="shared" si="90"/>
        <v>-2.1720746403949397E-4</v>
      </c>
      <c r="E1178" s="11">
        <f t="shared" si="91"/>
        <v>1.2353608774936641E-4</v>
      </c>
      <c r="F1178">
        <f t="shared" si="94"/>
        <v>1.632460011248903E-2</v>
      </c>
      <c r="G1178">
        <f t="shared" si="92"/>
        <v>7.5674801770400446E-3</v>
      </c>
      <c r="H1178">
        <f t="shared" si="93"/>
        <v>3.1961149329433636</v>
      </c>
    </row>
    <row r="1179" spans="1:8" x14ac:dyDescent="0.25">
      <c r="A1179" s="13">
        <v>41976</v>
      </c>
      <c r="B1179">
        <v>529.86763240000005</v>
      </c>
      <c r="C1179" s="12">
        <v>-4.5526822215433693E-3</v>
      </c>
      <c r="D1179" s="12">
        <f t="shared" si="90"/>
        <v>-3.9504303615384556E-5</v>
      </c>
      <c r="E1179" s="11">
        <f t="shared" si="91"/>
        <v>-4.5131779179279847E-3</v>
      </c>
      <c r="F1179">
        <f t="shared" si="94"/>
        <v>1.4338726299945084E-2</v>
      </c>
      <c r="G1179">
        <f t="shared" si="92"/>
        <v>-0.31475445053618673</v>
      </c>
      <c r="H1179">
        <f t="shared" si="93"/>
        <v>3.2763175539668952</v>
      </c>
    </row>
    <row r="1180" spans="1:8" x14ac:dyDescent="0.25">
      <c r="A1180" s="13">
        <v>41977</v>
      </c>
      <c r="B1180">
        <v>535.84129270000005</v>
      </c>
      <c r="C1180" s="12">
        <v>1.127387282167569E-2</v>
      </c>
      <c r="D1180" s="12">
        <f t="shared" si="90"/>
        <v>-6.9098569981465802E-5</v>
      </c>
      <c r="E1180" s="11">
        <f t="shared" si="91"/>
        <v>1.1342971391657157E-2</v>
      </c>
      <c r="F1180">
        <f t="shared" si="94"/>
        <v>1.4346147115884895E-2</v>
      </c>
      <c r="G1180">
        <f t="shared" si="92"/>
        <v>0.79066325613638477</v>
      </c>
      <c r="H1180">
        <f t="shared" si="93"/>
        <v>3.0127611409871742</v>
      </c>
    </row>
    <row r="1181" spans="1:8" x14ac:dyDescent="0.25">
      <c r="A1181" s="13">
        <v>41978</v>
      </c>
      <c r="B1181">
        <v>523.82420960000002</v>
      </c>
      <c r="C1181" s="12">
        <v>-2.2426571568324394E-2</v>
      </c>
      <c r="D1181" s="12">
        <f t="shared" si="90"/>
        <v>1.5881339628562842E-4</v>
      </c>
      <c r="E1181" s="11">
        <f t="shared" si="91"/>
        <v>-2.2585384964610024E-2</v>
      </c>
      <c r="F1181">
        <f t="shared" si="94"/>
        <v>1.5429560653661393E-2</v>
      </c>
      <c r="G1181">
        <f t="shared" si="92"/>
        <v>-1.4637736920429147</v>
      </c>
      <c r="H1181">
        <f t="shared" si="93"/>
        <v>2.1812148425644398</v>
      </c>
    </row>
    <row r="1182" spans="1:8" x14ac:dyDescent="0.25">
      <c r="A1182" s="13">
        <v>41981</v>
      </c>
      <c r="B1182">
        <v>525.53948830000002</v>
      </c>
      <c r="C1182" s="12">
        <v>3.2745311663044951E-3</v>
      </c>
      <c r="D1182" s="12">
        <f t="shared" si="90"/>
        <v>-3.1022107019727091E-4</v>
      </c>
      <c r="E1182" s="11">
        <f t="shared" si="91"/>
        <v>3.5847522365017662E-3</v>
      </c>
      <c r="F1182">
        <f t="shared" si="94"/>
        <v>1.8280236614451252E-2</v>
      </c>
      <c r="G1182">
        <f t="shared" si="92"/>
        <v>0.19609988164310069</v>
      </c>
      <c r="H1182">
        <f t="shared" si="93"/>
        <v>3.0637686541472418</v>
      </c>
    </row>
    <row r="1183" spans="1:8" x14ac:dyDescent="0.25">
      <c r="A1183" s="13">
        <v>41982</v>
      </c>
      <c r="B1183">
        <v>531.91207540000005</v>
      </c>
      <c r="C1183" s="12">
        <v>1.2125800709312795E-2</v>
      </c>
      <c r="D1183" s="12">
        <f t="shared" si="90"/>
        <v>-8.109422934986193E-6</v>
      </c>
      <c r="E1183" s="11">
        <f t="shared" si="91"/>
        <v>1.2133910132247782E-2</v>
      </c>
      <c r="F1183">
        <f t="shared" si="94"/>
        <v>1.464441748772994E-2</v>
      </c>
      <c r="G1183">
        <f t="shared" si="92"/>
        <v>0.82856898489915176</v>
      </c>
      <c r="H1183">
        <f t="shared" si="93"/>
        <v>2.9614942604253831</v>
      </c>
    </row>
    <row r="1184" spans="1:8" x14ac:dyDescent="0.25">
      <c r="A1184" s="13">
        <v>41983</v>
      </c>
      <c r="B1184">
        <v>524.62200329999996</v>
      </c>
      <c r="C1184" s="12">
        <v>-1.3705408162651533E-2</v>
      </c>
      <c r="D1184" s="12">
        <f t="shared" si="90"/>
        <v>1.9181424078013352E-4</v>
      </c>
      <c r="E1184" s="11">
        <f t="shared" si="91"/>
        <v>-1.3897222403431667E-2</v>
      </c>
      <c r="F1184">
        <f t="shared" si="94"/>
        <v>1.5577679489210936E-2</v>
      </c>
      <c r="G1184">
        <f t="shared" si="92"/>
        <v>-0.89212404280476121</v>
      </c>
      <c r="H1184">
        <f t="shared" si="93"/>
        <v>2.8450350041950445</v>
      </c>
    </row>
    <row r="1185" spans="1:8" x14ac:dyDescent="0.25">
      <c r="A1185" s="13">
        <v>41984</v>
      </c>
      <c r="B1185">
        <v>526.89581750000002</v>
      </c>
      <c r="C1185" s="12">
        <v>4.3341952600104428E-3</v>
      </c>
      <c r="D1185" s="12">
        <f t="shared" si="90"/>
        <v>-1.7612688130684199E-4</v>
      </c>
      <c r="E1185" s="11">
        <f t="shared" si="91"/>
        <v>4.5103221413172849E-3</v>
      </c>
      <c r="F1185">
        <f t="shared" si="94"/>
        <v>1.587695398382934E-2</v>
      </c>
      <c r="G1185">
        <f t="shared" si="92"/>
        <v>0.28407981442227792</v>
      </c>
      <c r="H1185">
        <f t="shared" si="93"/>
        <v>3.183597452496473</v>
      </c>
    </row>
    <row r="1186" spans="1:8" x14ac:dyDescent="0.25">
      <c r="A1186" s="13">
        <v>41985</v>
      </c>
      <c r="B1186">
        <v>517.24227029999997</v>
      </c>
      <c r="C1186" s="12">
        <v>-1.8321548358087081E-2</v>
      </c>
      <c r="D1186" s="12">
        <f t="shared" si="90"/>
        <v>3.0330789815915546E-5</v>
      </c>
      <c r="E1186" s="11">
        <f t="shared" si="91"/>
        <v>-1.8351879147902997E-2</v>
      </c>
      <c r="F1186">
        <f t="shared" si="94"/>
        <v>1.4462195654120611E-2</v>
      </c>
      <c r="G1186">
        <f t="shared" si="92"/>
        <v>-1.2689552531862012</v>
      </c>
      <c r="H1186">
        <f t="shared" si="93"/>
        <v>2.5121549799792646</v>
      </c>
    </row>
    <row r="1187" spans="1:8" x14ac:dyDescent="0.25">
      <c r="A1187" s="13">
        <v>41988</v>
      </c>
      <c r="B1187">
        <v>512.39556900000002</v>
      </c>
      <c r="C1187" s="12">
        <v>-9.3702730389549904E-3</v>
      </c>
      <c r="D1187" s="12">
        <f t="shared" si="90"/>
        <v>-2.6596870078358849E-4</v>
      </c>
      <c r="E1187" s="11">
        <f t="shared" si="91"/>
        <v>-9.1043043381714012E-3</v>
      </c>
      <c r="F1187">
        <f t="shared" si="94"/>
        <v>1.7284712748930245E-2</v>
      </c>
      <c r="G1187">
        <f t="shared" si="92"/>
        <v>-0.52672581086051717</v>
      </c>
      <c r="H1187">
        <f t="shared" si="93"/>
        <v>3.0002742511458287</v>
      </c>
    </row>
    <row r="1188" spans="1:8" x14ac:dyDescent="0.25">
      <c r="A1188" s="13">
        <v>41989</v>
      </c>
      <c r="B1188">
        <v>494.0358665</v>
      </c>
      <c r="C1188" s="12">
        <v>-3.5831110982928904E-2</v>
      </c>
      <c r="D1188" s="12">
        <f t="shared" si="90"/>
        <v>-1.888081810564948E-4</v>
      </c>
      <c r="E1188" s="11">
        <f t="shared" si="91"/>
        <v>-3.5642302801872409E-2</v>
      </c>
      <c r="F1188">
        <f t="shared" si="94"/>
        <v>1.5023320037701078E-2</v>
      </c>
      <c r="G1188">
        <f t="shared" si="92"/>
        <v>-2.3724651217192947</v>
      </c>
      <c r="H1188">
        <f t="shared" si="93"/>
        <v>0.4649177058549534</v>
      </c>
    </row>
    <row r="1189" spans="1:8" x14ac:dyDescent="0.25">
      <c r="A1189" s="13">
        <v>41990</v>
      </c>
      <c r="B1189">
        <v>503.50990849999999</v>
      </c>
      <c r="C1189" s="12">
        <v>1.9176830352660268E-2</v>
      </c>
      <c r="D1189" s="12">
        <f t="shared" si="90"/>
        <v>-5.660152260319693E-4</v>
      </c>
      <c r="E1189" s="11">
        <f t="shared" si="91"/>
        <v>1.9742845578692238E-2</v>
      </c>
      <c r="F1189">
        <f t="shared" si="94"/>
        <v>2.3379539242469664E-2</v>
      </c>
      <c r="G1189">
        <f t="shared" si="92"/>
        <v>0.84444972905320315</v>
      </c>
      <c r="H1189">
        <f t="shared" si="93"/>
        <v>2.4804078248153467</v>
      </c>
    </row>
    <row r="1190" spans="1:8" x14ac:dyDescent="0.25">
      <c r="A1190" s="13">
        <v>41991</v>
      </c>
      <c r="B1190">
        <v>509.7029296</v>
      </c>
      <c r="C1190" s="12">
        <v>1.2299700552963477E-2</v>
      </c>
      <c r="D1190" s="12">
        <f t="shared" si="90"/>
        <v>1.9795839873227875E-4</v>
      </c>
      <c r="E1190" s="11">
        <f t="shared" si="91"/>
        <v>1.2101742154231199E-2</v>
      </c>
      <c r="F1190">
        <f t="shared" si="94"/>
        <v>1.6620091367176154E-2</v>
      </c>
      <c r="G1190">
        <f t="shared" si="92"/>
        <v>0.72813932768934908</v>
      </c>
      <c r="H1190">
        <f t="shared" si="93"/>
        <v>2.9131110186779701</v>
      </c>
    </row>
    <row r="1191" spans="1:8" x14ac:dyDescent="0.25">
      <c r="A1191" s="13">
        <v>41992</v>
      </c>
      <c r="B1191">
        <v>514.93854920000001</v>
      </c>
      <c r="C1191" s="12">
        <v>1.0271904075789262E-2</v>
      </c>
      <c r="D1191" s="12">
        <f t="shared" si="90"/>
        <v>2.3531286905839865E-4</v>
      </c>
      <c r="E1191" s="11">
        <f t="shared" si="91"/>
        <v>1.0036591206730864E-2</v>
      </c>
      <c r="F1191">
        <f t="shared" si="94"/>
        <v>1.5460345796550236E-2</v>
      </c>
      <c r="G1191">
        <f t="shared" si="92"/>
        <v>0.64918284097955892</v>
      </c>
      <c r="H1191">
        <f t="shared" si="93"/>
        <v>3.039819155180584</v>
      </c>
    </row>
    <row r="1192" spans="1:8" x14ac:dyDescent="0.25">
      <c r="A1192" s="13">
        <v>41995</v>
      </c>
      <c r="B1192">
        <v>523.43529139999998</v>
      </c>
      <c r="C1192" s="12">
        <v>1.6500497415080639E-2</v>
      </c>
      <c r="D1192" s="12">
        <f t="shared" si="90"/>
        <v>1.8696908213892331E-4</v>
      </c>
      <c r="E1192" s="11">
        <f t="shared" si="91"/>
        <v>1.6313528332941717E-2</v>
      </c>
      <c r="F1192">
        <f t="shared" si="94"/>
        <v>1.5125500988678231E-2</v>
      </c>
      <c r="G1192">
        <f t="shared" si="92"/>
        <v>1.0785446607786908</v>
      </c>
      <c r="H1192">
        <f t="shared" si="93"/>
        <v>2.6908053265436149</v>
      </c>
    </row>
    <row r="1193" spans="1:8" x14ac:dyDescent="0.25">
      <c r="A1193" s="13">
        <v>41996</v>
      </c>
      <c r="B1193">
        <v>529.13966310000001</v>
      </c>
      <c r="C1193" s="12">
        <v>1.0897950126256939E-2</v>
      </c>
      <c r="D1193" s="12">
        <f t="shared" si="90"/>
        <v>2.7596315134284115E-4</v>
      </c>
      <c r="E1193" s="11">
        <f t="shared" si="91"/>
        <v>1.0621986974914097E-2</v>
      </c>
      <c r="F1193">
        <f t="shared" si="94"/>
        <v>1.6530458360628716E-2</v>
      </c>
      <c r="G1193">
        <f t="shared" si="92"/>
        <v>0.64257062588251801</v>
      </c>
      <c r="H1193">
        <f t="shared" si="93"/>
        <v>2.9771636006897966</v>
      </c>
    </row>
    <row r="1194" spans="1:8" x14ac:dyDescent="0.25">
      <c r="A1194" s="13">
        <v>41997</v>
      </c>
      <c r="B1194">
        <v>527.32465219999995</v>
      </c>
      <c r="C1194" s="12">
        <v>-3.4301168983755792E-3</v>
      </c>
      <c r="D1194" s="12">
        <f t="shared" si="90"/>
        <v>2.0723375158610937E-4</v>
      </c>
      <c r="E1194" s="11">
        <f t="shared" si="91"/>
        <v>-3.6373506499616888E-3</v>
      </c>
      <c r="F1194">
        <f t="shared" si="94"/>
        <v>1.5216730234164314E-2</v>
      </c>
      <c r="G1194">
        <f t="shared" si="92"/>
        <v>-0.23903628401029139</v>
      </c>
      <c r="H1194">
        <f t="shared" si="93"/>
        <v>3.2378520773849666</v>
      </c>
    </row>
    <row r="1195" spans="1:8" x14ac:dyDescent="0.25">
      <c r="A1195" s="13">
        <v>41999</v>
      </c>
      <c r="B1195">
        <v>532.5702205</v>
      </c>
      <c r="C1195" s="12">
        <v>9.9475119892755703E-3</v>
      </c>
      <c r="D1195" s="12">
        <f t="shared" si="90"/>
        <v>-2.3871984852760714E-5</v>
      </c>
      <c r="E1195" s="11">
        <f t="shared" si="91"/>
        <v>9.9713839741283304E-3</v>
      </c>
      <c r="F1195">
        <f t="shared" si="94"/>
        <v>1.4343545929147022E-2</v>
      </c>
      <c r="G1195">
        <f t="shared" si="92"/>
        <v>0.69518262941284459</v>
      </c>
      <c r="H1195">
        <f t="shared" si="93"/>
        <v>3.0838772216610373</v>
      </c>
    </row>
    <row r="1196" spans="1:8" x14ac:dyDescent="0.25">
      <c r="A1196" s="13">
        <v>42002</v>
      </c>
      <c r="B1196">
        <v>528.88038489999997</v>
      </c>
      <c r="C1196" s="12">
        <v>-6.9283550937861982E-3</v>
      </c>
      <c r="D1196" s="12">
        <f t="shared" si="90"/>
        <v>1.4163758073306378E-4</v>
      </c>
      <c r="E1196" s="11">
        <f t="shared" si="91"/>
        <v>-7.0699926745192623E-3</v>
      </c>
      <c r="F1196">
        <f t="shared" si="94"/>
        <v>1.5144971686617551E-2</v>
      </c>
      <c r="G1196">
        <f t="shared" si="92"/>
        <v>-0.46682112194151359</v>
      </c>
      <c r="H1196">
        <f t="shared" si="93"/>
        <v>3.1621871908417658</v>
      </c>
    </row>
    <row r="1197" spans="1:8" x14ac:dyDescent="0.25">
      <c r="A1197" s="13">
        <v>42003</v>
      </c>
      <c r="B1197">
        <v>528.97010660000001</v>
      </c>
      <c r="C1197" s="12">
        <v>1.6964459745838489E-4</v>
      </c>
      <c r="D1197" s="12">
        <f t="shared" si="90"/>
        <v>-7.9224297869596893E-5</v>
      </c>
      <c r="E1197" s="11">
        <f t="shared" si="91"/>
        <v>2.488688953279818E-4</v>
      </c>
      <c r="F1197">
        <f t="shared" si="94"/>
        <v>1.4675861739795376E-2</v>
      </c>
      <c r="G1197">
        <f t="shared" si="92"/>
        <v>1.6957702364634824E-2</v>
      </c>
      <c r="H1197">
        <f t="shared" si="93"/>
        <v>3.3024688783311165</v>
      </c>
    </row>
    <row r="1198" spans="1:8" x14ac:dyDescent="0.25">
      <c r="A1198" s="13">
        <v>42004</v>
      </c>
      <c r="B1198">
        <v>524.96111629999996</v>
      </c>
      <c r="C1198" s="12">
        <v>-7.5788598447805722E-3</v>
      </c>
      <c r="D1198" s="12">
        <f t="shared" si="90"/>
        <v>-1.5239853195664049E-5</v>
      </c>
      <c r="E1198" s="11">
        <f t="shared" si="91"/>
        <v>-7.5636199915849085E-3</v>
      </c>
      <c r="F1198">
        <f t="shared" si="94"/>
        <v>1.4166822961923176E-2</v>
      </c>
      <c r="G1198">
        <f t="shared" si="92"/>
        <v>-0.53389669736919843</v>
      </c>
      <c r="H1198">
        <f t="shared" si="93"/>
        <v>3.1953910842388509</v>
      </c>
    </row>
    <row r="1199" spans="1:8" x14ac:dyDescent="0.25">
      <c r="A1199" s="13">
        <v>42006</v>
      </c>
      <c r="B1199">
        <v>523.37547659999996</v>
      </c>
      <c r="C1199" s="12">
        <v>-3.0204898053703966E-3</v>
      </c>
      <c r="D1199" s="12">
        <f t="shared" si="90"/>
        <v>-1.1419180742607871E-4</v>
      </c>
      <c r="E1199" s="11">
        <f t="shared" si="91"/>
        <v>-2.9062979979443179E-3</v>
      </c>
      <c r="F1199">
        <f t="shared" si="94"/>
        <v>1.4722013027739088E-2</v>
      </c>
      <c r="G1199">
        <f t="shared" si="92"/>
        <v>-0.19741172572448459</v>
      </c>
      <c r="H1199">
        <f t="shared" si="93"/>
        <v>3.2799871924981927</v>
      </c>
    </row>
    <row r="1200" spans="1:8" x14ac:dyDescent="0.25">
      <c r="A1200" s="13">
        <v>42009</v>
      </c>
      <c r="B1200">
        <v>512.46533239999997</v>
      </c>
      <c r="C1200" s="12">
        <v>-2.0845730623214265E-2</v>
      </c>
      <c r="D1200" s="12">
        <f t="shared" si="90"/>
        <v>-6.5161376459161962E-5</v>
      </c>
      <c r="E1200" s="11">
        <f t="shared" si="91"/>
        <v>-2.0780569246755101E-2</v>
      </c>
      <c r="F1200">
        <f t="shared" si="94"/>
        <v>1.4254821350123091E-2</v>
      </c>
      <c r="G1200">
        <f t="shared" si="92"/>
        <v>-1.4577923311943619</v>
      </c>
      <c r="H1200">
        <f t="shared" si="93"/>
        <v>2.2691423154829362</v>
      </c>
    </row>
    <row r="1201" spans="1:8" x14ac:dyDescent="0.25">
      <c r="A1201" s="13">
        <v>42010</v>
      </c>
      <c r="B1201">
        <v>500.58789789999997</v>
      </c>
      <c r="C1201" s="12">
        <v>-2.3177049741833433E-2</v>
      </c>
      <c r="D1201" s="12">
        <f t="shared" si="90"/>
        <v>-3.2304746447514896E-4</v>
      </c>
      <c r="E1201" s="11">
        <f t="shared" si="91"/>
        <v>-2.2854002277358284E-2</v>
      </c>
      <c r="F1201">
        <f t="shared" si="94"/>
        <v>1.8158835894071822E-2</v>
      </c>
      <c r="G1201">
        <f t="shared" si="92"/>
        <v>-1.2585609788356122</v>
      </c>
      <c r="H1201">
        <f t="shared" si="93"/>
        <v>2.2976716086845075</v>
      </c>
    </row>
    <row r="1202" spans="1:8" x14ac:dyDescent="0.25">
      <c r="A1202" s="13">
        <v>42011</v>
      </c>
      <c r="B1202">
        <v>499.73025860000001</v>
      </c>
      <c r="C1202" s="12">
        <v>-1.7132641512066504E-3</v>
      </c>
      <c r="D1202" s="12">
        <f t="shared" si="90"/>
        <v>-4.0411826177383175E-4</v>
      </c>
      <c r="E1202" s="11">
        <f t="shared" si="91"/>
        <v>-1.3091458894328187E-3</v>
      </c>
      <c r="F1202">
        <f t="shared" si="94"/>
        <v>1.7571161198544748E-2</v>
      </c>
      <c r="G1202">
        <f t="shared" si="92"/>
        <v>-7.4505371309281643E-2</v>
      </c>
      <c r="H1202">
        <f t="shared" si="93"/>
        <v>3.1197822307421443</v>
      </c>
    </row>
    <row r="1203" spans="1:8" x14ac:dyDescent="0.25">
      <c r="A1203" s="13">
        <v>42012</v>
      </c>
      <c r="B1203">
        <v>501.3059495</v>
      </c>
      <c r="C1203" s="12">
        <v>3.1530828339558781E-3</v>
      </c>
      <c r="D1203" s="12">
        <f t="shared" si="90"/>
        <v>-8.5476911419286105E-5</v>
      </c>
      <c r="E1203" s="11">
        <f t="shared" si="91"/>
        <v>3.2385597453751642E-3</v>
      </c>
      <c r="F1203">
        <f t="shared" si="94"/>
        <v>1.4491318737026299E-2</v>
      </c>
      <c r="G1203">
        <f t="shared" si="92"/>
        <v>0.22348274881984517</v>
      </c>
      <c r="H1203">
        <f t="shared" si="93"/>
        <v>3.2902947139292662</v>
      </c>
    </row>
    <row r="1204" spans="1:8" x14ac:dyDescent="0.25">
      <c r="A1204" s="13">
        <v>42013</v>
      </c>
      <c r="B1204">
        <v>494.81373289999999</v>
      </c>
      <c r="C1204" s="12">
        <v>-1.2950607521166058E-2</v>
      </c>
      <c r="D1204" s="12">
        <f t="shared" si="90"/>
        <v>4.3286312515820099E-5</v>
      </c>
      <c r="E1204" s="11">
        <f t="shared" si="91"/>
        <v>-1.2993893833681878E-2</v>
      </c>
      <c r="F1204">
        <f t="shared" si="94"/>
        <v>1.4255679776289439E-2</v>
      </c>
      <c r="G1204">
        <f t="shared" si="92"/>
        <v>-0.91148889688822776</v>
      </c>
      <c r="H1204">
        <f t="shared" si="93"/>
        <v>2.9162553331075274</v>
      </c>
    </row>
    <row r="1205" spans="1:8" x14ac:dyDescent="0.25">
      <c r="A1205" s="13">
        <v>42016</v>
      </c>
      <c r="B1205">
        <v>491.20363939999999</v>
      </c>
      <c r="C1205" s="12">
        <v>-7.2958635946540618E-3</v>
      </c>
      <c r="D1205" s="12">
        <f t="shared" si="90"/>
        <v>-1.8777039305187517E-4</v>
      </c>
      <c r="E1205" s="11">
        <f t="shared" si="91"/>
        <v>-7.1080932016021866E-3</v>
      </c>
      <c r="F1205">
        <f t="shared" si="94"/>
        <v>1.5824852743642346E-2</v>
      </c>
      <c r="G1205">
        <f t="shared" si="92"/>
        <v>-0.44917278642342323</v>
      </c>
      <c r="H1205">
        <f t="shared" si="93"/>
        <v>3.12635698705789</v>
      </c>
    </row>
    <row r="1206" spans="1:8" x14ac:dyDescent="0.25">
      <c r="A1206" s="13">
        <v>42017</v>
      </c>
      <c r="B1206">
        <v>494.8237125</v>
      </c>
      <c r="C1206" s="12">
        <v>7.3698010552647464E-3</v>
      </c>
      <c r="D1206" s="12">
        <f t="shared" si="90"/>
        <v>-1.4363025031895323E-4</v>
      </c>
      <c r="E1206" s="11">
        <f t="shared" si="91"/>
        <v>7.5134313055836999E-3</v>
      </c>
      <c r="F1206">
        <f t="shared" si="94"/>
        <v>1.4711041340599093E-2</v>
      </c>
      <c r="G1206">
        <f t="shared" si="92"/>
        <v>0.51073415753705731</v>
      </c>
      <c r="H1206">
        <f t="shared" si="93"/>
        <v>3.1697937324929999</v>
      </c>
    </row>
    <row r="1207" spans="1:8" x14ac:dyDescent="0.25">
      <c r="A1207" s="13">
        <v>42018</v>
      </c>
      <c r="B1207">
        <v>499.50088729999999</v>
      </c>
      <c r="C1207" s="12">
        <v>9.4522042534490591E-3</v>
      </c>
      <c r="D1207" s="12">
        <f t="shared" si="90"/>
        <v>9.2715684206532193E-5</v>
      </c>
      <c r="E1207" s="11">
        <f t="shared" si="91"/>
        <v>9.3594885692425273E-3</v>
      </c>
      <c r="F1207">
        <f t="shared" si="94"/>
        <v>1.4722973056243637E-2</v>
      </c>
      <c r="G1207">
        <f t="shared" si="92"/>
        <v>0.63570642515530562</v>
      </c>
      <c r="H1207">
        <f t="shared" si="93"/>
        <v>3.0973463494492584</v>
      </c>
    </row>
    <row r="1208" spans="1:8" x14ac:dyDescent="0.25">
      <c r="A1208" s="13">
        <v>42019</v>
      </c>
      <c r="B1208">
        <v>500.41837240000001</v>
      </c>
      <c r="C1208" s="12">
        <v>1.8368037441522933E-3</v>
      </c>
      <c r="D1208" s="12">
        <f t="shared" si="90"/>
        <v>1.6190168968277925E-4</v>
      </c>
      <c r="E1208" s="11">
        <f t="shared" si="91"/>
        <v>1.674902054469514E-3</v>
      </c>
      <c r="F1208">
        <f t="shared" si="94"/>
        <v>1.5019311843760718E-2</v>
      </c>
      <c r="G1208">
        <f t="shared" si="92"/>
        <v>0.11151656426691062</v>
      </c>
      <c r="H1208">
        <f t="shared" si="93"/>
        <v>3.2732619444327384</v>
      </c>
    </row>
    <row r="1209" spans="1:8" x14ac:dyDescent="0.25">
      <c r="A1209" s="13">
        <v>42020</v>
      </c>
      <c r="B1209">
        <v>506.69116739999998</v>
      </c>
      <c r="C1209" s="12">
        <v>1.2535101319153696E-2</v>
      </c>
      <c r="D1209" s="12">
        <f t="shared" si="90"/>
        <v>5.20729509680377E-5</v>
      </c>
      <c r="E1209" s="11">
        <f t="shared" si="91"/>
        <v>1.2483028368185659E-2</v>
      </c>
      <c r="F1209">
        <f t="shared" si="94"/>
        <v>1.4227576984919546E-2</v>
      </c>
      <c r="G1209">
        <f t="shared" si="92"/>
        <v>0.87738259166806742</v>
      </c>
      <c r="H1209">
        <f t="shared" si="93"/>
        <v>2.9487345172217045</v>
      </c>
    </row>
    <row r="1210" spans="1:8" x14ac:dyDescent="0.25">
      <c r="A1210" s="13">
        <v>42024</v>
      </c>
      <c r="B1210">
        <v>505.5144042</v>
      </c>
      <c r="C1210" s="12">
        <v>-2.322446641488396E-3</v>
      </c>
      <c r="D1210" s="12">
        <f t="shared" si="90"/>
        <v>1.9430986136551362E-4</v>
      </c>
      <c r="E1210" s="11">
        <f t="shared" si="91"/>
        <v>-2.5167565028539098E-3</v>
      </c>
      <c r="F1210">
        <f t="shared" si="94"/>
        <v>1.5703824270735925E-2</v>
      </c>
      <c r="G1210">
        <f t="shared" si="92"/>
        <v>-0.1602639242177388</v>
      </c>
      <c r="H1210">
        <f t="shared" si="93"/>
        <v>3.2220702162588561</v>
      </c>
    </row>
    <row r="1211" spans="1:8" x14ac:dyDescent="0.25">
      <c r="A1211" s="13">
        <v>42025</v>
      </c>
      <c r="B1211">
        <v>516.62398189999999</v>
      </c>
      <c r="C1211" s="12">
        <v>2.1976777729175501E-2</v>
      </c>
      <c r="D1211" s="12">
        <f t="shared" si="90"/>
        <v>-2.9114013384240689E-6</v>
      </c>
      <c r="E1211" s="11">
        <f t="shared" si="91"/>
        <v>2.1979689130513926E-2</v>
      </c>
      <c r="F1211">
        <f t="shared" si="94"/>
        <v>1.4326823856783169E-2</v>
      </c>
      <c r="G1211">
        <f t="shared" si="92"/>
        <v>1.5341634231168018</v>
      </c>
      <c r="H1211">
        <f t="shared" si="93"/>
        <v>2.1498544670211657</v>
      </c>
    </row>
    <row r="1212" spans="1:8" x14ac:dyDescent="0.25">
      <c r="A1212" s="13">
        <v>42026</v>
      </c>
      <c r="B1212">
        <v>532.92923080000003</v>
      </c>
      <c r="C1212" s="12">
        <v>3.1561153704158018E-2</v>
      </c>
      <c r="D1212" s="12">
        <f t="shared" si="90"/>
        <v>3.2642299154275333E-4</v>
      </c>
      <c r="E1212" s="11">
        <f t="shared" si="91"/>
        <v>3.1234730712615264E-2</v>
      </c>
      <c r="F1212">
        <f t="shared" si="94"/>
        <v>1.8545726873283336E-2</v>
      </c>
      <c r="G1212">
        <f t="shared" si="92"/>
        <v>1.6842009442946932</v>
      </c>
      <c r="H1212">
        <f t="shared" si="93"/>
        <v>1.6503109301141548</v>
      </c>
    </row>
    <row r="1213" spans="1:8" x14ac:dyDescent="0.25">
      <c r="A1213" s="13">
        <v>42027</v>
      </c>
      <c r="B1213">
        <v>538.47405649999996</v>
      </c>
      <c r="C1213" s="12">
        <v>1.0404431544646986E-2</v>
      </c>
      <c r="D1213" s="12">
        <f t="shared" si="90"/>
        <v>5.3383186458747845E-4</v>
      </c>
      <c r="E1213" s="11">
        <f t="shared" si="91"/>
        <v>9.8705996800595077E-3</v>
      </c>
      <c r="F1213">
        <f t="shared" si="94"/>
        <v>1.9669007748800142E-2</v>
      </c>
      <c r="G1213">
        <f t="shared" si="92"/>
        <v>0.50183516149469398</v>
      </c>
      <c r="H1213">
        <f t="shared" si="93"/>
        <v>2.8838532948935378</v>
      </c>
    </row>
    <row r="1214" spans="1:8" x14ac:dyDescent="0.25">
      <c r="A1214" s="13">
        <v>42030</v>
      </c>
      <c r="B1214">
        <v>533.74704550000001</v>
      </c>
      <c r="C1214" s="12">
        <v>-8.7785306328865831E-3</v>
      </c>
      <c r="D1214" s="12">
        <f t="shared" si="90"/>
        <v>2.3847489540351974E-4</v>
      </c>
      <c r="E1214" s="11">
        <f t="shared" si="91"/>
        <v>-9.0170055282901024E-3</v>
      </c>
      <c r="F1214">
        <f t="shared" si="94"/>
        <v>1.5251319686397235E-2</v>
      </c>
      <c r="G1214">
        <f t="shared" si="92"/>
        <v>-0.59122788805826665</v>
      </c>
      <c r="H1214">
        <f t="shared" si="93"/>
        <v>3.089375501846285</v>
      </c>
    </row>
    <row r="1215" spans="1:8" x14ac:dyDescent="0.25">
      <c r="A1215" s="13">
        <v>42031</v>
      </c>
      <c r="B1215">
        <v>517.21236350000004</v>
      </c>
      <c r="C1215" s="12">
        <v>-3.09784984093181E-2</v>
      </c>
      <c r="D1215" s="12">
        <f t="shared" si="90"/>
        <v>-1.0603333082475285E-4</v>
      </c>
      <c r="E1215" s="11">
        <f t="shared" si="91"/>
        <v>-3.0872465078493349E-2</v>
      </c>
      <c r="F1215">
        <f t="shared" si="94"/>
        <v>1.4958547303530162E-2</v>
      </c>
      <c r="G1215">
        <f t="shared" si="92"/>
        <v>-2.0638678644421282</v>
      </c>
      <c r="H1215">
        <f t="shared" si="93"/>
        <v>1.1537586023867101</v>
      </c>
    </row>
    <row r="1216" spans="1:8" x14ac:dyDescent="0.25">
      <c r="A1216" s="13">
        <v>42032</v>
      </c>
      <c r="B1216">
        <v>508.60594040000001</v>
      </c>
      <c r="C1216" s="12">
        <v>-1.6640018118979194E-2</v>
      </c>
      <c r="D1216" s="12">
        <f t="shared" si="90"/>
        <v>-4.9110027890219567E-4</v>
      </c>
      <c r="E1216" s="11">
        <f t="shared" si="91"/>
        <v>-1.6148917840077E-2</v>
      </c>
      <c r="F1216">
        <f t="shared" si="94"/>
        <v>2.1506256494704286E-2</v>
      </c>
      <c r="G1216">
        <f t="shared" si="92"/>
        <v>-0.75089394772416662</v>
      </c>
      <c r="H1216">
        <f t="shared" si="93"/>
        <v>2.6385519928579839</v>
      </c>
    </row>
    <row r="1217" spans="1:8" x14ac:dyDescent="0.25">
      <c r="A1217" s="13">
        <v>42033</v>
      </c>
      <c r="B1217">
        <v>509.26411539999998</v>
      </c>
      <c r="C1217" s="12">
        <v>1.2940765093745199E-3</v>
      </c>
      <c r="D1217" s="12">
        <f t="shared" si="90"/>
        <v>-3.3128870612180372E-4</v>
      </c>
      <c r="E1217" s="11">
        <f t="shared" si="91"/>
        <v>1.6253652154963236E-3</v>
      </c>
      <c r="F1217">
        <f t="shared" si="94"/>
        <v>1.609336479531415E-2</v>
      </c>
      <c r="G1217">
        <f t="shared" si="92"/>
        <v>0.10099598413189363</v>
      </c>
      <c r="H1217">
        <f t="shared" si="93"/>
        <v>3.205309588842959</v>
      </c>
    </row>
    <row r="1218" spans="1:8" x14ac:dyDescent="0.25">
      <c r="A1218" s="13">
        <v>42034</v>
      </c>
      <c r="B1218">
        <v>533.05893170000002</v>
      </c>
      <c r="C1218" s="12">
        <v>4.6723921007688629E-2</v>
      </c>
      <c r="D1218" s="12">
        <f t="shared" si="90"/>
        <v>-2.3191879943926205E-5</v>
      </c>
      <c r="E1218" s="11">
        <f t="shared" si="91"/>
        <v>4.6747112887632558E-2</v>
      </c>
      <c r="F1218">
        <f t="shared" si="94"/>
        <v>1.433526770805821E-2</v>
      </c>
      <c r="G1218">
        <f t="shared" si="92"/>
        <v>3.2609863896266718</v>
      </c>
      <c r="H1218">
        <f t="shared" si="93"/>
        <v>-1.9909221451835486</v>
      </c>
    </row>
    <row r="1219" spans="1:8" x14ac:dyDescent="0.25">
      <c r="A1219" s="13">
        <v>42037</v>
      </c>
      <c r="B1219">
        <v>527.03540529999998</v>
      </c>
      <c r="C1219" s="12">
        <v>-1.1299925846454117E-2</v>
      </c>
      <c r="D1219" s="12">
        <f t="shared" si="90"/>
        <v>7.1000984147503879E-4</v>
      </c>
      <c r="E1219" s="11">
        <f t="shared" si="91"/>
        <v>-1.2009935687929156E-2</v>
      </c>
      <c r="F1219">
        <f t="shared" si="94"/>
        <v>2.9178801036510649E-2</v>
      </c>
      <c r="G1219">
        <f t="shared" si="92"/>
        <v>-0.41159798419754967</v>
      </c>
      <c r="H1219">
        <f t="shared" si="93"/>
        <v>2.5306678417655424</v>
      </c>
    </row>
    <row r="1220" spans="1:8" x14ac:dyDescent="0.25">
      <c r="A1220" s="13">
        <v>42038</v>
      </c>
      <c r="B1220">
        <v>527.79334340000003</v>
      </c>
      <c r="C1220" s="12">
        <v>1.4381160969036966E-3</v>
      </c>
      <c r="D1220" s="12">
        <f t="shared" si="90"/>
        <v>-5.0828573831594568E-5</v>
      </c>
      <c r="E1220" s="11">
        <f t="shared" si="91"/>
        <v>1.4889446707352912E-3</v>
      </c>
      <c r="F1220">
        <f t="shared" si="94"/>
        <v>1.6498960967358138E-2</v>
      </c>
      <c r="G1220">
        <f t="shared" si="92"/>
        <v>9.0244753816985684E-2</v>
      </c>
      <c r="H1220">
        <f t="shared" si="93"/>
        <v>3.181447280733249</v>
      </c>
    </row>
    <row r="1221" spans="1:8" x14ac:dyDescent="0.25">
      <c r="A1221" s="13">
        <v>42039</v>
      </c>
      <c r="B1221">
        <v>521.33103459999995</v>
      </c>
      <c r="C1221" s="12">
        <v>-1.2244013458696634E-2</v>
      </c>
      <c r="D1221" s="12">
        <f t="shared" si="90"/>
        <v>-7.2894451060856062E-6</v>
      </c>
      <c r="E1221" s="11">
        <f t="shared" si="91"/>
        <v>-1.2236724013590548E-2</v>
      </c>
      <c r="F1221">
        <f t="shared" si="94"/>
        <v>1.4375149376621524E-2</v>
      </c>
      <c r="G1221">
        <f t="shared" si="92"/>
        <v>-0.85124152055708568</v>
      </c>
      <c r="H1221">
        <f t="shared" si="93"/>
        <v>2.9610097045707211</v>
      </c>
    </row>
    <row r="1222" spans="1:8" x14ac:dyDescent="0.25">
      <c r="A1222" s="13">
        <v>42040</v>
      </c>
      <c r="B1222">
        <v>526.13787950000005</v>
      </c>
      <c r="C1222" s="12">
        <v>9.220331384430791E-3</v>
      </c>
      <c r="D1222" s="12">
        <f t="shared" ref="D1222:D1285" si="95">+C1221*$K$11+C1220*$K$10</f>
        <v>-1.8149080276277436E-4</v>
      </c>
      <c r="E1222" s="11">
        <f t="shared" ref="E1222:E1285" si="96">C1222-D1222</f>
        <v>9.4018221871935651E-3</v>
      </c>
      <c r="F1222">
        <f t="shared" si="94"/>
        <v>1.5628395182120509E-2</v>
      </c>
      <c r="G1222">
        <f t="shared" ref="G1222:G1285" si="97">E1222/F1222</f>
        <v>0.60158590038404036</v>
      </c>
      <c r="H1222">
        <f t="shared" ref="H1222:H1285" si="98">1/2*(-LN(PI()*2)-2*LN(F1222)-(E1222/F1222)^2)</f>
        <v>3.0587744843332612</v>
      </c>
    </row>
    <row r="1223" spans="1:8" x14ac:dyDescent="0.25">
      <c r="A1223" s="13">
        <v>42041</v>
      </c>
      <c r="B1223">
        <v>529.54853949999995</v>
      </c>
      <c r="C1223" s="12">
        <v>6.4824452541625277E-3</v>
      </c>
      <c r="D1223" s="12">
        <f t="shared" si="95"/>
        <v>1.0798775103795959E-4</v>
      </c>
      <c r="E1223" s="11">
        <f t="shared" si="96"/>
        <v>6.3744575031245681E-3</v>
      </c>
      <c r="F1223">
        <f t="shared" ref="F1223:F1286" si="99">SQRT($K$6+$K$7*G1222^2+$K$8*F1222^2)</f>
        <v>1.5021146288594777E-2</v>
      </c>
      <c r="G1223">
        <f t="shared" si="97"/>
        <v>0.42436558306901995</v>
      </c>
      <c r="H1223">
        <f t="shared" si="98"/>
        <v>3.1893147108237443</v>
      </c>
    </row>
    <row r="1224" spans="1:8" x14ac:dyDescent="0.25">
      <c r="A1224" s="13">
        <v>42044</v>
      </c>
      <c r="B1224">
        <v>526.38720990000002</v>
      </c>
      <c r="C1224" s="12">
        <v>-5.9698580284724967E-3</v>
      </c>
      <c r="D1224" s="12">
        <f t="shared" si="95"/>
        <v>1.217408606301917E-4</v>
      </c>
      <c r="E1224" s="11">
        <f t="shared" si="96"/>
        <v>-6.0915988891026883E-3</v>
      </c>
      <c r="F1224">
        <f t="shared" si="99"/>
        <v>1.4584345353672413E-2</v>
      </c>
      <c r="G1224">
        <f t="shared" si="97"/>
        <v>-0.41768065287680484</v>
      </c>
      <c r="H1224">
        <f t="shared" si="98"/>
        <v>3.2216394644755284</v>
      </c>
    </row>
    <row r="1225" spans="1:8" x14ac:dyDescent="0.25">
      <c r="A1225" s="13">
        <v>42045</v>
      </c>
      <c r="B1225">
        <v>535.47227290000001</v>
      </c>
      <c r="C1225" s="12">
        <v>1.7259277636563208E-2</v>
      </c>
      <c r="D1225" s="12">
        <f t="shared" si="95"/>
        <v>-7.3632463087168292E-5</v>
      </c>
      <c r="E1225" s="11">
        <f t="shared" si="96"/>
        <v>1.7332910099650378E-2</v>
      </c>
      <c r="F1225">
        <f t="shared" si="99"/>
        <v>1.4529790383627825E-2</v>
      </c>
      <c r="G1225">
        <f t="shared" si="97"/>
        <v>1.1929222405838085</v>
      </c>
      <c r="H1225">
        <f t="shared" si="98"/>
        <v>2.6010839587132821</v>
      </c>
    </row>
    <row r="1226" spans="1:8" x14ac:dyDescent="0.25">
      <c r="A1226" s="13">
        <v>42046</v>
      </c>
      <c r="B1226">
        <v>534.50492169999995</v>
      </c>
      <c r="C1226" s="12">
        <v>-1.8065383568062199E-3</v>
      </c>
      <c r="D1226" s="12">
        <f t="shared" si="95"/>
        <v>2.4569859567734049E-4</v>
      </c>
      <c r="E1226" s="11">
        <f t="shared" si="96"/>
        <v>-2.0522369524835606E-3</v>
      </c>
      <c r="F1226">
        <f t="shared" si="99"/>
        <v>1.6955198977759243E-2</v>
      </c>
      <c r="G1226">
        <f t="shared" si="97"/>
        <v>-0.12103880085250283</v>
      </c>
      <c r="H1226">
        <f t="shared" si="98"/>
        <v>3.1509170389738186</v>
      </c>
    </row>
    <row r="1227" spans="1:8" x14ac:dyDescent="0.25">
      <c r="A1227" s="13">
        <v>42047</v>
      </c>
      <c r="B1227">
        <v>541.44593220000002</v>
      </c>
      <c r="C1227" s="12">
        <v>1.2985868264643985E-2</v>
      </c>
      <c r="D1227" s="12">
        <f t="shared" si="95"/>
        <v>1.7032540325285991E-5</v>
      </c>
      <c r="E1227" s="11">
        <f t="shared" si="96"/>
        <v>1.2968835724318699E-2</v>
      </c>
      <c r="F1227">
        <f t="shared" si="99"/>
        <v>1.4439915384950677E-2</v>
      </c>
      <c r="G1227">
        <f t="shared" si="97"/>
        <v>0.89812408027230262</v>
      </c>
      <c r="H1227">
        <f t="shared" si="98"/>
        <v>2.9155070403154264</v>
      </c>
    </row>
    <row r="1228" spans="1:8" x14ac:dyDescent="0.25">
      <c r="A1228" s="13">
        <v>42048</v>
      </c>
      <c r="B1228">
        <v>547.50931419999995</v>
      </c>
      <c r="C1228" s="12">
        <v>1.1198499498118464E-2</v>
      </c>
      <c r="D1228" s="12">
        <f t="shared" si="95"/>
        <v>1.9176428074834788E-4</v>
      </c>
      <c r="E1228" s="11">
        <f t="shared" si="96"/>
        <v>1.1006735217370115E-2</v>
      </c>
      <c r="F1228">
        <f t="shared" si="99"/>
        <v>1.5794054951049168E-2</v>
      </c>
      <c r="G1228">
        <f t="shared" si="97"/>
        <v>0.69689102966169936</v>
      </c>
      <c r="H1228">
        <f t="shared" si="98"/>
        <v>2.9863545918609229</v>
      </c>
    </row>
    <row r="1229" spans="1:8" x14ac:dyDescent="0.25">
      <c r="A1229" s="13">
        <v>42052</v>
      </c>
      <c r="B1229">
        <v>541.35614969999995</v>
      </c>
      <c r="C1229" s="12">
        <v>-1.1238465429562194E-2</v>
      </c>
      <c r="D1229" s="12">
        <f t="shared" si="95"/>
        <v>2.027469676118267E-4</v>
      </c>
      <c r="E1229" s="11">
        <f t="shared" si="96"/>
        <v>-1.144121239717402E-2</v>
      </c>
      <c r="F1229">
        <f t="shared" si="99"/>
        <v>1.528787199016745E-2</v>
      </c>
      <c r="G1229">
        <f t="shared" si="97"/>
        <v>-0.74838488996588615</v>
      </c>
      <c r="H1229">
        <f t="shared" si="98"/>
        <v>2.9817169403328783</v>
      </c>
    </row>
    <row r="1230" spans="1:8" x14ac:dyDescent="0.25">
      <c r="A1230" s="13">
        <v>42053</v>
      </c>
      <c r="B1230">
        <v>538.22472600000003</v>
      </c>
      <c r="C1230" s="12">
        <v>-5.7844058883144145E-3</v>
      </c>
      <c r="D1230" s="12">
        <f t="shared" si="95"/>
        <v>-1.4119831249939391E-4</v>
      </c>
      <c r="E1230" s="11">
        <f t="shared" si="96"/>
        <v>-5.6432075758150206E-3</v>
      </c>
      <c r="F1230">
        <f t="shared" si="99"/>
        <v>1.5387237127789019E-2</v>
      </c>
      <c r="G1230">
        <f t="shared" si="97"/>
        <v>-0.36674599403056635</v>
      </c>
      <c r="H1230">
        <f t="shared" si="98"/>
        <v>3.1880270258346424</v>
      </c>
    </row>
    <row r="1231" spans="1:8" x14ac:dyDescent="0.25">
      <c r="A1231" s="13">
        <v>42054</v>
      </c>
      <c r="B1231">
        <v>541.38605659999996</v>
      </c>
      <c r="C1231" s="12">
        <v>5.8736257315683549E-3</v>
      </c>
      <c r="D1231" s="12">
        <f t="shared" si="95"/>
        <v>-1.1636978857170262E-4</v>
      </c>
      <c r="E1231" s="11">
        <f t="shared" si="96"/>
        <v>5.9899955201400575E-3</v>
      </c>
      <c r="F1231">
        <f t="shared" si="99"/>
        <v>1.4525152084460407E-2</v>
      </c>
      <c r="G1231">
        <f t="shared" si="97"/>
        <v>0.41238780050698376</v>
      </c>
      <c r="H1231">
        <f t="shared" si="98"/>
        <v>3.2279031235599738</v>
      </c>
    </row>
    <row r="1232" spans="1:8" x14ac:dyDescent="0.25">
      <c r="A1232" s="13">
        <v>42055</v>
      </c>
      <c r="B1232">
        <v>537.47679849999997</v>
      </c>
      <c r="C1232" s="12">
        <v>-7.2208326245984944E-3</v>
      </c>
      <c r="D1232" s="12">
        <f t="shared" si="95"/>
        <v>7.3970921922746936E-5</v>
      </c>
      <c r="E1232" s="11">
        <f t="shared" si="96"/>
        <v>-7.2948035465212413E-3</v>
      </c>
      <c r="F1232">
        <f t="shared" si="99"/>
        <v>1.4514816554412573E-2</v>
      </c>
      <c r="G1232">
        <f t="shared" si="97"/>
        <v>-0.50257635149399027</v>
      </c>
      <c r="H1232">
        <f t="shared" si="98"/>
        <v>3.1873552921859019</v>
      </c>
    </row>
    <row r="1233" spans="1:8" x14ac:dyDescent="0.25">
      <c r="A1233" s="13">
        <v>42058</v>
      </c>
      <c r="B1233">
        <v>530.45601399999998</v>
      </c>
      <c r="C1233" s="12">
        <v>-1.3062488501073388E-2</v>
      </c>
      <c r="D1233" s="12">
        <f t="shared" si="95"/>
        <v>-9.4117695404752249E-5</v>
      </c>
      <c r="E1233" s="11">
        <f t="shared" si="96"/>
        <v>-1.2968370805668636E-2</v>
      </c>
      <c r="F1233">
        <f t="shared" si="99"/>
        <v>1.4686999727082524E-2</v>
      </c>
      <c r="G1233">
        <f t="shared" si="97"/>
        <v>-0.88298298132022357</v>
      </c>
      <c r="H1233">
        <f t="shared" si="98"/>
        <v>2.9120245429374116</v>
      </c>
    </row>
    <row r="1234" spans="1:8" x14ac:dyDescent="0.25">
      <c r="A1234" s="13">
        <v>42059</v>
      </c>
      <c r="B1234">
        <v>534.62461210000004</v>
      </c>
      <c r="C1234" s="12">
        <v>7.8585179354759838E-3</v>
      </c>
      <c r="D1234" s="12">
        <f t="shared" si="95"/>
        <v>-2.1612321964855534E-4</v>
      </c>
      <c r="E1234" s="11">
        <f t="shared" si="96"/>
        <v>8.0746411551245387E-3</v>
      </c>
      <c r="F1234">
        <f t="shared" si="99"/>
        <v>1.5763613014276666E-2</v>
      </c>
      <c r="G1234">
        <f t="shared" si="97"/>
        <v>0.51223289659620297</v>
      </c>
      <c r="H1234">
        <f t="shared" si="98"/>
        <v>3.0999211652694121</v>
      </c>
    </row>
    <row r="1235" spans="1:8" x14ac:dyDescent="0.25">
      <c r="A1235" s="13">
        <v>42060</v>
      </c>
      <c r="B1235">
        <v>542.38337539999998</v>
      </c>
      <c r="C1235" s="12">
        <v>1.4512544174731579E-2</v>
      </c>
      <c r="D1235" s="12">
        <f t="shared" si="95"/>
        <v>8.5287308504091534E-5</v>
      </c>
      <c r="E1235" s="11">
        <f t="shared" si="96"/>
        <v>1.4427256866227487E-2</v>
      </c>
      <c r="F1235">
        <f t="shared" si="99"/>
        <v>1.483050992367322E-2</v>
      </c>
      <c r="G1235">
        <f t="shared" si="97"/>
        <v>0.97280922506905576</v>
      </c>
      <c r="H1235">
        <f t="shared" si="98"/>
        <v>2.8189513114253084</v>
      </c>
    </row>
    <row r="1236" spans="1:8" x14ac:dyDescent="0.25">
      <c r="A1236" s="13">
        <v>42061</v>
      </c>
      <c r="B1236">
        <v>553.96161440000003</v>
      </c>
      <c r="C1236" s="12">
        <v>2.1346965126763484E-2</v>
      </c>
      <c r="D1236" s="12">
        <f t="shared" si="95"/>
        <v>2.3969367272919835E-4</v>
      </c>
      <c r="E1236" s="11">
        <f t="shared" si="96"/>
        <v>2.1107271454034286E-2</v>
      </c>
      <c r="F1236">
        <f t="shared" si="99"/>
        <v>1.6097029842525236E-2</v>
      </c>
      <c r="G1236">
        <f t="shared" si="97"/>
        <v>1.3112525515901674</v>
      </c>
      <c r="H1236">
        <f t="shared" si="98"/>
        <v>2.3504903456107815</v>
      </c>
    </row>
    <row r="1237" spans="1:8" x14ac:dyDescent="0.25">
      <c r="A1237" s="13">
        <v>42062</v>
      </c>
      <c r="B1237">
        <v>556.87361450000003</v>
      </c>
      <c r="C1237" s="12">
        <v>5.2566820954806914E-3</v>
      </c>
      <c r="D1237" s="12">
        <f t="shared" si="95"/>
        <v>3.6016272114333854E-4</v>
      </c>
      <c r="E1237" s="11">
        <f t="shared" si="96"/>
        <v>4.896519374337353E-3</v>
      </c>
      <c r="F1237">
        <f t="shared" si="99"/>
        <v>1.7613995336879747E-2</v>
      </c>
      <c r="G1237">
        <f t="shared" si="97"/>
        <v>0.27799027311453534</v>
      </c>
      <c r="H1237">
        <f t="shared" si="98"/>
        <v>3.0814836741605105</v>
      </c>
    </row>
    <row r="1238" spans="1:8" x14ac:dyDescent="0.25">
      <c r="A1238" s="13">
        <v>42065</v>
      </c>
      <c r="B1238">
        <v>569.7782747</v>
      </c>
      <c r="C1238" s="12">
        <v>2.3173409305065951E-2</v>
      </c>
      <c r="D1238" s="12">
        <f t="shared" si="95"/>
        <v>1.3436669025252473E-4</v>
      </c>
      <c r="E1238" s="11">
        <f t="shared" si="96"/>
        <v>2.3039042614813425E-2</v>
      </c>
      <c r="F1238">
        <f t="shared" si="99"/>
        <v>1.4647143409894894E-2</v>
      </c>
      <c r="G1238">
        <f t="shared" si="97"/>
        <v>1.5729376008737221</v>
      </c>
      <c r="H1238">
        <f t="shared" si="98"/>
        <v>2.0675050702917135</v>
      </c>
    </row>
    <row r="1239" spans="1:8" x14ac:dyDescent="0.25">
      <c r="A1239" s="13">
        <v>42066</v>
      </c>
      <c r="B1239">
        <v>572.07198640000001</v>
      </c>
      <c r="C1239" s="12">
        <v>4.0256215476233148E-3</v>
      </c>
      <c r="D1239" s="12">
        <f t="shared" si="95"/>
        <v>3.6399979677315017E-4</v>
      </c>
      <c r="E1239" s="11">
        <f t="shared" si="96"/>
        <v>3.6616217508501645E-3</v>
      </c>
      <c r="F1239">
        <f t="shared" si="99"/>
        <v>1.8767505420186313E-2</v>
      </c>
      <c r="G1239">
        <f t="shared" si="97"/>
        <v>0.19510433959495369</v>
      </c>
      <c r="H1239">
        <f t="shared" si="98"/>
        <v>3.0376569548410441</v>
      </c>
    </row>
    <row r="1240" spans="1:8" x14ac:dyDescent="0.25">
      <c r="A1240" s="13">
        <v>42067</v>
      </c>
      <c r="B1240">
        <v>571.80269869999995</v>
      </c>
      <c r="C1240" s="12">
        <v>-4.7072345159682172E-4</v>
      </c>
      <c r="D1240" s="12">
        <f t="shared" si="95"/>
        <v>1.2044120882790481E-4</v>
      </c>
      <c r="E1240" s="11">
        <f t="shared" si="96"/>
        <v>-5.9116466042472655E-4</v>
      </c>
      <c r="F1240">
        <f t="shared" si="99"/>
        <v>1.4702747730463985E-2</v>
      </c>
      <c r="G1240">
        <f t="shared" si="97"/>
        <v>-4.0207767368533279E-2</v>
      </c>
      <c r="H1240">
        <f t="shared" si="98"/>
        <v>3.2999740167421145</v>
      </c>
    </row>
    <row r="1241" spans="1:8" x14ac:dyDescent="0.25">
      <c r="A1241" s="13">
        <v>42068</v>
      </c>
      <c r="B1241">
        <v>573.7573582</v>
      </c>
      <c r="C1241" s="12">
        <v>3.4184160103545302E-3</v>
      </c>
      <c r="D1241" s="12">
        <f t="shared" si="95"/>
        <v>3.2261920952781922E-6</v>
      </c>
      <c r="E1241" s="11">
        <f t="shared" si="96"/>
        <v>3.4151898182592519E-3</v>
      </c>
      <c r="F1241">
        <f t="shared" si="99"/>
        <v>1.4172376918235296E-2</v>
      </c>
      <c r="G1241">
        <f t="shared" si="97"/>
        <v>0.24097509104947668</v>
      </c>
      <c r="H1241">
        <f t="shared" si="98"/>
        <v>3.3084874658942787</v>
      </c>
    </row>
    <row r="1242" spans="1:8" x14ac:dyDescent="0.25">
      <c r="A1242" s="13">
        <v>42069</v>
      </c>
      <c r="B1242">
        <v>566.13323920000005</v>
      </c>
      <c r="C1242" s="12">
        <v>-1.3288054420632522E-2</v>
      </c>
      <c r="D1242" s="12">
        <f t="shared" si="95"/>
        <v>5.0492684194108931E-5</v>
      </c>
      <c r="E1242" s="11">
        <f t="shared" si="96"/>
        <v>-1.3338547104826631E-2</v>
      </c>
      <c r="F1242">
        <f t="shared" si="99"/>
        <v>1.4242306376744864E-2</v>
      </c>
      <c r="G1242">
        <f t="shared" si="97"/>
        <v>-0.93654403661797991</v>
      </c>
      <c r="H1242">
        <f t="shared" si="98"/>
        <v>2.8940425219870942</v>
      </c>
    </row>
    <row r="1243" spans="1:8" x14ac:dyDescent="0.25">
      <c r="A1243" s="13">
        <v>42072</v>
      </c>
      <c r="B1243">
        <v>567.29504840000004</v>
      </c>
      <c r="C1243" s="12">
        <v>2.0521833369857578E-3</v>
      </c>
      <c r="D1243" s="12">
        <f t="shared" si="95"/>
        <v>-1.9219226900604798E-4</v>
      </c>
      <c r="E1243" s="11">
        <f t="shared" si="96"/>
        <v>2.2443756059918056E-3</v>
      </c>
      <c r="F1243">
        <f t="shared" si="99"/>
        <v>1.5913102425007493E-2</v>
      </c>
      <c r="G1243">
        <f t="shared" si="97"/>
        <v>0.14103947464479094</v>
      </c>
      <c r="H1243">
        <f t="shared" si="98"/>
        <v>3.2117278573043198</v>
      </c>
    </row>
    <row r="1244" spans="1:8" x14ac:dyDescent="0.25">
      <c r="A1244" s="13">
        <v>42073</v>
      </c>
      <c r="B1244">
        <v>553.49292319999995</v>
      </c>
      <c r="C1244" s="12">
        <v>-2.4329712094134481E-2</v>
      </c>
      <c r="D1244" s="12">
        <f t="shared" si="95"/>
        <v>-3.1113109330245647E-6</v>
      </c>
      <c r="E1244" s="11">
        <f t="shared" si="96"/>
        <v>-2.4326600783201455E-2</v>
      </c>
      <c r="F1244">
        <f t="shared" si="99"/>
        <v>1.4336635019980075E-2</v>
      </c>
      <c r="G1244">
        <f t="shared" si="97"/>
        <v>-1.6968138443434591</v>
      </c>
      <c r="H1244">
        <f t="shared" si="98"/>
        <v>1.8864099838695703</v>
      </c>
    </row>
    <row r="1245" spans="1:8" x14ac:dyDescent="0.25">
      <c r="A1245" s="13">
        <v>42074</v>
      </c>
      <c r="B1245">
        <v>549.67338670000004</v>
      </c>
      <c r="C1245" s="12">
        <v>-6.9007865139764091E-3</v>
      </c>
      <c r="D1245" s="12">
        <f t="shared" si="95"/>
        <v>-3.6270492710367518E-4</v>
      </c>
      <c r="E1245" s="11">
        <f t="shared" si="96"/>
        <v>-6.5380815868727338E-3</v>
      </c>
      <c r="F1245">
        <f t="shared" si="99"/>
        <v>1.9395250828488603E-2</v>
      </c>
      <c r="G1245">
        <f t="shared" si="97"/>
        <v>-0.33709703703699001</v>
      </c>
      <c r="H1245">
        <f t="shared" si="98"/>
        <v>2.9669713061429106</v>
      </c>
    </row>
    <row r="1246" spans="1:8" x14ac:dyDescent="0.25">
      <c r="A1246" s="13">
        <v>42075</v>
      </c>
      <c r="B1246">
        <v>553.99152130000004</v>
      </c>
      <c r="C1246" s="12">
        <v>7.8558189362671893E-3</v>
      </c>
      <c r="D1246" s="12">
        <f t="shared" si="95"/>
        <v>-1.6689880820227958E-4</v>
      </c>
      <c r="E1246" s="11">
        <f t="shared" si="96"/>
        <v>8.0227177444694691E-3</v>
      </c>
      <c r="F1246">
        <f t="shared" si="99"/>
        <v>1.4936704790441586E-2</v>
      </c>
      <c r="G1246">
        <f t="shared" si="97"/>
        <v>0.53711430044486319</v>
      </c>
      <c r="H1246">
        <f t="shared" si="98"/>
        <v>3.1407492674179602</v>
      </c>
    </row>
    <row r="1247" spans="1:8" x14ac:dyDescent="0.25">
      <c r="A1247" s="13">
        <v>42076</v>
      </c>
      <c r="B1247">
        <v>545.82394339999996</v>
      </c>
      <c r="C1247" s="12">
        <v>-1.4743146033776799E-2</v>
      </c>
      <c r="D1247" s="12">
        <f t="shared" si="95"/>
        <v>1.0108188320560917E-4</v>
      </c>
      <c r="E1247" s="11">
        <f t="shared" si="96"/>
        <v>-1.4844227916982408E-2</v>
      </c>
      <c r="F1247">
        <f t="shared" si="99"/>
        <v>1.4802134342229068E-2</v>
      </c>
      <c r="G1247">
        <f t="shared" si="97"/>
        <v>-1.0028437503524914</v>
      </c>
      <c r="H1247">
        <f t="shared" si="98"/>
        <v>2.791197569281691</v>
      </c>
    </row>
    <row r="1248" spans="1:8" x14ac:dyDescent="0.25">
      <c r="A1248" s="13">
        <v>42079</v>
      </c>
      <c r="B1248">
        <v>552.99426329999994</v>
      </c>
      <c r="C1248" s="12">
        <v>1.3136689928505474E-2</v>
      </c>
      <c r="D1248" s="12">
        <f t="shared" si="95"/>
        <v>-2.0279605880855334E-4</v>
      </c>
      <c r="E1248" s="11">
        <f t="shared" si="96"/>
        <v>1.3339485987314027E-2</v>
      </c>
      <c r="F1248">
        <f t="shared" si="99"/>
        <v>1.6207092370995362E-2</v>
      </c>
      <c r="G1248">
        <f t="shared" si="97"/>
        <v>0.8230647226510982</v>
      </c>
      <c r="H1248">
        <f t="shared" si="98"/>
        <v>2.8646500298307904</v>
      </c>
    </row>
    <row r="1249" spans="1:8" x14ac:dyDescent="0.25">
      <c r="A1249" s="13">
        <v>42080</v>
      </c>
      <c r="B1249">
        <v>549.33427380000001</v>
      </c>
      <c r="C1249" s="12">
        <v>-6.6184945177530929E-3</v>
      </c>
      <c r="D1249" s="12">
        <f t="shared" si="95"/>
        <v>1.6079870115745659E-4</v>
      </c>
      <c r="E1249" s="11">
        <f t="shared" si="96"/>
        <v>-6.7792932189105499E-3</v>
      </c>
      <c r="F1249">
        <f t="shared" si="99"/>
        <v>1.5708035909138246E-2</v>
      </c>
      <c r="G1249">
        <f t="shared" si="97"/>
        <v>-0.43158121474414601</v>
      </c>
      <c r="H1249">
        <f t="shared" si="98"/>
        <v>3.1415131505629024</v>
      </c>
    </row>
    <row r="1250" spans="1:8" x14ac:dyDescent="0.25">
      <c r="A1250" s="13">
        <v>42081</v>
      </c>
      <c r="B1250">
        <v>557.97060469999997</v>
      </c>
      <c r="C1250" s="12">
        <v>1.5721449237562579E-2</v>
      </c>
      <c r="D1250" s="12">
        <f t="shared" si="95"/>
        <v>-6.6341662263912798E-5</v>
      </c>
      <c r="E1250" s="11">
        <f t="shared" si="96"/>
        <v>1.5787790899826491E-2</v>
      </c>
      <c r="F1250">
        <f t="shared" si="99"/>
        <v>1.4666665549610889E-2</v>
      </c>
      <c r="G1250">
        <f t="shared" si="97"/>
        <v>1.0764403706093473</v>
      </c>
      <c r="H1250">
        <f t="shared" si="98"/>
        <v>2.7238775409514155</v>
      </c>
    </row>
    <row r="1251" spans="1:8" x14ac:dyDescent="0.25">
      <c r="A1251" s="13">
        <v>42082</v>
      </c>
      <c r="B1251">
        <v>556.46473809999998</v>
      </c>
      <c r="C1251" s="12">
        <v>-2.6988278366557594E-3</v>
      </c>
      <c r="D1251" s="12">
        <f t="shared" si="95"/>
        <v>2.207724644731026E-4</v>
      </c>
      <c r="E1251" s="11">
        <f t="shared" si="96"/>
        <v>-2.9196003011288619E-3</v>
      </c>
      <c r="F1251">
        <f t="shared" si="99"/>
        <v>1.6482227899654204E-2</v>
      </c>
      <c r="G1251">
        <f t="shared" si="97"/>
        <v>-0.17713626573444691</v>
      </c>
      <c r="H1251">
        <f t="shared" si="98"/>
        <v>3.1708454140282392</v>
      </c>
    </row>
    <row r="1252" spans="1:8" x14ac:dyDescent="0.25">
      <c r="A1252" s="13">
        <v>42083</v>
      </c>
      <c r="B1252">
        <v>558.82827399999996</v>
      </c>
      <c r="C1252" s="12">
        <v>4.2474136062422563E-3</v>
      </c>
      <c r="D1252" s="12">
        <f t="shared" si="95"/>
        <v>-4.1522230460405506E-7</v>
      </c>
      <c r="E1252" s="11">
        <f t="shared" si="96"/>
        <v>4.24782882854686E-3</v>
      </c>
      <c r="F1252">
        <f t="shared" si="99"/>
        <v>1.442274672480187E-2</v>
      </c>
      <c r="G1252">
        <f t="shared" si="97"/>
        <v>0.2945228748447854</v>
      </c>
      <c r="H1252">
        <f t="shared" si="98"/>
        <v>3.2766382899342532</v>
      </c>
    </row>
    <row r="1253" spans="1:8" x14ac:dyDescent="0.25">
      <c r="A1253" s="13">
        <v>42086</v>
      </c>
      <c r="B1253">
        <v>557.28249089999997</v>
      </c>
      <c r="C1253" s="12">
        <v>-2.7661146937600911E-3</v>
      </c>
      <c r="D1253" s="12">
        <f t="shared" si="95"/>
        <v>5.7304839160086144E-5</v>
      </c>
      <c r="E1253" s="11">
        <f t="shared" si="96"/>
        <v>-2.8234195329201774E-3</v>
      </c>
      <c r="F1253">
        <f t="shared" si="99"/>
        <v>1.4327905915904495E-2</v>
      </c>
      <c r="G1253">
        <f t="shared" si="97"/>
        <v>-0.19705737527115386</v>
      </c>
      <c r="H1253">
        <f t="shared" si="98"/>
        <v>3.3071918429162284</v>
      </c>
    </row>
    <row r="1254" spans="1:8" x14ac:dyDescent="0.25">
      <c r="A1254" s="13">
        <v>42087</v>
      </c>
      <c r="B1254">
        <v>568.63141940000003</v>
      </c>
      <c r="C1254" s="12">
        <v>2.0364767753014767E-2</v>
      </c>
      <c r="D1254" s="12">
        <f t="shared" si="95"/>
        <v>-3.0920854381722294E-5</v>
      </c>
      <c r="E1254" s="11">
        <f t="shared" si="96"/>
        <v>2.0395688607396489E-2</v>
      </c>
      <c r="F1254">
        <f t="shared" si="99"/>
        <v>1.4215856709530779E-2</v>
      </c>
      <c r="G1254">
        <f t="shared" si="97"/>
        <v>1.434713997484411</v>
      </c>
      <c r="H1254">
        <f t="shared" si="98"/>
        <v>2.3052566072079719</v>
      </c>
    </row>
    <row r="1255" spans="1:8" x14ac:dyDescent="0.25">
      <c r="A1255" s="13">
        <v>42088</v>
      </c>
      <c r="B1255">
        <v>557.25758829999995</v>
      </c>
      <c r="C1255" s="12">
        <v>-2.0002115099445827E-2</v>
      </c>
      <c r="D1255" s="12">
        <f t="shared" si="95"/>
        <v>3.0090165108577369E-4</v>
      </c>
      <c r="E1255" s="11">
        <f t="shared" si="96"/>
        <v>-2.0303016750531602E-2</v>
      </c>
      <c r="F1255">
        <f t="shared" si="99"/>
        <v>1.8042889135416143E-2</v>
      </c>
      <c r="G1255">
        <f t="shared" si="97"/>
        <v>-1.1252641746093248</v>
      </c>
      <c r="H1255">
        <f t="shared" si="98"/>
        <v>2.4629553610056805</v>
      </c>
    </row>
    <row r="1256" spans="1:8" x14ac:dyDescent="0.25">
      <c r="A1256" s="13">
        <v>42089</v>
      </c>
      <c r="B1256">
        <v>553.65246909999996</v>
      </c>
      <c r="C1256" s="12">
        <v>-6.4693945415762455E-3</v>
      </c>
      <c r="D1256" s="12">
        <f t="shared" si="95"/>
        <v>-2.5018861750311883E-4</v>
      </c>
      <c r="E1256" s="11">
        <f t="shared" si="96"/>
        <v>-6.2192059240731264E-3</v>
      </c>
      <c r="F1256">
        <f t="shared" si="99"/>
        <v>1.6996161053933537E-2</v>
      </c>
      <c r="G1256">
        <f t="shared" si="97"/>
        <v>-0.36591827438783731</v>
      </c>
      <c r="H1256">
        <f t="shared" si="98"/>
        <v>3.0888811558138691</v>
      </c>
    </row>
    <row r="1257" spans="1:8" x14ac:dyDescent="0.25">
      <c r="A1257" s="13">
        <v>42090</v>
      </c>
      <c r="B1257">
        <v>546.84115959999997</v>
      </c>
      <c r="C1257" s="12">
        <v>-1.2302499998008254E-2</v>
      </c>
      <c r="D1257" s="12">
        <f t="shared" si="95"/>
        <v>-1.4925234566999691E-4</v>
      </c>
      <c r="E1257" s="11">
        <f t="shared" si="96"/>
        <v>-1.2153247652338257E-2</v>
      </c>
      <c r="F1257">
        <f t="shared" si="99"/>
        <v>1.4695320780801385E-2</v>
      </c>
      <c r="G1257">
        <f t="shared" si="97"/>
        <v>-0.82701479155295443</v>
      </c>
      <c r="H1257">
        <f t="shared" si="98"/>
        <v>2.9593108841730125</v>
      </c>
    </row>
    <row r="1258" spans="1:8" x14ac:dyDescent="0.25">
      <c r="A1258" s="13">
        <v>42093</v>
      </c>
      <c r="B1258">
        <v>550.52104650000001</v>
      </c>
      <c r="C1258" s="12">
        <v>6.7293524552756168E-3</v>
      </c>
      <c r="D1258" s="12">
        <f t="shared" si="95"/>
        <v>-2.0269746664931243E-4</v>
      </c>
      <c r="E1258" s="11">
        <f t="shared" si="96"/>
        <v>6.9320499219249288E-3</v>
      </c>
      <c r="F1258">
        <f t="shared" si="99"/>
        <v>1.5577227334592214E-2</v>
      </c>
      <c r="G1258">
        <f t="shared" si="97"/>
        <v>0.44501179658147411</v>
      </c>
      <c r="H1258">
        <f t="shared" si="98"/>
        <v>3.1439889347437253</v>
      </c>
    </row>
    <row r="1259" spans="1:8" x14ac:dyDescent="0.25">
      <c r="A1259" s="13">
        <v>42094</v>
      </c>
      <c r="B1259">
        <v>546.50204659999997</v>
      </c>
      <c r="C1259" s="12">
        <v>-7.3003564996312331E-3</v>
      </c>
      <c r="D1259" s="12">
        <f t="shared" si="95"/>
        <v>7.0162196531948834E-5</v>
      </c>
      <c r="E1259" s="11">
        <f t="shared" si="96"/>
        <v>-7.3705186961631822E-3</v>
      </c>
      <c r="F1259">
        <f t="shared" si="99"/>
        <v>1.4677843176661546E-2</v>
      </c>
      <c r="G1259">
        <f t="shared" si="97"/>
        <v>-0.50215270782308463</v>
      </c>
      <c r="H1259">
        <f t="shared" si="98"/>
        <v>3.176398984968984</v>
      </c>
    </row>
    <row r="1260" spans="1:8" x14ac:dyDescent="0.25">
      <c r="A1260" s="13">
        <v>42095</v>
      </c>
      <c r="B1260">
        <v>541.0769123</v>
      </c>
      <c r="C1260" s="12">
        <v>-9.9270155230923862E-3</v>
      </c>
      <c r="D1260" s="12">
        <f t="shared" si="95"/>
        <v>-9.3121275168513482E-5</v>
      </c>
      <c r="E1260" s="11">
        <f t="shared" si="96"/>
        <v>-9.8338942479238734E-3</v>
      </c>
      <c r="F1260">
        <f t="shared" si="99"/>
        <v>1.4701682387693002E-2</v>
      </c>
      <c r="G1260">
        <f t="shared" si="97"/>
        <v>-0.66889584393116619</v>
      </c>
      <c r="H1260">
        <f t="shared" si="98"/>
        <v>3.0771439853848883</v>
      </c>
    </row>
    <row r="1261" spans="1:8" x14ac:dyDescent="0.25">
      <c r="A1261" s="13">
        <v>42096</v>
      </c>
      <c r="B1261">
        <v>534.0661384</v>
      </c>
      <c r="C1261" s="12">
        <v>-1.2957074568564986E-2</v>
      </c>
      <c r="D1261" s="12">
        <f t="shared" si="95"/>
        <v>-1.6890458513930051E-4</v>
      </c>
      <c r="E1261" s="11">
        <f t="shared" si="96"/>
        <v>-1.2788169983425685E-2</v>
      </c>
      <c r="F1261">
        <f t="shared" si="99"/>
        <v>1.5105394015819727E-2</v>
      </c>
      <c r="G1261">
        <f t="shared" si="97"/>
        <v>-0.84659625363183266</v>
      </c>
      <c r="H1261">
        <f t="shared" si="98"/>
        <v>2.9154022378218754</v>
      </c>
    </row>
    <row r="1262" spans="1:8" x14ac:dyDescent="0.25">
      <c r="A1262" s="13">
        <v>42100</v>
      </c>
      <c r="B1262">
        <v>535.29777200000001</v>
      </c>
      <c r="C1262" s="12">
        <v>2.3061443357743627E-3</v>
      </c>
      <c r="D1262" s="12">
        <f t="shared" si="95"/>
        <v>-2.214836801264571E-4</v>
      </c>
      <c r="E1262" s="11">
        <f t="shared" si="96"/>
        <v>2.5276280159008198E-3</v>
      </c>
      <c r="F1262">
        <f t="shared" si="99"/>
        <v>1.5679072045508807E-2</v>
      </c>
      <c r="G1262">
        <f t="shared" si="97"/>
        <v>0.16121030687047874</v>
      </c>
      <c r="H1262">
        <f t="shared" si="98"/>
        <v>3.2234955318569387</v>
      </c>
    </row>
    <row r="1263" spans="1:8" x14ac:dyDescent="0.25">
      <c r="A1263" s="13">
        <v>42101</v>
      </c>
      <c r="B1263">
        <v>535.55204590000005</v>
      </c>
      <c r="C1263" s="12">
        <v>4.7501393299298478E-4</v>
      </c>
      <c r="D1263" s="12">
        <f t="shared" si="95"/>
        <v>1.5803752025258768E-6</v>
      </c>
      <c r="E1263" s="11">
        <f t="shared" si="96"/>
        <v>4.7343355779045889E-4</v>
      </c>
      <c r="F1263">
        <f t="shared" si="99"/>
        <v>1.4324867822779639E-2</v>
      </c>
      <c r="G1263">
        <f t="shared" si="97"/>
        <v>3.3049767973258162E-2</v>
      </c>
      <c r="H1263">
        <f t="shared" si="98"/>
        <v>3.3262735666687768</v>
      </c>
    </row>
    <row r="1264" spans="1:8" x14ac:dyDescent="0.25">
      <c r="A1264" s="13">
        <v>42102</v>
      </c>
      <c r="B1264">
        <v>540.12952040000005</v>
      </c>
      <c r="C1264" s="12">
        <v>8.5472075684212001E-3</v>
      </c>
      <c r="D1264" s="12">
        <f t="shared" si="95"/>
        <v>1.3111155529013053E-5</v>
      </c>
      <c r="E1264" s="11">
        <f t="shared" si="96"/>
        <v>8.5340964128921872E-3</v>
      </c>
      <c r="F1264">
        <f t="shared" si="99"/>
        <v>1.4133983292034857E-2</v>
      </c>
      <c r="G1264">
        <f t="shared" si="97"/>
        <v>0.60379980905322983</v>
      </c>
      <c r="H1264">
        <f t="shared" si="98"/>
        <v>3.157947580914727</v>
      </c>
    </row>
    <row r="1265" spans="1:8" x14ac:dyDescent="0.25">
      <c r="A1265" s="13">
        <v>42103</v>
      </c>
      <c r="B1265">
        <v>539.30181889999994</v>
      </c>
      <c r="C1265" s="12">
        <v>-1.5324130023242066E-3</v>
      </c>
      <c r="D1265" s="12">
        <f t="shared" si="95"/>
        <v>1.3049450547378212E-4</v>
      </c>
      <c r="E1265" s="11">
        <f t="shared" si="96"/>
        <v>-1.6629075077979887E-3</v>
      </c>
      <c r="F1265">
        <f t="shared" si="99"/>
        <v>1.488361343293766E-2</v>
      </c>
      <c r="G1265">
        <f t="shared" si="97"/>
        <v>-0.11172740512851197</v>
      </c>
      <c r="H1265">
        <f t="shared" si="98"/>
        <v>3.2823144010895167</v>
      </c>
    </row>
    <row r="1266" spans="1:8" x14ac:dyDescent="0.25">
      <c r="A1266" s="13">
        <v>42104</v>
      </c>
      <c r="B1266">
        <v>538.53387129999999</v>
      </c>
      <c r="C1266" s="12">
        <v>-1.4239662709951695E-3</v>
      </c>
      <c r="D1266" s="12">
        <f t="shared" si="95"/>
        <v>-1.2111713952780522E-6</v>
      </c>
      <c r="E1266" s="11">
        <f t="shared" si="96"/>
        <v>-1.4227550995998914E-3</v>
      </c>
      <c r="F1266">
        <f t="shared" si="99"/>
        <v>1.4213960800695122E-2</v>
      </c>
      <c r="G1266">
        <f t="shared" si="97"/>
        <v>-0.10009561159971067</v>
      </c>
      <c r="H1266">
        <f t="shared" si="98"/>
        <v>3.3295825434412785</v>
      </c>
    </row>
    <row r="1267" spans="1:8" x14ac:dyDescent="0.25">
      <c r="A1267" s="13">
        <v>42107</v>
      </c>
      <c r="B1267">
        <v>537.69622100000004</v>
      </c>
      <c r="C1267" s="12">
        <v>-1.5554273271203289E-3</v>
      </c>
      <c r="D1267" s="12">
        <f t="shared" si="95"/>
        <v>-2.5475283685895022E-5</v>
      </c>
      <c r="E1267" s="11">
        <f t="shared" si="96"/>
        <v>-1.529952043434434E-3</v>
      </c>
      <c r="F1267">
        <f t="shared" si="99"/>
        <v>1.4142567317760025E-2</v>
      </c>
      <c r="G1267">
        <f t="shared" si="97"/>
        <v>-0.10818064422526333</v>
      </c>
      <c r="H1267">
        <f t="shared" si="98"/>
        <v>3.3337760116993036</v>
      </c>
    </row>
    <row r="1268" spans="1:8" x14ac:dyDescent="0.25">
      <c r="A1268" s="13">
        <v>42108</v>
      </c>
      <c r="B1268">
        <v>528.94019969999999</v>
      </c>
      <c r="C1268" s="12">
        <v>-1.6284327391618447E-2</v>
      </c>
      <c r="D1268" s="12">
        <f t="shared" si="95"/>
        <v>-2.7184884416899307E-5</v>
      </c>
      <c r="E1268" s="11">
        <f t="shared" si="96"/>
        <v>-1.6257142507201547E-2</v>
      </c>
      <c r="F1268">
        <f t="shared" si="99"/>
        <v>1.4139333568648545E-2</v>
      </c>
      <c r="G1268">
        <f t="shared" si="97"/>
        <v>-1.1497813831373824</v>
      </c>
      <c r="H1268">
        <f t="shared" si="98"/>
        <v>2.6788576028451669</v>
      </c>
    </row>
    <row r="1269" spans="1:8" x14ac:dyDescent="0.25">
      <c r="A1269" s="13">
        <v>42109</v>
      </c>
      <c r="B1269">
        <v>531.07436429999996</v>
      </c>
      <c r="C1269" s="12">
        <v>4.0347937275526657E-3</v>
      </c>
      <c r="D1269" s="12">
        <f t="shared" si="95"/>
        <v>-2.5029255652146216E-4</v>
      </c>
      <c r="E1269" s="11">
        <f t="shared" si="96"/>
        <v>4.2850862840741275E-3</v>
      </c>
      <c r="F1269">
        <f t="shared" si="99"/>
        <v>1.6739443603473438E-2</v>
      </c>
      <c r="G1269">
        <f t="shared" si="97"/>
        <v>0.25598737840874064</v>
      </c>
      <c r="H1269">
        <f t="shared" si="98"/>
        <v>3.1382841498626144</v>
      </c>
    </row>
    <row r="1270" spans="1:8" x14ac:dyDescent="0.25">
      <c r="A1270" s="13">
        <v>42110</v>
      </c>
      <c r="B1270">
        <v>532.34084919999998</v>
      </c>
      <c r="C1270" s="12">
        <v>2.3847599981019485E-3</v>
      </c>
      <c r="D1270" s="12">
        <f t="shared" si="95"/>
        <v>1.9174691105167374E-5</v>
      </c>
      <c r="E1270" s="11">
        <f t="shared" si="96"/>
        <v>2.3655853069967812E-3</v>
      </c>
      <c r="F1270">
        <f t="shared" si="99"/>
        <v>1.4523433973316971E-2</v>
      </c>
      <c r="G1270">
        <f t="shared" si="97"/>
        <v>0.16288057709649992</v>
      </c>
      <c r="H1270">
        <f t="shared" si="98"/>
        <v>3.2997882236050415</v>
      </c>
    </row>
    <row r="1271" spans="1:8" x14ac:dyDescent="0.25">
      <c r="A1271" s="13">
        <v>42111</v>
      </c>
      <c r="B1271">
        <v>522.61753950000002</v>
      </c>
      <c r="C1271" s="12">
        <v>-1.8265195531419587E-2</v>
      </c>
      <c r="D1271" s="12">
        <f t="shared" si="95"/>
        <v>4.6438022392386751E-5</v>
      </c>
      <c r="E1271" s="11">
        <f t="shared" si="96"/>
        <v>-1.8311633553811973E-2</v>
      </c>
      <c r="F1271">
        <f t="shared" si="99"/>
        <v>1.4208417282827585E-2</v>
      </c>
      <c r="G1271">
        <f t="shared" si="97"/>
        <v>-1.2887877086734756</v>
      </c>
      <c r="H1271">
        <f t="shared" si="98"/>
        <v>2.5044953113766311</v>
      </c>
    </row>
    <row r="1272" spans="1:8" x14ac:dyDescent="0.25">
      <c r="A1272" s="13">
        <v>42114</v>
      </c>
      <c r="B1272">
        <v>533.91654010000002</v>
      </c>
      <c r="C1272" s="12">
        <v>2.1620017978749795E-2</v>
      </c>
      <c r="D1272" s="12">
        <f t="shared" si="95"/>
        <v>-2.7012637494906082E-4</v>
      </c>
      <c r="E1272" s="11">
        <f t="shared" si="96"/>
        <v>2.1890144353698855E-2</v>
      </c>
      <c r="F1272">
        <f t="shared" si="99"/>
        <v>1.735425922623535E-2</v>
      </c>
      <c r="G1272">
        <f t="shared" si="97"/>
        <v>1.2613701379201694</v>
      </c>
      <c r="H1272">
        <f t="shared" si="98"/>
        <v>2.3394514685497803</v>
      </c>
    </row>
    <row r="1273" spans="1:8" x14ac:dyDescent="0.25">
      <c r="A1273" s="13">
        <v>42115</v>
      </c>
      <c r="B1273">
        <v>532.51040569999998</v>
      </c>
      <c r="C1273" s="12">
        <v>-2.6336221008187444E-3</v>
      </c>
      <c r="D1273" s="12">
        <f t="shared" si="95"/>
        <v>2.8005471210327442E-4</v>
      </c>
      <c r="E1273" s="11">
        <f t="shared" si="96"/>
        <v>-2.9136768129220188E-3</v>
      </c>
      <c r="F1273">
        <f t="shared" si="99"/>
        <v>1.7505206600111206E-2</v>
      </c>
      <c r="G1273">
        <f t="shared" si="97"/>
        <v>-0.16644629677798312</v>
      </c>
      <c r="H1273">
        <f t="shared" si="98"/>
        <v>3.1124662042363895</v>
      </c>
    </row>
    <row r="1274" spans="1:8" x14ac:dyDescent="0.25">
      <c r="A1274" s="13">
        <v>42116</v>
      </c>
      <c r="B1274">
        <v>537.89067910000006</v>
      </c>
      <c r="C1274" s="12">
        <v>1.0103602375483245E-2</v>
      </c>
      <c r="D1274" s="12">
        <f t="shared" si="95"/>
        <v>1.5730144575681735E-5</v>
      </c>
      <c r="E1274" s="11">
        <f t="shared" si="96"/>
        <v>1.0087872230907563E-2</v>
      </c>
      <c r="F1274">
        <f t="shared" si="99"/>
        <v>1.4530432766980727E-2</v>
      </c>
      <c r="G1274">
        <f t="shared" si="97"/>
        <v>0.69425820914511682</v>
      </c>
      <c r="H1274">
        <f t="shared" si="98"/>
        <v>3.0715742537803017</v>
      </c>
    </row>
    <row r="1275" spans="1:8" x14ac:dyDescent="0.25">
      <c r="A1275" s="13">
        <v>42117</v>
      </c>
      <c r="B1275">
        <v>545.50478859999998</v>
      </c>
      <c r="C1275" s="12">
        <v>1.415549626689927E-2</v>
      </c>
      <c r="D1275" s="12">
        <f t="shared" si="95"/>
        <v>1.4604536566652777E-4</v>
      </c>
      <c r="E1275" s="11">
        <f t="shared" si="96"/>
        <v>1.4009450901232743E-2</v>
      </c>
      <c r="F1275">
        <f t="shared" si="99"/>
        <v>1.5159495019028881E-2</v>
      </c>
      <c r="G1275">
        <f t="shared" si="97"/>
        <v>0.92413704306426092</v>
      </c>
      <c r="H1275">
        <f t="shared" si="98"/>
        <v>2.8431750390266979</v>
      </c>
    </row>
    <row r="1276" spans="1:8" x14ac:dyDescent="0.25">
      <c r="A1276" s="13">
        <v>42118</v>
      </c>
      <c r="B1276">
        <v>563.51542940000002</v>
      </c>
      <c r="C1276" s="12">
        <v>3.3016466906226505E-2</v>
      </c>
      <c r="D1276" s="12">
        <f t="shared" si="95"/>
        <v>2.4006324148299248E-4</v>
      </c>
      <c r="E1276" s="11">
        <f t="shared" si="96"/>
        <v>3.2776403664743513E-2</v>
      </c>
      <c r="F1276">
        <f t="shared" si="99"/>
        <v>1.5950076855302139E-2</v>
      </c>
      <c r="G1276">
        <f t="shared" si="97"/>
        <v>2.0549370364850592</v>
      </c>
      <c r="H1276">
        <f t="shared" si="98"/>
        <v>1.1079699860849805</v>
      </c>
    </row>
    <row r="1277" spans="1:8" x14ac:dyDescent="0.25">
      <c r="A1277" s="13">
        <v>42121</v>
      </c>
      <c r="B1277">
        <v>555.36999500000002</v>
      </c>
      <c r="C1277" s="12">
        <v>-1.4454678567848323E-2</v>
      </c>
      <c r="D1277" s="12">
        <f t="shared" si="95"/>
        <v>5.3574253572213838E-4</v>
      </c>
      <c r="E1277" s="11">
        <f t="shared" si="96"/>
        <v>-1.4990421103570462E-2</v>
      </c>
      <c r="F1277">
        <f t="shared" si="99"/>
        <v>2.1522349085488411E-2</v>
      </c>
      <c r="G1277">
        <f t="shared" si="97"/>
        <v>-0.6965048770479173</v>
      </c>
      <c r="H1277">
        <f t="shared" si="98"/>
        <v>2.6771653363178389</v>
      </c>
    </row>
    <row r="1278" spans="1:8" x14ac:dyDescent="0.25">
      <c r="A1278" s="13">
        <v>42122</v>
      </c>
      <c r="B1278">
        <v>553.67999299999997</v>
      </c>
      <c r="C1278" s="12">
        <v>-3.0430199960659321E-3</v>
      </c>
      <c r="D1278" s="12">
        <f t="shared" si="95"/>
        <v>-1.3377094348432698E-4</v>
      </c>
      <c r="E1278" s="11">
        <f t="shared" si="96"/>
        <v>-2.9092490525816049E-3</v>
      </c>
      <c r="F1278">
        <f t="shared" si="99"/>
        <v>1.5944864716233974E-2</v>
      </c>
      <c r="G1278">
        <f t="shared" si="97"/>
        <v>-0.1824568037645127</v>
      </c>
      <c r="H1278">
        <f t="shared" si="98"/>
        <v>3.2030346871319582</v>
      </c>
    </row>
    <row r="1279" spans="1:8" x14ac:dyDescent="0.25">
      <c r="A1279" s="13">
        <v>42123</v>
      </c>
      <c r="B1279">
        <v>549.080017</v>
      </c>
      <c r="C1279" s="12">
        <v>-8.3080047286446801E-3</v>
      </c>
      <c r="D1279" s="12">
        <f t="shared" si="95"/>
        <v>-8.3172793840077585E-5</v>
      </c>
      <c r="E1279" s="11">
        <f t="shared" si="96"/>
        <v>-8.2248319348046019E-3</v>
      </c>
      <c r="F1279">
        <f t="shared" si="99"/>
        <v>1.4368627910947474E-2</v>
      </c>
      <c r="G1279">
        <f t="shared" si="97"/>
        <v>-0.57241595967128445</v>
      </c>
      <c r="H1279">
        <f t="shared" si="98"/>
        <v>3.1599395176867699</v>
      </c>
    </row>
    <row r="1280" spans="1:8" x14ac:dyDescent="0.25">
      <c r="A1280" s="13">
        <v>42124</v>
      </c>
      <c r="B1280">
        <v>537.34002699999996</v>
      </c>
      <c r="C1280" s="12">
        <v>-2.1381200620163909E-2</v>
      </c>
      <c r="D1280" s="12">
        <f t="shared" si="95"/>
        <v>-1.3347634178434035E-4</v>
      </c>
      <c r="E1280" s="11">
        <f t="shared" si="96"/>
        <v>-2.1247724278379568E-2</v>
      </c>
      <c r="F1280">
        <f t="shared" si="99"/>
        <v>1.4829120895438988E-2</v>
      </c>
      <c r="G1280">
        <f t="shared" si="97"/>
        <v>-1.4328377540515405</v>
      </c>
      <c r="H1280">
        <f t="shared" si="98"/>
        <v>2.2657118554640507</v>
      </c>
    </row>
    <row r="1281" spans="1:8" x14ac:dyDescent="0.25">
      <c r="A1281" s="13">
        <v>42125</v>
      </c>
      <c r="B1281">
        <v>537.90002400000003</v>
      </c>
      <c r="C1281" s="12">
        <v>1.0421650572478569E-3</v>
      </c>
      <c r="D1281" s="12">
        <f t="shared" si="95"/>
        <v>-3.4473503462246222E-4</v>
      </c>
      <c r="E1281" s="11">
        <f t="shared" si="96"/>
        <v>1.386900091870319E-3</v>
      </c>
      <c r="F1281">
        <f t="shared" si="99"/>
        <v>1.8081171449603233E-2</v>
      </c>
      <c r="G1281">
        <f t="shared" si="97"/>
        <v>7.6704106021889013E-2</v>
      </c>
      <c r="H1281">
        <f t="shared" si="98"/>
        <v>3.0910038404055222</v>
      </c>
    </row>
    <row r="1282" spans="1:8" x14ac:dyDescent="0.25">
      <c r="A1282" s="13">
        <v>42128</v>
      </c>
      <c r="B1282">
        <v>540.78002900000001</v>
      </c>
      <c r="C1282" s="12">
        <v>5.3541641039227539E-3</v>
      </c>
      <c r="D1282" s="12">
        <f t="shared" si="95"/>
        <v>-3.9186660815763912E-5</v>
      </c>
      <c r="E1282" s="11">
        <f t="shared" si="96"/>
        <v>5.3933507647385181E-3</v>
      </c>
      <c r="F1282">
        <f t="shared" si="99"/>
        <v>1.455221521745835E-2</v>
      </c>
      <c r="G1282">
        <f t="shared" si="97"/>
        <v>0.37062060202821173</v>
      </c>
      <c r="H1282">
        <f t="shared" si="98"/>
        <v>3.2423936998021641</v>
      </c>
    </row>
    <row r="1283" spans="1:8" x14ac:dyDescent="0.25">
      <c r="A1283" s="13">
        <v>42129</v>
      </c>
      <c r="B1283">
        <v>530.79998799999998</v>
      </c>
      <c r="C1283" s="12">
        <v>-1.8454899339487296E-2</v>
      </c>
      <c r="D1283" s="12">
        <f t="shared" si="95"/>
        <v>8.3658324038392518E-5</v>
      </c>
      <c r="E1283" s="11">
        <f t="shared" si="96"/>
        <v>-1.853855766352569E-2</v>
      </c>
      <c r="F1283">
        <f t="shared" si="99"/>
        <v>1.4448231778062589E-2</v>
      </c>
      <c r="G1283">
        <f t="shared" si="97"/>
        <v>-1.2831021780584686</v>
      </c>
      <c r="H1283">
        <f t="shared" si="98"/>
        <v>2.4950691073376081</v>
      </c>
    </row>
    <row r="1284" spans="1:8" x14ac:dyDescent="0.25">
      <c r="A1284" s="13">
        <v>42130</v>
      </c>
      <c r="B1284">
        <v>524.21997099999999</v>
      </c>
      <c r="C1284" s="12">
        <v>-1.2396415125766724E-2</v>
      </c>
      <c r="D1284" s="12">
        <f t="shared" si="95"/>
        <v>-2.6536430051049494E-4</v>
      </c>
      <c r="E1284" s="11">
        <f t="shared" si="96"/>
        <v>-1.2131050825256229E-2</v>
      </c>
      <c r="F1284">
        <f t="shared" si="99"/>
        <v>1.7347477579717493E-2</v>
      </c>
      <c r="G1284">
        <f t="shared" si="97"/>
        <v>-0.6992976799946834</v>
      </c>
      <c r="H1284">
        <f t="shared" si="98"/>
        <v>2.8908610117852906</v>
      </c>
    </row>
    <row r="1285" spans="1:8" x14ac:dyDescent="0.25">
      <c r="A1285" s="13">
        <v>42131</v>
      </c>
      <c r="B1285">
        <v>530.70001200000002</v>
      </c>
      <c r="C1285" s="12">
        <v>1.2361301282815873E-2</v>
      </c>
      <c r="D1285" s="12">
        <f t="shared" si="95"/>
        <v>-2.349203036451227E-4</v>
      </c>
      <c r="E1285" s="11">
        <f t="shared" si="96"/>
        <v>1.2596221586460996E-2</v>
      </c>
      <c r="F1285">
        <f t="shared" si="99"/>
        <v>1.5455579671181449E-2</v>
      </c>
      <c r="G1285">
        <f t="shared" si="97"/>
        <v>0.81499509267504033</v>
      </c>
      <c r="H1285">
        <f t="shared" si="98"/>
        <v>2.9187381633224354</v>
      </c>
    </row>
    <row r="1286" spans="1:8" x14ac:dyDescent="0.25">
      <c r="A1286" s="13">
        <v>42132</v>
      </c>
      <c r="B1286">
        <v>538.21997099999999</v>
      </c>
      <c r="C1286" s="12">
        <v>1.416988662137042E-2</v>
      </c>
      <c r="D1286" s="12">
        <f t="shared" ref="D1286:D1349" si="100">+C1285*$K$11+C1284*$K$10</f>
        <v>1.5510223085856445E-4</v>
      </c>
      <c r="E1286" s="11">
        <f t="shared" ref="E1286:E1349" si="101">C1286-D1286</f>
        <v>1.4014784390511856E-2</v>
      </c>
      <c r="F1286">
        <f t="shared" si="99"/>
        <v>1.5609115688885582E-2</v>
      </c>
      <c r="G1286">
        <f t="shared" ref="G1286:G1349" si="102">E1286/F1286</f>
        <v>0.89785896074119276</v>
      </c>
      <c r="H1286">
        <f t="shared" ref="H1286:H1349" si="103">1/2*(-LN(PI()*2)-2*LN(F1286)-(E1286/F1286)^2)</f>
        <v>2.8378863064587918</v>
      </c>
    </row>
    <row r="1287" spans="1:8" x14ac:dyDescent="0.25">
      <c r="A1287" s="13">
        <v>42135</v>
      </c>
      <c r="B1287">
        <v>535.70001200000002</v>
      </c>
      <c r="C1287" s="12">
        <v>-4.6820243316463284E-3</v>
      </c>
      <c r="D1287" s="12">
        <f t="shared" si="100"/>
        <v>2.4608311191233175E-4</v>
      </c>
      <c r="E1287" s="11">
        <f t="shared" si="101"/>
        <v>-4.9281074435586604E-3</v>
      </c>
      <c r="F1287">
        <f t="shared" ref="F1287:F1350" si="104">SQRT($K$6+$K$7*G1286^2+$K$8*F1286^2)</f>
        <v>1.5899717371293223E-2</v>
      </c>
      <c r="G1287">
        <f t="shared" si="102"/>
        <v>-0.30994937384587151</v>
      </c>
      <c r="H1287">
        <f t="shared" si="103"/>
        <v>3.1744811049259027</v>
      </c>
    </row>
    <row r="1288" spans="1:8" x14ac:dyDescent="0.25">
      <c r="A1288" s="13">
        <v>42136</v>
      </c>
      <c r="B1288">
        <v>529.03997800000002</v>
      </c>
      <c r="C1288" s="12">
        <v>-1.243239471870683E-2</v>
      </c>
      <c r="D1288" s="12">
        <f t="shared" si="100"/>
        <v>-3.439789512080032E-5</v>
      </c>
      <c r="E1288" s="11">
        <f t="shared" si="101"/>
        <v>-1.2397996823586029E-2</v>
      </c>
      <c r="F1288">
        <f t="shared" si="104"/>
        <v>1.4497116396992769E-2</v>
      </c>
      <c r="G1288">
        <f t="shared" si="102"/>
        <v>-0.85520433747485292</v>
      </c>
      <c r="H1288">
        <f t="shared" si="103"/>
        <v>2.9491797558830428</v>
      </c>
    </row>
    <row r="1289" spans="1:8" x14ac:dyDescent="0.25">
      <c r="A1289" s="13">
        <v>42137</v>
      </c>
      <c r="B1289">
        <v>529.61999500000002</v>
      </c>
      <c r="C1289" s="12">
        <v>1.0963575988958141E-3</v>
      </c>
      <c r="D1289" s="12">
        <f t="shared" si="100"/>
        <v>-2.0006859220592123E-4</v>
      </c>
      <c r="E1289" s="11">
        <f t="shared" si="101"/>
        <v>1.2964261911017354E-3</v>
      </c>
      <c r="F1289">
        <f t="shared" si="104"/>
        <v>1.5652467112956082E-2</v>
      </c>
      <c r="G1289">
        <f t="shared" si="102"/>
        <v>8.2825677367412517E-2</v>
      </c>
      <c r="H1289">
        <f t="shared" si="103"/>
        <v>3.2347581517995807</v>
      </c>
    </row>
    <row r="1290" spans="1:8" x14ac:dyDescent="0.25">
      <c r="A1290" s="13">
        <v>42138</v>
      </c>
      <c r="B1290">
        <v>538.40002400000003</v>
      </c>
      <c r="C1290" s="12">
        <v>1.6577978707167151E-2</v>
      </c>
      <c r="D1290" s="12">
        <f t="shared" si="100"/>
        <v>-1.5368843488484472E-5</v>
      </c>
      <c r="E1290" s="11">
        <f t="shared" si="101"/>
        <v>1.6593347550655637E-2</v>
      </c>
      <c r="F1290">
        <f t="shared" si="104"/>
        <v>1.4281087298937845E-2</v>
      </c>
      <c r="G1290">
        <f t="shared" si="102"/>
        <v>1.1619106587136239</v>
      </c>
      <c r="H1290">
        <f t="shared" si="103"/>
        <v>2.6548624609662683</v>
      </c>
    </row>
    <row r="1291" spans="1:8" x14ac:dyDescent="0.25">
      <c r="A1291" s="13">
        <v>42139</v>
      </c>
      <c r="B1291">
        <v>533.84997599999997</v>
      </c>
      <c r="C1291" s="12">
        <v>-8.4510546009932686E-3</v>
      </c>
      <c r="D1291" s="12">
        <f t="shared" si="100"/>
        <v>2.5355414117507789E-4</v>
      </c>
      <c r="E1291" s="11">
        <f t="shared" si="101"/>
        <v>-8.7046087421683467E-3</v>
      </c>
      <c r="F1291">
        <f t="shared" si="104"/>
        <v>1.680222044268086E-2</v>
      </c>
      <c r="G1291">
        <f t="shared" si="102"/>
        <v>-0.51806300077202727</v>
      </c>
      <c r="H1291">
        <f t="shared" si="103"/>
        <v>3.0331110625101787</v>
      </c>
    </row>
    <row r="1292" spans="1:8" x14ac:dyDescent="0.25">
      <c r="A1292" s="13">
        <v>42142</v>
      </c>
      <c r="B1292">
        <v>532.29998799999998</v>
      </c>
      <c r="C1292" s="12">
        <v>-2.9034149474232995E-3</v>
      </c>
      <c r="D1292" s="12">
        <f t="shared" si="100"/>
        <v>-8.521452445135611E-5</v>
      </c>
      <c r="E1292" s="11">
        <f t="shared" si="101"/>
        <v>-2.8182004229719434E-3</v>
      </c>
      <c r="F1292">
        <f t="shared" si="104"/>
        <v>1.4952062446048882E-2</v>
      </c>
      <c r="G1292">
        <f t="shared" si="102"/>
        <v>-0.18848238717172155</v>
      </c>
      <c r="H1292">
        <f t="shared" si="103"/>
        <v>3.2662046940614324</v>
      </c>
    </row>
    <row r="1293" spans="1:8" x14ac:dyDescent="0.25">
      <c r="A1293" s="13">
        <v>42143</v>
      </c>
      <c r="B1293">
        <v>537.35998500000005</v>
      </c>
      <c r="C1293" s="12">
        <v>9.5059122939527008E-3</v>
      </c>
      <c r="D1293" s="12">
        <f t="shared" si="100"/>
        <v>-6.5632172665180152E-5</v>
      </c>
      <c r="E1293" s="11">
        <f t="shared" si="101"/>
        <v>9.571544466617881E-3</v>
      </c>
      <c r="F1293">
        <f t="shared" si="104"/>
        <v>1.4270428416659063E-2</v>
      </c>
      <c r="G1293">
        <f t="shared" si="102"/>
        <v>0.67072579653209419</v>
      </c>
      <c r="H1293">
        <f t="shared" si="103"/>
        <v>3.1056907454820264</v>
      </c>
    </row>
    <row r="1294" spans="1:8" x14ac:dyDescent="0.25">
      <c r="A1294" s="13">
        <v>42144</v>
      </c>
      <c r="B1294">
        <v>539.27002000000005</v>
      </c>
      <c r="C1294" s="12">
        <v>3.5544794054584994E-3</v>
      </c>
      <c r="D1294" s="12">
        <f t="shared" si="100"/>
        <v>1.3631213783432019E-4</v>
      </c>
      <c r="E1294" s="11">
        <f t="shared" si="101"/>
        <v>3.4181672676241791E-3</v>
      </c>
      <c r="F1294">
        <f t="shared" si="104"/>
        <v>1.5070562174837963E-2</v>
      </c>
      <c r="G1294">
        <f t="shared" si="102"/>
        <v>0.22681086663981273</v>
      </c>
      <c r="H1294">
        <f t="shared" si="103"/>
        <v>3.2503518449857989</v>
      </c>
    </row>
    <row r="1295" spans="1:8" x14ac:dyDescent="0.25">
      <c r="A1295" s="13">
        <v>42145</v>
      </c>
      <c r="B1295">
        <v>542.51000999999997</v>
      </c>
      <c r="C1295" s="12">
        <v>6.0081033245644733E-3</v>
      </c>
      <c r="D1295" s="12">
        <f t="shared" si="100"/>
        <v>7.8190264561280308E-5</v>
      </c>
      <c r="E1295" s="11">
        <f t="shared" si="101"/>
        <v>5.9299130600031927E-3</v>
      </c>
      <c r="F1295">
        <f t="shared" si="104"/>
        <v>1.4316516576966963E-2</v>
      </c>
      <c r="G1295">
        <f t="shared" si="102"/>
        <v>0.41420083077635628</v>
      </c>
      <c r="H1295">
        <f t="shared" si="103"/>
        <v>3.2416217055269398</v>
      </c>
    </row>
    <row r="1296" spans="1:8" x14ac:dyDescent="0.25">
      <c r="A1296" s="13">
        <v>42146</v>
      </c>
      <c r="B1296">
        <v>540.10998500000005</v>
      </c>
      <c r="C1296" s="12">
        <v>-4.4239275879903728E-3</v>
      </c>
      <c r="D1296" s="12">
        <f t="shared" si="100"/>
        <v>1.0000551730314287E-4</v>
      </c>
      <c r="E1296" s="11">
        <f t="shared" si="101"/>
        <v>-4.523933105293516E-3</v>
      </c>
      <c r="F1296">
        <f t="shared" si="104"/>
        <v>1.4498040355202796E-2</v>
      </c>
      <c r="G1296">
        <f t="shared" si="102"/>
        <v>-0.31203755779794395</v>
      </c>
      <c r="H1296">
        <f t="shared" si="103"/>
        <v>3.2661195346630341</v>
      </c>
    </row>
    <row r="1297" spans="1:8" x14ac:dyDescent="0.25">
      <c r="A1297" s="13">
        <v>42150</v>
      </c>
      <c r="B1297">
        <v>532.32000700000003</v>
      </c>
      <c r="C1297" s="12">
        <v>-1.4422947577982681E-2</v>
      </c>
      <c r="D1297" s="12">
        <f t="shared" si="100"/>
        <v>-5.1469813252036255E-5</v>
      </c>
      <c r="E1297" s="11">
        <f t="shared" si="101"/>
        <v>-1.4371477764730644E-2</v>
      </c>
      <c r="F1297">
        <f t="shared" si="104"/>
        <v>1.435790009843653E-2</v>
      </c>
      <c r="G1297">
        <f t="shared" si="102"/>
        <v>-1.0009456582230707</v>
      </c>
      <c r="H1297">
        <f t="shared" si="103"/>
        <v>2.8235703201920277</v>
      </c>
    </row>
    <row r="1298" spans="1:8" x14ac:dyDescent="0.25">
      <c r="A1298" s="13">
        <v>42151</v>
      </c>
      <c r="B1298">
        <v>539.78997800000002</v>
      </c>
      <c r="C1298" s="12">
        <v>1.403285787077313E-2</v>
      </c>
      <c r="D1298" s="12">
        <f t="shared" si="100"/>
        <v>-2.295117553378178E-4</v>
      </c>
      <c r="E1298" s="11">
        <f t="shared" si="101"/>
        <v>1.4262369626110948E-2</v>
      </c>
      <c r="F1298">
        <f t="shared" si="104"/>
        <v>1.61614129416605E-2</v>
      </c>
      <c r="G1298">
        <f t="shared" si="102"/>
        <v>0.88249521731764902</v>
      </c>
      <c r="H1298">
        <f t="shared" si="103"/>
        <v>2.8167913577037327</v>
      </c>
    </row>
    <row r="1299" spans="1:8" x14ac:dyDescent="0.25">
      <c r="A1299" s="13">
        <v>42152</v>
      </c>
      <c r="B1299">
        <v>539.78002900000001</v>
      </c>
      <c r="C1299" s="12">
        <v>-1.8431242530425607E-5</v>
      </c>
      <c r="D1299" s="12">
        <f t="shared" si="100"/>
        <v>1.7517585047473606E-4</v>
      </c>
      <c r="E1299" s="11">
        <f t="shared" si="101"/>
        <v>-1.9360709300516167E-4</v>
      </c>
      <c r="F1299">
        <f t="shared" si="104"/>
        <v>1.5900059063703474E-2</v>
      </c>
      <c r="G1299">
        <f t="shared" si="102"/>
        <v>-1.2176501497854582E-2</v>
      </c>
      <c r="H1299">
        <f t="shared" si="103"/>
        <v>3.222419788265483</v>
      </c>
    </row>
    <row r="1300" spans="1:8" x14ac:dyDescent="0.25">
      <c r="A1300" s="13">
        <v>42153</v>
      </c>
      <c r="B1300">
        <v>532.10998500000005</v>
      </c>
      <c r="C1300" s="12">
        <v>-1.4209573507581452E-2</v>
      </c>
      <c r="D1300" s="12">
        <f t="shared" si="100"/>
        <v>3.5785272979939709E-5</v>
      </c>
      <c r="E1300" s="11">
        <f t="shared" si="101"/>
        <v>-1.4245358780561391E-2</v>
      </c>
      <c r="F1300">
        <f t="shared" si="104"/>
        <v>1.4292979736696285E-2</v>
      </c>
      <c r="G1300">
        <f t="shared" si="102"/>
        <v>-0.9966682275486175</v>
      </c>
      <c r="H1300">
        <f t="shared" si="103"/>
        <v>2.8323744786572687</v>
      </c>
    </row>
    <row r="1301" spans="1:8" x14ac:dyDescent="0.25">
      <c r="A1301" s="13">
        <v>42156</v>
      </c>
      <c r="B1301">
        <v>533.98999000000003</v>
      </c>
      <c r="C1301" s="12">
        <v>3.5331135535823233E-3</v>
      </c>
      <c r="D1301" s="12">
        <f t="shared" si="100"/>
        <v>-2.1496254355248638E-4</v>
      </c>
      <c r="E1301" s="11">
        <f t="shared" si="101"/>
        <v>3.7480760971348097E-3</v>
      </c>
      <c r="F1301">
        <f t="shared" si="104"/>
        <v>1.6139665386406488E-2</v>
      </c>
      <c r="G1301">
        <f t="shared" si="102"/>
        <v>0.23222762104421313</v>
      </c>
      <c r="H1301">
        <f t="shared" si="103"/>
        <v>3.1805719811077195</v>
      </c>
    </row>
    <row r="1302" spans="1:8" x14ac:dyDescent="0.25">
      <c r="A1302" s="13">
        <v>42157</v>
      </c>
      <c r="B1302">
        <v>539.17999299999997</v>
      </c>
      <c r="C1302" s="12">
        <v>9.7192889327382126E-3</v>
      </c>
      <c r="D1302" s="12">
        <f t="shared" si="100"/>
        <v>1.6918999283556323E-5</v>
      </c>
      <c r="E1302" s="11">
        <f t="shared" si="101"/>
        <v>9.7023699334546562E-3</v>
      </c>
      <c r="F1302">
        <f t="shared" si="104"/>
        <v>1.4433405993727588E-2</v>
      </c>
      <c r="G1302">
        <f t="shared" si="102"/>
        <v>0.67221624179844131</v>
      </c>
      <c r="H1302">
        <f t="shared" si="103"/>
        <v>3.0933340273735372</v>
      </c>
    </row>
    <row r="1303" spans="1:8" x14ac:dyDescent="0.25">
      <c r="A1303" s="13">
        <v>42158</v>
      </c>
      <c r="B1303">
        <v>540.30999799999995</v>
      </c>
      <c r="C1303" s="12">
        <v>2.095784366390685E-3</v>
      </c>
      <c r="D1303" s="12">
        <f t="shared" si="100"/>
        <v>1.5608108245888404E-4</v>
      </c>
      <c r="E1303" s="11">
        <f t="shared" si="101"/>
        <v>1.9397032839318009E-3</v>
      </c>
      <c r="F1303">
        <f t="shared" si="104"/>
        <v>1.5089542582503812E-2</v>
      </c>
      <c r="G1303">
        <f t="shared" si="102"/>
        <v>0.12854619504376955</v>
      </c>
      <c r="H1303">
        <f t="shared" si="103"/>
        <v>3.2665527239510301</v>
      </c>
    </row>
    <row r="1304" spans="1:8" x14ac:dyDescent="0.25">
      <c r="A1304" s="13">
        <v>42159</v>
      </c>
      <c r="B1304">
        <v>536.70001200000002</v>
      </c>
      <c r="C1304" s="12">
        <v>-6.6813237092827604E-3</v>
      </c>
      <c r="D1304" s="12">
        <f t="shared" si="100"/>
        <v>5.6676348525927781E-5</v>
      </c>
      <c r="E1304" s="11">
        <f t="shared" si="101"/>
        <v>-6.7380000578086885E-3</v>
      </c>
      <c r="F1304">
        <f t="shared" si="104"/>
        <v>1.4243517471297004E-2</v>
      </c>
      <c r="G1304">
        <f t="shared" si="102"/>
        <v>-0.47305730985248906</v>
      </c>
      <c r="H1304">
        <f t="shared" si="103"/>
        <v>3.2206232476602143</v>
      </c>
    </row>
    <row r="1305" spans="1:8" x14ac:dyDescent="0.25">
      <c r="A1305" s="13">
        <v>42160</v>
      </c>
      <c r="B1305">
        <v>533.330017</v>
      </c>
      <c r="C1305" s="12">
        <v>-6.2791036419802548E-3</v>
      </c>
      <c r="D1305" s="12">
        <f t="shared" si="100"/>
        <v>-9.5666741828516382E-5</v>
      </c>
      <c r="E1305" s="11">
        <f t="shared" si="101"/>
        <v>-6.1834369001517384E-3</v>
      </c>
      <c r="F1305">
        <f t="shared" si="104"/>
        <v>1.4601126715062356E-2</v>
      </c>
      <c r="G1305">
        <f t="shared" si="102"/>
        <v>-0.42349039364016855</v>
      </c>
      <c r="H1305">
        <f t="shared" si="103"/>
        <v>3.2180459910235024</v>
      </c>
    </row>
    <row r="1306" spans="1:8" x14ac:dyDescent="0.25">
      <c r="A1306" s="13">
        <v>42163</v>
      </c>
      <c r="B1306">
        <v>526.830017</v>
      </c>
      <c r="C1306" s="12">
        <v>-1.2187575783869642E-2</v>
      </c>
      <c r="D1306" s="12">
        <f t="shared" si="100"/>
        <v>-1.1214020849849505E-4</v>
      </c>
      <c r="E1306" s="11">
        <f t="shared" si="101"/>
        <v>-1.2075435575371147E-2</v>
      </c>
      <c r="F1306">
        <f t="shared" si="104"/>
        <v>1.45417118007789E-2</v>
      </c>
      <c r="G1306">
        <f t="shared" si="102"/>
        <v>-0.83039986906660801</v>
      </c>
      <c r="H1306">
        <f t="shared" si="103"/>
        <v>2.9670135788763883</v>
      </c>
    </row>
    <row r="1307" spans="1:8" x14ac:dyDescent="0.25">
      <c r="A1307" s="13">
        <v>42164</v>
      </c>
      <c r="B1307">
        <v>526.69000200000005</v>
      </c>
      <c r="C1307" s="12">
        <v>-2.6576883526352457E-4</v>
      </c>
      <c r="D1307" s="12">
        <f t="shared" si="100"/>
        <v>-2.0047023318723426E-4</v>
      </c>
      <c r="E1307" s="11">
        <f t="shared" si="101"/>
        <v>-6.529860207629031E-5</v>
      </c>
      <c r="F1307">
        <f t="shared" si="104"/>
        <v>1.5574402743062082E-2</v>
      </c>
      <c r="G1307">
        <f t="shared" si="102"/>
        <v>-4.1926873956934776E-3</v>
      </c>
      <c r="H1307">
        <f t="shared" si="103"/>
        <v>3.2431792396803418</v>
      </c>
    </row>
    <row r="1308" spans="1:8" x14ac:dyDescent="0.25">
      <c r="A1308" s="13">
        <v>42165</v>
      </c>
      <c r="B1308">
        <v>536.69000200000005</v>
      </c>
      <c r="C1308" s="12">
        <v>1.8986500525977279E-2</v>
      </c>
      <c r="D1308" s="12">
        <f t="shared" si="100"/>
        <v>-3.5341385003137646E-5</v>
      </c>
      <c r="E1308" s="11">
        <f t="shared" si="101"/>
        <v>1.9021841910980417E-2</v>
      </c>
      <c r="F1308">
        <f t="shared" si="104"/>
        <v>1.4258181925758359E-2</v>
      </c>
      <c r="G1308">
        <f t="shared" si="102"/>
        <v>1.3341000984575873</v>
      </c>
      <c r="H1308">
        <f t="shared" si="103"/>
        <v>2.4415742972545331</v>
      </c>
    </row>
    <row r="1309" spans="1:8" x14ac:dyDescent="0.25">
      <c r="A1309" s="13">
        <v>42166</v>
      </c>
      <c r="B1309">
        <v>534.60998500000005</v>
      </c>
      <c r="C1309" s="12">
        <v>-3.875639554023258E-3</v>
      </c>
      <c r="D1309" s="12">
        <f t="shared" si="100"/>
        <v>2.8648162439570213E-4</v>
      </c>
      <c r="E1309" s="11">
        <f t="shared" si="101"/>
        <v>-4.1621211784189597E-3</v>
      </c>
      <c r="F1309">
        <f t="shared" si="104"/>
        <v>1.7566724350585757E-2</v>
      </c>
      <c r="G1309">
        <f t="shared" si="102"/>
        <v>-0.23693211638971126</v>
      </c>
      <c r="H1309">
        <f t="shared" si="103"/>
        <v>3.094741881300636</v>
      </c>
    </row>
    <row r="1310" spans="1:8" x14ac:dyDescent="0.25">
      <c r="A1310" s="13">
        <v>42167</v>
      </c>
      <c r="B1310">
        <v>532.330017</v>
      </c>
      <c r="C1310" s="12">
        <v>-4.2647314191112118E-3</v>
      </c>
      <c r="D1310" s="12">
        <f t="shared" si="100"/>
        <v>-9.8230290866537575E-6</v>
      </c>
      <c r="E1310" s="11">
        <f t="shared" si="101"/>
        <v>-4.2549083900245577E-3</v>
      </c>
      <c r="F1310">
        <f t="shared" si="104"/>
        <v>1.4597373387616226E-2</v>
      </c>
      <c r="G1310">
        <f t="shared" si="102"/>
        <v>-0.29148452101898253</v>
      </c>
      <c r="H1310">
        <f t="shared" si="103"/>
        <v>3.2654935252089716</v>
      </c>
    </row>
    <row r="1311" spans="1:8" x14ac:dyDescent="0.25">
      <c r="A1311" s="13">
        <v>42170</v>
      </c>
      <c r="B1311">
        <v>527.20001200000002</v>
      </c>
      <c r="C1311" s="12">
        <v>-9.6368884642474839E-3</v>
      </c>
      <c r="D1311" s="12">
        <f t="shared" si="100"/>
        <v>-7.4462956799724566E-5</v>
      </c>
      <c r="E1311" s="11">
        <f t="shared" si="101"/>
        <v>-9.5624255074477586E-3</v>
      </c>
      <c r="F1311">
        <f t="shared" si="104"/>
        <v>1.4341095735055997E-2</v>
      </c>
      <c r="G1311">
        <f t="shared" si="102"/>
        <v>-0.66678485968634538</v>
      </c>
      <c r="H1311">
        <f t="shared" si="103"/>
        <v>3.1033864778799281</v>
      </c>
    </row>
    <row r="1312" spans="1:8" x14ac:dyDescent="0.25">
      <c r="A1312" s="13">
        <v>42171</v>
      </c>
      <c r="B1312">
        <v>528.15002400000003</v>
      </c>
      <c r="C1312" s="12">
        <v>1.8019954066312849E-3</v>
      </c>
      <c r="D1312" s="12">
        <f t="shared" si="100"/>
        <v>-1.5671503897320856E-4</v>
      </c>
      <c r="E1312" s="11">
        <f t="shared" si="101"/>
        <v>1.9587104456044936E-3</v>
      </c>
      <c r="F1312">
        <f t="shared" si="104"/>
        <v>1.506629445475754E-2</v>
      </c>
      <c r="G1312">
        <f t="shared" si="102"/>
        <v>0.13000611739577309</v>
      </c>
      <c r="H1312">
        <f t="shared" si="103"/>
        <v>3.2679058569626354</v>
      </c>
    </row>
    <row r="1313" spans="1:8" x14ac:dyDescent="0.25">
      <c r="A1313" s="13">
        <v>42172</v>
      </c>
      <c r="B1313">
        <v>529.26000999999997</v>
      </c>
      <c r="C1313" s="12">
        <v>2.1016490572003388E-3</v>
      </c>
      <c r="D1313" s="12">
        <f t="shared" si="100"/>
        <v>2.488069106204602E-6</v>
      </c>
      <c r="E1313" s="11">
        <f t="shared" si="101"/>
        <v>2.0991609880941344E-3</v>
      </c>
      <c r="F1313">
        <f t="shared" si="104"/>
        <v>1.4241963177707454E-2</v>
      </c>
      <c r="G1313">
        <f t="shared" si="102"/>
        <v>0.14739267065230813</v>
      </c>
      <c r="H1313">
        <f t="shared" si="103"/>
        <v>3.3217616860118868</v>
      </c>
    </row>
    <row r="1314" spans="1:8" x14ac:dyDescent="0.25">
      <c r="A1314" s="13">
        <v>42173</v>
      </c>
      <c r="B1314">
        <v>536.72997999999995</v>
      </c>
      <c r="C1314" s="12">
        <v>1.4113989076937727E-2</v>
      </c>
      <c r="D1314" s="12">
        <f t="shared" si="100"/>
        <v>3.6417834317653519E-5</v>
      </c>
      <c r="E1314" s="11">
        <f t="shared" si="101"/>
        <v>1.4077571242620074E-2</v>
      </c>
      <c r="F1314">
        <f t="shared" si="104"/>
        <v>1.4170608855217983E-2</v>
      </c>
      <c r="G1314">
        <f t="shared" si="102"/>
        <v>0.99343446611585429</v>
      </c>
      <c r="H1314">
        <f t="shared" si="103"/>
        <v>2.8441907058592313</v>
      </c>
    </row>
    <row r="1315" spans="1:8" x14ac:dyDescent="0.25">
      <c r="A1315" s="13">
        <v>42174</v>
      </c>
      <c r="B1315">
        <v>536.69000200000005</v>
      </c>
      <c r="C1315" s="12">
        <v>-7.4484380395367644E-5</v>
      </c>
      <c r="D1315" s="12">
        <f t="shared" si="100"/>
        <v>2.1887066977059329E-4</v>
      </c>
      <c r="E1315" s="11">
        <f t="shared" si="101"/>
        <v>-2.9335505016596093E-4</v>
      </c>
      <c r="F1315">
        <f t="shared" si="104"/>
        <v>1.611705689910559E-2</v>
      </c>
      <c r="G1315">
        <f t="shared" si="102"/>
        <v>-1.8201527239271618E-2</v>
      </c>
      <c r="H1315">
        <f t="shared" si="103"/>
        <v>3.2087729520679855</v>
      </c>
    </row>
    <row r="1316" spans="1:8" x14ac:dyDescent="0.25">
      <c r="A1316" s="13">
        <v>42177</v>
      </c>
      <c r="B1316">
        <v>538.19000200000005</v>
      </c>
      <c r="C1316" s="12">
        <v>2.7949095276793567E-3</v>
      </c>
      <c r="D1316" s="12">
        <f t="shared" si="100"/>
        <v>3.5145992365463224E-5</v>
      </c>
      <c r="E1316" s="11">
        <f t="shared" si="101"/>
        <v>2.7597635353138936E-3</v>
      </c>
      <c r="F1316">
        <f t="shared" si="104"/>
        <v>1.4316720718899049E-2</v>
      </c>
      <c r="G1316">
        <f t="shared" si="102"/>
        <v>0.19276506048419434</v>
      </c>
      <c r="H1316">
        <f t="shared" si="103"/>
        <v>3.3088094262746299</v>
      </c>
    </row>
    <row r="1317" spans="1:8" x14ac:dyDescent="0.25">
      <c r="A1317" s="13">
        <v>42178</v>
      </c>
      <c r="B1317">
        <v>540.47997999999995</v>
      </c>
      <c r="C1317" s="12">
        <v>4.2549619864544752E-3</v>
      </c>
      <c r="D1317" s="12">
        <f t="shared" si="100"/>
        <v>4.2080674491673523E-5</v>
      </c>
      <c r="E1317" s="11">
        <f t="shared" si="101"/>
        <v>4.2128813119628019E-3</v>
      </c>
      <c r="F1317">
        <f t="shared" si="104"/>
        <v>1.4211165941445258E-2</v>
      </c>
      <c r="G1317">
        <f t="shared" si="102"/>
        <v>0.29644867488855436</v>
      </c>
      <c r="H1317">
        <f t="shared" si="103"/>
        <v>3.2908478478425947</v>
      </c>
    </row>
    <row r="1318" spans="1:8" x14ac:dyDescent="0.25">
      <c r="A1318" s="13">
        <v>42179</v>
      </c>
      <c r="B1318">
        <v>537.84002699999996</v>
      </c>
      <c r="C1318" s="12">
        <v>-4.8844602902775591E-3</v>
      </c>
      <c r="D1318" s="12">
        <f t="shared" si="100"/>
        <v>7.1537752348180665E-5</v>
      </c>
      <c r="E1318" s="11">
        <f t="shared" si="101"/>
        <v>-4.9559980426257394E-3</v>
      </c>
      <c r="F1318">
        <f t="shared" si="104"/>
        <v>1.4310000945758983E-2</v>
      </c>
      <c r="G1318">
        <f t="shared" si="102"/>
        <v>-0.34633107722431949</v>
      </c>
      <c r="H1318">
        <f t="shared" si="103"/>
        <v>3.2678854785926537</v>
      </c>
    </row>
    <row r="1319" spans="1:8" x14ac:dyDescent="0.25">
      <c r="A1319" s="13">
        <v>42180</v>
      </c>
      <c r="B1319">
        <v>535.22997999999995</v>
      </c>
      <c r="C1319" s="12">
        <v>-4.8528314535429828E-3</v>
      </c>
      <c r="D1319" s="12">
        <f t="shared" si="100"/>
        <v>-6.2940743142611471E-5</v>
      </c>
      <c r="E1319" s="11">
        <f t="shared" si="101"/>
        <v>-4.7898907104003711E-3</v>
      </c>
      <c r="F1319">
        <f t="shared" si="104"/>
        <v>1.4387913600365839E-2</v>
      </c>
      <c r="G1319">
        <f t="shared" si="102"/>
        <v>-0.33291072239122838</v>
      </c>
      <c r="H1319">
        <f t="shared" si="103"/>
        <v>3.267013450399336</v>
      </c>
    </row>
    <row r="1320" spans="1:8" x14ac:dyDescent="0.25">
      <c r="A1320" s="13">
        <v>42181</v>
      </c>
      <c r="B1320">
        <v>531.69000200000005</v>
      </c>
      <c r="C1320" s="12">
        <v>-6.6139381803685948E-3</v>
      </c>
      <c r="D1320" s="12">
        <f t="shared" si="100"/>
        <v>-8.5950418626780907E-5</v>
      </c>
      <c r="E1320" s="11">
        <f t="shared" si="101"/>
        <v>-6.5279877617418136E-3</v>
      </c>
      <c r="F1320">
        <f t="shared" si="104"/>
        <v>1.4375966614380918E-2</v>
      </c>
      <c r="G1320">
        <f t="shared" si="102"/>
        <v>-0.45409035349397497</v>
      </c>
      <c r="H1320">
        <f t="shared" si="103"/>
        <v>3.2201598940470579</v>
      </c>
    </row>
    <row r="1321" spans="1:8" x14ac:dyDescent="0.25">
      <c r="A1321" s="13">
        <v>42184</v>
      </c>
      <c r="B1321">
        <v>521.52002000000005</v>
      </c>
      <c r="C1321" s="12">
        <v>-1.9127653259878308E-2</v>
      </c>
      <c r="D1321" s="12">
        <f t="shared" si="100"/>
        <v>-1.1250529964402392E-4</v>
      </c>
      <c r="E1321" s="11">
        <f t="shared" si="101"/>
        <v>-1.9015147960234284E-2</v>
      </c>
      <c r="F1321">
        <f t="shared" si="104"/>
        <v>1.4576683989583677E-2</v>
      </c>
      <c r="G1321">
        <f t="shared" si="102"/>
        <v>-1.3044906491642598</v>
      </c>
      <c r="H1321">
        <f t="shared" si="103"/>
        <v>2.4585455537425194</v>
      </c>
    </row>
    <row r="1322" spans="1:8" x14ac:dyDescent="0.25">
      <c r="A1322" s="13">
        <v>42185</v>
      </c>
      <c r="B1322">
        <v>520.51000999999997</v>
      </c>
      <c r="C1322" s="12">
        <v>-1.9366658254079683E-3</v>
      </c>
      <c r="D1322" s="12">
        <f t="shared" si="100"/>
        <v>-3.062971619448149E-4</v>
      </c>
      <c r="E1322" s="11">
        <f t="shared" si="101"/>
        <v>-1.6303686634631534E-3</v>
      </c>
      <c r="F1322">
        <f t="shared" si="104"/>
        <v>1.7455230253076381E-2</v>
      </c>
      <c r="G1322">
        <f t="shared" si="102"/>
        <v>-9.3402873512700324E-2</v>
      </c>
      <c r="H1322">
        <f t="shared" si="103"/>
        <v>3.1248153656782747</v>
      </c>
    </row>
    <row r="1323" spans="1:8" x14ac:dyDescent="0.25">
      <c r="A1323" s="13">
        <v>42186</v>
      </c>
      <c r="B1323">
        <v>521.84002699999996</v>
      </c>
      <c r="C1323" s="12">
        <v>2.5552188708148904E-3</v>
      </c>
      <c r="D1323" s="12">
        <f t="shared" si="100"/>
        <v>-7.8448957019730192E-5</v>
      </c>
      <c r="E1323" s="11">
        <f t="shared" si="101"/>
        <v>2.6336678278346204E-3</v>
      </c>
      <c r="F1323">
        <f t="shared" si="104"/>
        <v>1.4484555337851951E-2</v>
      </c>
      <c r="G1323">
        <f t="shared" si="102"/>
        <v>0.18182593572286987</v>
      </c>
      <c r="H1323">
        <f t="shared" si="103"/>
        <v>3.2992034776883039</v>
      </c>
    </row>
    <row r="1324" spans="1:8" x14ac:dyDescent="0.25">
      <c r="A1324" s="13">
        <v>42187</v>
      </c>
      <c r="B1324">
        <v>523.40002400000003</v>
      </c>
      <c r="C1324" s="12">
        <v>2.9894161415104925E-3</v>
      </c>
      <c r="D1324" s="12">
        <f t="shared" si="100"/>
        <v>3.3669678754353245E-5</v>
      </c>
      <c r="E1324" s="11">
        <f t="shared" si="101"/>
        <v>2.9557464627561394E-3</v>
      </c>
      <c r="F1324">
        <f t="shared" si="104"/>
        <v>1.4218681076012454E-2</v>
      </c>
      <c r="G1324">
        <f t="shared" si="102"/>
        <v>0.20787768197027887</v>
      </c>
      <c r="H1324">
        <f t="shared" si="103"/>
        <v>3.3126535117086426</v>
      </c>
    </row>
    <row r="1325" spans="1:8" x14ac:dyDescent="0.25">
      <c r="A1325" s="13">
        <v>42191</v>
      </c>
      <c r="B1325">
        <v>522.85998500000005</v>
      </c>
      <c r="C1325" s="12">
        <v>-1.0317901704948174E-3</v>
      </c>
      <c r="D1325" s="12">
        <f t="shared" si="100"/>
        <v>5.1780785159666222E-5</v>
      </c>
      <c r="E1325" s="11">
        <f t="shared" si="101"/>
        <v>-1.0835709556544836E-3</v>
      </c>
      <c r="F1325">
        <f t="shared" si="104"/>
        <v>1.4214756348297579E-2</v>
      </c>
      <c r="G1325">
        <f t="shared" si="102"/>
        <v>-7.6228598584755683E-2</v>
      </c>
      <c r="H1325">
        <f t="shared" si="103"/>
        <v>3.3316307416647719</v>
      </c>
    </row>
    <row r="1326" spans="1:8" x14ac:dyDescent="0.25">
      <c r="A1326" s="13">
        <v>42192</v>
      </c>
      <c r="B1326">
        <v>525.02002000000005</v>
      </c>
      <c r="C1326" s="12">
        <v>4.1311920245723499E-3</v>
      </c>
      <c r="D1326" s="12">
        <f t="shared" si="100"/>
        <v>-7.9227774412276126E-6</v>
      </c>
      <c r="E1326" s="11">
        <f t="shared" si="101"/>
        <v>4.1391148020135772E-3</v>
      </c>
      <c r="F1326">
        <f t="shared" si="104"/>
        <v>1.4133523667393235E-2</v>
      </c>
      <c r="G1326">
        <f t="shared" si="102"/>
        <v>0.29285795244131002</v>
      </c>
      <c r="H1326">
        <f t="shared" si="103"/>
        <v>3.297384315111743</v>
      </c>
    </row>
    <row r="1327" spans="1:8" x14ac:dyDescent="0.25">
      <c r="A1327" s="13">
        <v>42193</v>
      </c>
      <c r="B1327">
        <v>516.830017</v>
      </c>
      <c r="C1327" s="12">
        <v>-1.5599410856751761E-2</v>
      </c>
      <c r="D1327" s="12">
        <f t="shared" si="100"/>
        <v>5.9831264219462414E-5</v>
      </c>
      <c r="E1327" s="11">
        <f t="shared" si="101"/>
        <v>-1.5659242120971223E-2</v>
      </c>
      <c r="F1327">
        <f t="shared" si="104"/>
        <v>1.4298071696186311E-2</v>
      </c>
      <c r="G1327">
        <f t="shared" si="102"/>
        <v>-1.095199580314594</v>
      </c>
      <c r="H1327">
        <f t="shared" si="103"/>
        <v>2.728961003664105</v>
      </c>
    </row>
    <row r="1328" spans="1:8" x14ac:dyDescent="0.25">
      <c r="A1328" s="13">
        <v>42194</v>
      </c>
      <c r="B1328">
        <v>520.67999299999997</v>
      </c>
      <c r="C1328" s="12">
        <v>7.4492112945521161E-3</v>
      </c>
      <c r="D1328" s="12">
        <f t="shared" si="100"/>
        <v>-2.2531896925825771E-4</v>
      </c>
      <c r="E1328" s="11">
        <f t="shared" si="101"/>
        <v>7.6745302638103734E-3</v>
      </c>
      <c r="F1328">
        <f t="shared" si="104"/>
        <v>1.6526761349782041E-2</v>
      </c>
      <c r="G1328">
        <f t="shared" si="102"/>
        <v>0.46436988478154473</v>
      </c>
      <c r="H1328">
        <f t="shared" si="103"/>
        <v>3.0760160837974695</v>
      </c>
    </row>
    <row r="1329" spans="1:8" x14ac:dyDescent="0.25">
      <c r="A1329" s="13">
        <v>42195</v>
      </c>
      <c r="B1329">
        <v>530.13000499999998</v>
      </c>
      <c r="C1329" s="12">
        <v>1.8149366457412608E-2</v>
      </c>
      <c r="D1329" s="12">
        <f t="shared" si="100"/>
        <v>7.2576861540398678E-5</v>
      </c>
      <c r="E1329" s="11">
        <f t="shared" si="101"/>
        <v>1.8076789595872209E-2</v>
      </c>
      <c r="F1329">
        <f t="shared" si="104"/>
        <v>1.4813806149210828E-2</v>
      </c>
      <c r="G1329">
        <f t="shared" si="102"/>
        <v>1.2202663794702895</v>
      </c>
      <c r="H1329">
        <f t="shared" si="103"/>
        <v>2.5487321334872002</v>
      </c>
    </row>
    <row r="1330" spans="1:8" x14ac:dyDescent="0.25">
      <c r="A1330" s="13">
        <v>42198</v>
      </c>
      <c r="B1330">
        <v>546.54998799999998</v>
      </c>
      <c r="C1330" s="12">
        <v>3.0973502433615296E-2</v>
      </c>
      <c r="D1330" s="12">
        <f t="shared" si="100"/>
        <v>2.9364752015722222E-4</v>
      </c>
      <c r="E1330" s="11">
        <f t="shared" si="101"/>
        <v>3.0679854913458073E-2</v>
      </c>
      <c r="F1330">
        <f t="shared" si="104"/>
        <v>1.7097480676468456E-2</v>
      </c>
      <c r="G1330">
        <f t="shared" si="102"/>
        <v>1.7944079302679523</v>
      </c>
      <c r="H1330">
        <f t="shared" si="103"/>
        <v>1.5399357118800483</v>
      </c>
    </row>
    <row r="1331" spans="1:8" x14ac:dyDescent="0.25">
      <c r="A1331" s="13">
        <v>42199</v>
      </c>
      <c r="B1331">
        <v>561.09997599999997</v>
      </c>
      <c r="C1331" s="12">
        <v>2.6621513712301148E-2</v>
      </c>
      <c r="D1331" s="12">
        <f t="shared" si="100"/>
        <v>5.1510749387938476E-4</v>
      </c>
      <c r="E1331" s="11">
        <f t="shared" si="101"/>
        <v>2.6106406218421762E-2</v>
      </c>
      <c r="F1331">
        <f t="shared" si="104"/>
        <v>2.0134548224734726E-2</v>
      </c>
      <c r="G1331">
        <f t="shared" si="102"/>
        <v>1.2965975658868163</v>
      </c>
      <c r="H1331">
        <f t="shared" si="103"/>
        <v>2.1457969651053705</v>
      </c>
    </row>
    <row r="1332" spans="1:8" x14ac:dyDescent="0.25">
      <c r="A1332" s="13">
        <v>42200</v>
      </c>
      <c r="B1332">
        <v>560.21997099999999</v>
      </c>
      <c r="C1332" s="12">
        <v>-1.5683568662280267E-3</v>
      </c>
      <c r="D1332" s="12">
        <f t="shared" si="100"/>
        <v>4.8224273967863981E-4</v>
      </c>
      <c r="E1332" s="11">
        <f t="shared" si="101"/>
        <v>-2.0505996059066666E-3</v>
      </c>
      <c r="F1332">
        <f t="shared" si="104"/>
        <v>1.7943687623727785E-2</v>
      </c>
      <c r="G1332">
        <f t="shared" si="102"/>
        <v>-0.11427972047368135</v>
      </c>
      <c r="H1332">
        <f t="shared" si="103"/>
        <v>3.0950484298521155</v>
      </c>
    </row>
    <row r="1333" spans="1:8" x14ac:dyDescent="0.25">
      <c r="A1333" s="13">
        <v>42201</v>
      </c>
      <c r="B1333">
        <v>579.84997599999997</v>
      </c>
      <c r="C1333" s="12">
        <v>3.5039816529496726E-2</v>
      </c>
      <c r="D1333" s="12">
        <f t="shared" si="100"/>
        <v>4.4695634248829595E-5</v>
      </c>
      <c r="E1333" s="11">
        <f t="shared" si="101"/>
        <v>3.4995120895247894E-2</v>
      </c>
      <c r="F1333">
        <f t="shared" si="104"/>
        <v>1.4550963454377352E-2</v>
      </c>
      <c r="G1333">
        <f t="shared" si="102"/>
        <v>2.4050036964885888</v>
      </c>
      <c r="H1333">
        <f t="shared" si="103"/>
        <v>0.41913814749461542</v>
      </c>
    </row>
    <row r="1334" spans="1:8" x14ac:dyDescent="0.25">
      <c r="A1334" s="13">
        <v>42202</v>
      </c>
      <c r="B1334">
        <v>672.92999299999997</v>
      </c>
      <c r="C1334" s="12">
        <v>0.16052430948104401</v>
      </c>
      <c r="D1334" s="12">
        <f t="shared" si="100"/>
        <v>5.2593519189418722E-4</v>
      </c>
      <c r="E1334" s="11">
        <f t="shared" si="101"/>
        <v>0.15999837428914981</v>
      </c>
      <c r="F1334">
        <f t="shared" si="104"/>
        <v>2.3553896849378832E-2</v>
      </c>
      <c r="G1334">
        <f t="shared" si="102"/>
        <v>6.792862145584599</v>
      </c>
      <c r="H1334">
        <f t="shared" si="103"/>
        <v>-20.241962596765401</v>
      </c>
    </row>
    <row r="1335" spans="1:8" x14ac:dyDescent="0.25">
      <c r="A1335" s="13">
        <v>42205</v>
      </c>
      <c r="B1335">
        <v>663.02002000000005</v>
      </c>
      <c r="C1335" s="12">
        <v>-1.4726603217401713E-2</v>
      </c>
      <c r="D1335" s="12">
        <f t="shared" si="100"/>
        <v>2.5179292662022316E-3</v>
      </c>
      <c r="E1335" s="11">
        <f t="shared" si="101"/>
        <v>-1.7244532483603945E-2</v>
      </c>
      <c r="F1335">
        <f t="shared" si="104"/>
        <v>5.5326603717524368E-2</v>
      </c>
      <c r="G1335">
        <f t="shared" si="102"/>
        <v>-0.31168608453986563</v>
      </c>
      <c r="H1335">
        <f t="shared" si="103"/>
        <v>1.9269887654002062</v>
      </c>
    </row>
    <row r="1336" spans="1:8" x14ac:dyDescent="0.25">
      <c r="A1336" s="13">
        <v>42206</v>
      </c>
      <c r="B1336">
        <v>662.29998799999998</v>
      </c>
      <c r="C1336" s="12">
        <v>-1.0859883235502243E-3</v>
      </c>
      <c r="D1336" s="12">
        <f t="shared" si="100"/>
        <v>1.8980775827052987E-4</v>
      </c>
      <c r="E1336" s="11">
        <f t="shared" si="101"/>
        <v>-1.2757960818207542E-3</v>
      </c>
      <c r="F1336">
        <f t="shared" si="104"/>
        <v>2.1914379641734417E-2</v>
      </c>
      <c r="G1336">
        <f t="shared" si="102"/>
        <v>-5.8217303098605129E-2</v>
      </c>
      <c r="H1336">
        <f t="shared" si="103"/>
        <v>2.899979092590081</v>
      </c>
    </row>
    <row r="1337" spans="1:8" x14ac:dyDescent="0.25">
      <c r="A1337" s="13">
        <v>42207</v>
      </c>
      <c r="B1337">
        <v>662.09997599999997</v>
      </c>
      <c r="C1337" s="12">
        <v>-3.0199607975833764E-4</v>
      </c>
      <c r="D1337" s="12">
        <f t="shared" si="100"/>
        <v>-5.4272165069677638E-5</v>
      </c>
      <c r="E1337" s="11">
        <f t="shared" si="101"/>
        <v>-2.4772391468866003E-4</v>
      </c>
      <c r="F1337">
        <f t="shared" si="104"/>
        <v>1.5045091373369944E-2</v>
      </c>
      <c r="G1337">
        <f t="shared" si="102"/>
        <v>-1.6465431052624605E-2</v>
      </c>
      <c r="H1337">
        <f t="shared" si="103"/>
        <v>3.2776294071660415</v>
      </c>
    </row>
    <row r="1338" spans="1:8" x14ac:dyDescent="0.25">
      <c r="A1338" s="13">
        <v>42208</v>
      </c>
      <c r="B1338">
        <v>644.28002900000001</v>
      </c>
      <c r="C1338" s="12">
        <v>-2.6914284316482129E-2</v>
      </c>
      <c r="D1338" s="12">
        <f t="shared" si="100"/>
        <v>-7.358551076240045E-6</v>
      </c>
      <c r="E1338" s="11">
        <f t="shared" si="101"/>
        <v>-2.690692576540589E-2</v>
      </c>
      <c r="F1338">
        <f t="shared" si="104"/>
        <v>1.4203977793242594E-2</v>
      </c>
      <c r="G1338">
        <f t="shared" si="102"/>
        <v>-1.8943232773995606</v>
      </c>
      <c r="H1338">
        <f t="shared" si="103"/>
        <v>1.5410643544646956</v>
      </c>
    </row>
    <row r="1339" spans="1:8" x14ac:dyDescent="0.25">
      <c r="A1339" s="13">
        <v>42209</v>
      </c>
      <c r="B1339">
        <v>623.55999799999995</v>
      </c>
      <c r="C1339" s="12">
        <v>-3.215997713317309E-2</v>
      </c>
      <c r="D1339" s="12">
        <f t="shared" si="100"/>
        <v>-4.0784591412220685E-4</v>
      </c>
      <c r="E1339" s="11">
        <f t="shared" si="101"/>
        <v>-3.1752131219050884E-2</v>
      </c>
      <c r="F1339">
        <f t="shared" si="104"/>
        <v>2.0476274017483719E-2</v>
      </c>
      <c r="G1339">
        <f t="shared" si="102"/>
        <v>-1.5506791514871918</v>
      </c>
      <c r="H1339">
        <f t="shared" si="103"/>
        <v>1.7672469794694601</v>
      </c>
    </row>
    <row r="1340" spans="1:8" x14ac:dyDescent="0.25">
      <c r="A1340" s="13">
        <v>42212</v>
      </c>
      <c r="B1340">
        <v>627.26000999999997</v>
      </c>
      <c r="C1340" s="12">
        <v>5.9336904417657266E-3</v>
      </c>
      <c r="D1340" s="12">
        <f t="shared" si="100"/>
        <v>-5.5557812346397292E-4</v>
      </c>
      <c r="E1340" s="11">
        <f t="shared" si="101"/>
        <v>6.4892685652296993E-3</v>
      </c>
      <c r="F1340">
        <f t="shared" si="104"/>
        <v>1.9174042294532748E-2</v>
      </c>
      <c r="G1340">
        <f t="shared" si="102"/>
        <v>0.33844029681107141</v>
      </c>
      <c r="H1340">
        <f t="shared" si="103"/>
        <v>2.9779884280450042</v>
      </c>
    </row>
    <row r="1341" spans="1:8" x14ac:dyDescent="0.25">
      <c r="A1341" s="13">
        <v>42213</v>
      </c>
      <c r="B1341">
        <v>628</v>
      </c>
      <c r="C1341" s="12">
        <v>1.1797181204011853E-3</v>
      </c>
      <c r="D1341" s="12">
        <f t="shared" si="100"/>
        <v>7.0949246217138665E-6</v>
      </c>
      <c r="E1341" s="11">
        <f t="shared" si="101"/>
        <v>1.1726231957794714E-3</v>
      </c>
      <c r="F1341">
        <f t="shared" si="104"/>
        <v>1.4911084216985164E-2</v>
      </c>
      <c r="G1341">
        <f t="shared" si="102"/>
        <v>7.8641041705320158E-2</v>
      </c>
      <c r="H1341">
        <f t="shared" si="103"/>
        <v>3.2836196954873866</v>
      </c>
    </row>
    <row r="1342" spans="1:8" x14ac:dyDescent="0.25">
      <c r="A1342" s="13">
        <v>42214</v>
      </c>
      <c r="B1342">
        <v>631.92999299999997</v>
      </c>
      <c r="C1342" s="12">
        <v>6.2579506369426774E-3</v>
      </c>
      <c r="D1342" s="12">
        <f t="shared" si="100"/>
        <v>3.3092265813138611E-5</v>
      </c>
      <c r="E1342" s="11">
        <f t="shared" si="101"/>
        <v>6.2248583711295392E-3</v>
      </c>
      <c r="F1342">
        <f t="shared" si="104"/>
        <v>1.4203147151028226E-2</v>
      </c>
      <c r="G1342">
        <f t="shared" si="102"/>
        <v>0.43827317318745762</v>
      </c>
      <c r="H1342">
        <f t="shared" si="103"/>
        <v>3.2393114882046263</v>
      </c>
    </row>
    <row r="1343" spans="1:8" x14ac:dyDescent="0.25">
      <c r="A1343" s="13">
        <v>42215</v>
      </c>
      <c r="B1343">
        <v>632.59002699999996</v>
      </c>
      <c r="C1343" s="12">
        <v>1.0444732918382105E-3</v>
      </c>
      <c r="D1343" s="12">
        <f t="shared" si="100"/>
        <v>9.768130867670185E-5</v>
      </c>
      <c r="E1343" s="11">
        <f t="shared" si="101"/>
        <v>9.4679198316150858E-4</v>
      </c>
      <c r="F1343">
        <f t="shared" si="104"/>
        <v>1.4530652598711833E-2</v>
      </c>
      <c r="G1343">
        <f t="shared" si="102"/>
        <v>6.5158256088611144E-2</v>
      </c>
      <c r="H1343">
        <f t="shared" si="103"/>
        <v>3.3104335561531775</v>
      </c>
    </row>
    <row r="1344" spans="1:8" x14ac:dyDescent="0.25">
      <c r="A1344" s="13">
        <v>42216</v>
      </c>
      <c r="B1344">
        <v>625.60998500000005</v>
      </c>
      <c r="C1344" s="12">
        <v>-1.1034068989519308E-2</v>
      </c>
      <c r="D1344" s="12">
        <f t="shared" si="100"/>
        <v>3.1880071125604477E-5</v>
      </c>
      <c r="E1344" s="11">
        <f t="shared" si="101"/>
        <v>-1.1065949060644913E-2</v>
      </c>
      <c r="F1344">
        <f t="shared" si="104"/>
        <v>1.4160990665876692E-2</v>
      </c>
      <c r="G1344">
        <f t="shared" si="102"/>
        <v>-0.78143890648202974</v>
      </c>
      <c r="H1344">
        <f t="shared" si="103"/>
        <v>3.0330023153977943</v>
      </c>
    </row>
    <row r="1345" spans="1:8" x14ac:dyDescent="0.25">
      <c r="A1345" s="13">
        <v>42219</v>
      </c>
      <c r="B1345">
        <v>631.21002199999998</v>
      </c>
      <c r="C1345" s="12">
        <v>8.9513229236581893E-3</v>
      </c>
      <c r="D1345" s="12">
        <f t="shared" si="100"/>
        <v>-1.6420243700067405E-4</v>
      </c>
      <c r="E1345" s="11">
        <f t="shared" si="101"/>
        <v>9.1155253606588632E-3</v>
      </c>
      <c r="F1345">
        <f t="shared" si="104"/>
        <v>1.5384250368680292E-2</v>
      </c>
      <c r="G1345">
        <f t="shared" si="102"/>
        <v>0.59252320666962865</v>
      </c>
      <c r="H1345">
        <f t="shared" si="103"/>
        <v>3.0799305877871821</v>
      </c>
    </row>
    <row r="1346" spans="1:8" x14ac:dyDescent="0.25">
      <c r="A1346" s="13">
        <v>42220</v>
      </c>
      <c r="B1346">
        <v>629.25</v>
      </c>
      <c r="C1346" s="12">
        <v>-3.1051820023224597E-3</v>
      </c>
      <c r="D1346" s="12">
        <f t="shared" si="100"/>
        <v>1.0702860794711754E-4</v>
      </c>
      <c r="E1346" s="11">
        <f t="shared" si="101"/>
        <v>-3.2122106102695771E-3</v>
      </c>
      <c r="F1346">
        <f t="shared" si="104"/>
        <v>1.4974767406189913E-2</v>
      </c>
      <c r="G1346">
        <f t="shared" si="102"/>
        <v>-0.21450821392670111</v>
      </c>
      <c r="H1346">
        <f t="shared" si="103"/>
        <v>3.2594432471164718</v>
      </c>
    </row>
    <row r="1347" spans="1:8" x14ac:dyDescent="0.25">
      <c r="A1347" s="13">
        <v>42221</v>
      </c>
      <c r="B1347">
        <v>643.78002900000001</v>
      </c>
      <c r="C1347" s="12">
        <v>2.3091027413587595E-2</v>
      </c>
      <c r="D1347" s="12">
        <f t="shared" si="100"/>
        <v>-2.3960225978661803E-5</v>
      </c>
      <c r="E1347" s="11">
        <f t="shared" si="101"/>
        <v>2.3114987639566258E-2</v>
      </c>
      <c r="F1347">
        <f t="shared" si="104"/>
        <v>1.4295215671445628E-2</v>
      </c>
      <c r="G1347">
        <f t="shared" si="102"/>
        <v>1.6169736904171321</v>
      </c>
      <c r="H1347">
        <f t="shared" si="103"/>
        <v>2.0215898751718822</v>
      </c>
    </row>
    <row r="1348" spans="1:8" x14ac:dyDescent="0.25">
      <c r="A1348" s="13">
        <v>42222</v>
      </c>
      <c r="B1348">
        <v>642.67999299999997</v>
      </c>
      <c r="C1348" s="12">
        <v>-1.708714080038698E-3</v>
      </c>
      <c r="D1348" s="12">
        <f t="shared" si="100"/>
        <v>3.412640481892541E-4</v>
      </c>
      <c r="E1348" s="11">
        <f t="shared" si="101"/>
        <v>-2.0499781282279522E-3</v>
      </c>
      <c r="F1348">
        <f t="shared" si="104"/>
        <v>1.8969666247456857E-2</v>
      </c>
      <c r="G1348">
        <f t="shared" si="102"/>
        <v>-0.10806611468468928</v>
      </c>
      <c r="H1348">
        <f t="shared" si="103"/>
        <v>3.0401364131166448</v>
      </c>
    </row>
    <row r="1349" spans="1:8" x14ac:dyDescent="0.25">
      <c r="A1349" s="13">
        <v>42223</v>
      </c>
      <c r="B1349">
        <v>635.29998799999998</v>
      </c>
      <c r="C1349" s="12">
        <v>-1.1483172154699406E-2</v>
      </c>
      <c r="D1349" s="12">
        <f t="shared" si="100"/>
        <v>3.3499529215239108E-5</v>
      </c>
      <c r="E1349" s="11">
        <f t="shared" si="101"/>
        <v>-1.1516671683914645E-2</v>
      </c>
      <c r="F1349">
        <f t="shared" si="104"/>
        <v>1.4672669870823754E-2</v>
      </c>
      <c r="G1349">
        <f t="shared" si="102"/>
        <v>-0.78490634528725167</v>
      </c>
      <c r="H1349">
        <f t="shared" si="103"/>
        <v>2.9947911894611017</v>
      </c>
    </row>
    <row r="1350" spans="1:8" x14ac:dyDescent="0.25">
      <c r="A1350" s="13">
        <v>42226</v>
      </c>
      <c r="B1350">
        <v>633.72997999999995</v>
      </c>
      <c r="C1350" s="12">
        <v>-2.4712860532905001E-3</v>
      </c>
      <c r="D1350" s="12">
        <f t="shared" ref="D1350:D1413" si="105">+C1349*$K$11+C1348*$K$10</f>
        <v>-1.780705882916807E-4</v>
      </c>
      <c r="E1350" s="11">
        <f t="shared" ref="E1350:E1413" si="106">C1350-D1350</f>
        <v>-2.2932154649988193E-3</v>
      </c>
      <c r="F1350">
        <f t="shared" si="104"/>
        <v>1.544106631049439E-2</v>
      </c>
      <c r="G1350">
        <f t="shared" ref="G1350:G1413" si="107">E1350/F1350</f>
        <v>-0.14851406106845449</v>
      </c>
      <c r="H1350">
        <f t="shared" ref="H1350:H1413" si="108">1/2*(-LN(PI()*2)-2*LN(F1350)-(E1350/F1350)^2)</f>
        <v>3.2407579288374344</v>
      </c>
    </row>
    <row r="1351" spans="1:8" x14ac:dyDescent="0.25">
      <c r="A1351" s="13">
        <v>42227</v>
      </c>
      <c r="B1351">
        <v>660.78002900000001</v>
      </c>
      <c r="C1351" s="12">
        <v>4.2683871449477717E-2</v>
      </c>
      <c r="D1351" s="12">
        <f t="shared" si="105"/>
        <v>-6.6888818307482635E-5</v>
      </c>
      <c r="E1351" s="11">
        <f t="shared" si="106"/>
        <v>4.2750760267785202E-2</v>
      </c>
      <c r="F1351">
        <f t="shared" ref="F1351:F1414" si="109">SQRT($K$6+$K$7*G1350^2+$K$8*F1350^2)</f>
        <v>1.4291560709988769E-2</v>
      </c>
      <c r="G1351">
        <f t="shared" si="107"/>
        <v>2.9913290182439982</v>
      </c>
      <c r="H1351">
        <f t="shared" si="108"/>
        <v>-1.1448771048290109</v>
      </c>
    </row>
    <row r="1352" spans="1:8" x14ac:dyDescent="0.25">
      <c r="A1352" s="13">
        <v>42228</v>
      </c>
      <c r="B1352">
        <v>659.55999799999995</v>
      </c>
      <c r="C1352" s="12">
        <v>-1.8463496874238094E-3</v>
      </c>
      <c r="D1352" s="12">
        <f t="shared" si="105"/>
        <v>6.3922853339796971E-4</v>
      </c>
      <c r="E1352" s="11">
        <f t="shared" si="106"/>
        <v>-2.4855782208217793E-3</v>
      </c>
      <c r="F1352">
        <f t="shared" si="109"/>
        <v>2.734889913866817E-2</v>
      </c>
      <c r="G1352">
        <f t="shared" si="107"/>
        <v>-9.0884031866111201E-2</v>
      </c>
      <c r="H1352">
        <f t="shared" si="108"/>
        <v>2.6760105149668072</v>
      </c>
    </row>
    <row r="1353" spans="1:8" x14ac:dyDescent="0.25">
      <c r="A1353" s="13">
        <v>42229</v>
      </c>
      <c r="B1353">
        <v>656.45001200000002</v>
      </c>
      <c r="C1353" s="12">
        <v>-4.7152435099617751E-3</v>
      </c>
      <c r="D1353" s="12">
        <f t="shared" si="105"/>
        <v>8.1770878862003245E-5</v>
      </c>
      <c r="E1353" s="11">
        <f t="shared" si="106"/>
        <v>-4.7970143888237783E-3</v>
      </c>
      <c r="F1353">
        <f t="shared" si="109"/>
        <v>1.5886924403368783E-2</v>
      </c>
      <c r="G1353">
        <f t="shared" si="107"/>
        <v>-0.30194732894974835</v>
      </c>
      <c r="H1353">
        <f t="shared" si="108"/>
        <v>3.177734244716576</v>
      </c>
    </row>
    <row r="1354" spans="1:8" x14ac:dyDescent="0.25">
      <c r="A1354" s="13">
        <v>42230</v>
      </c>
      <c r="B1354">
        <v>657.11999500000002</v>
      </c>
      <c r="C1354" s="12">
        <v>1.0206154128304945E-3</v>
      </c>
      <c r="D1354" s="12">
        <f t="shared" si="105"/>
        <v>-7.6061589225250029E-5</v>
      </c>
      <c r="E1354" s="11">
        <f t="shared" si="106"/>
        <v>1.0966770020557446E-3</v>
      </c>
      <c r="F1354">
        <f t="shared" si="109"/>
        <v>1.4485414193793823E-2</v>
      </c>
      <c r="G1354">
        <f t="shared" si="107"/>
        <v>7.5709053768418189E-2</v>
      </c>
      <c r="H1354">
        <f t="shared" si="108"/>
        <v>3.3128085898837933</v>
      </c>
    </row>
    <row r="1355" spans="1:8" x14ac:dyDescent="0.25">
      <c r="A1355" s="13">
        <v>42233</v>
      </c>
      <c r="B1355">
        <v>660.86999500000002</v>
      </c>
      <c r="C1355" s="12">
        <v>5.7067202771694525E-3</v>
      </c>
      <c r="D1355" s="12">
        <f t="shared" si="105"/>
        <v>3.318436364319093E-6</v>
      </c>
      <c r="E1355" s="11">
        <f t="shared" si="106"/>
        <v>5.7034018408051333E-3</v>
      </c>
      <c r="F1355">
        <f t="shared" si="109"/>
        <v>1.4159750307487775E-2</v>
      </c>
      <c r="G1355">
        <f t="shared" si="107"/>
        <v>0.40278971852979173</v>
      </c>
      <c r="H1355">
        <f t="shared" si="108"/>
        <v>3.2572935126427041</v>
      </c>
    </row>
    <row r="1356" spans="1:8" x14ac:dyDescent="0.25">
      <c r="A1356" s="13">
        <v>42234</v>
      </c>
      <c r="B1356">
        <v>656.13000499999998</v>
      </c>
      <c r="C1356" s="12">
        <v>-7.1723486250877544E-3</v>
      </c>
      <c r="D1356" s="12">
        <f t="shared" si="105"/>
        <v>8.8935239480125402E-5</v>
      </c>
      <c r="E1356" s="11">
        <f t="shared" si="106"/>
        <v>-7.2612838645678794E-3</v>
      </c>
      <c r="F1356">
        <f t="shared" si="109"/>
        <v>1.44634933758766E-2</v>
      </c>
      <c r="G1356">
        <f t="shared" si="107"/>
        <v>-0.50204218827789171</v>
      </c>
      <c r="H1356">
        <f t="shared" si="108"/>
        <v>3.1911657898928647</v>
      </c>
    </row>
    <row r="1357" spans="1:8" x14ac:dyDescent="0.25">
      <c r="A1357" s="13">
        <v>42235</v>
      </c>
      <c r="B1357">
        <v>660.90002400000003</v>
      </c>
      <c r="C1357" s="12">
        <v>7.2699296841334249E-3</v>
      </c>
      <c r="D1357" s="12">
        <f t="shared" si="105"/>
        <v>-9.3813332886248993E-5</v>
      </c>
      <c r="E1357" s="11">
        <f t="shared" si="106"/>
        <v>7.3637430170196737E-3</v>
      </c>
      <c r="F1357">
        <f t="shared" si="109"/>
        <v>1.4681010781454786E-2</v>
      </c>
      <c r="G1357">
        <f t="shared" si="107"/>
        <v>0.50158283558524697</v>
      </c>
      <c r="H1357">
        <f t="shared" si="108"/>
        <v>3.1764692001620438</v>
      </c>
    </row>
    <row r="1358" spans="1:8" x14ac:dyDescent="0.25">
      <c r="A1358" s="13">
        <v>42236</v>
      </c>
      <c r="B1358">
        <v>646.830017</v>
      </c>
      <c r="C1358" s="12">
        <v>-2.128916097603295E-2</v>
      </c>
      <c r="D1358" s="12">
        <f t="shared" si="105"/>
        <v>9.1522592119579668E-5</v>
      </c>
      <c r="E1358" s="11">
        <f t="shared" si="106"/>
        <v>-2.138068356815253E-2</v>
      </c>
      <c r="F1358">
        <f t="shared" si="109"/>
        <v>1.470079431202489E-2</v>
      </c>
      <c r="G1358">
        <f t="shared" si="107"/>
        <v>-1.4543896822407516</v>
      </c>
      <c r="H1358">
        <f t="shared" si="108"/>
        <v>2.2432905447168006</v>
      </c>
    </row>
    <row r="1359" spans="1:8" x14ac:dyDescent="0.25">
      <c r="A1359" s="13">
        <v>42237</v>
      </c>
      <c r="B1359">
        <v>612.47997999999995</v>
      </c>
      <c r="C1359" s="12">
        <v>-5.3105199352552646E-2</v>
      </c>
      <c r="D1359" s="12">
        <f t="shared" si="105"/>
        <v>-3.0330812332825366E-4</v>
      </c>
      <c r="E1359" s="11">
        <f t="shared" si="106"/>
        <v>-5.2801891229224393E-2</v>
      </c>
      <c r="F1359">
        <f t="shared" si="109"/>
        <v>1.8176294447234752E-2</v>
      </c>
      <c r="G1359">
        <f t="shared" si="107"/>
        <v>-2.9049865682197615</v>
      </c>
      <c r="H1359">
        <f t="shared" si="108"/>
        <v>-1.1307749771805162</v>
      </c>
    </row>
    <row r="1360" spans="1:8" x14ac:dyDescent="0.25">
      <c r="A1360" s="13">
        <v>42240</v>
      </c>
      <c r="B1360">
        <v>589.60998500000005</v>
      </c>
      <c r="C1360" s="12">
        <v>-3.7339987831112254E-2</v>
      </c>
      <c r="D1360" s="12">
        <f t="shared" si="105"/>
        <v>-8.5791138981775722E-4</v>
      </c>
      <c r="E1360" s="11">
        <f t="shared" si="106"/>
        <v>-3.6482076441294496E-2</v>
      </c>
      <c r="F1360">
        <f t="shared" si="109"/>
        <v>2.6997977041256491E-2</v>
      </c>
      <c r="G1360">
        <f t="shared" si="107"/>
        <v>-1.3512892608785112</v>
      </c>
      <c r="H1360">
        <f t="shared" si="108"/>
        <v>1.7800634736952194</v>
      </c>
    </row>
    <row r="1361" spans="1:8" x14ac:dyDescent="0.25">
      <c r="A1361" s="13">
        <v>42241</v>
      </c>
      <c r="B1361">
        <v>582.05999799999995</v>
      </c>
      <c r="C1361" s="12">
        <v>-1.2805052818093188E-2</v>
      </c>
      <c r="D1361" s="12">
        <f t="shared" si="105"/>
        <v>-7.0123399517282891E-4</v>
      </c>
      <c r="E1361" s="11">
        <f t="shared" si="106"/>
        <v>-1.2103818822920359E-2</v>
      </c>
      <c r="F1361">
        <f t="shared" si="109"/>
        <v>1.9025082103024952E-2</v>
      </c>
      <c r="G1361">
        <f t="shared" si="107"/>
        <v>-0.63620323725151628</v>
      </c>
      <c r="H1361">
        <f t="shared" si="108"/>
        <v>2.840681246960866</v>
      </c>
    </row>
    <row r="1362" spans="1:8" x14ac:dyDescent="0.25">
      <c r="A1362" s="13">
        <v>42242</v>
      </c>
      <c r="B1362">
        <v>628.61999500000002</v>
      </c>
      <c r="C1362" s="12">
        <v>7.9991748548231323E-2</v>
      </c>
      <c r="D1362" s="12">
        <f t="shared" si="105"/>
        <v>-2.8963494789146192E-4</v>
      </c>
      <c r="E1362" s="11">
        <f t="shared" si="106"/>
        <v>8.028138349612278E-2</v>
      </c>
      <c r="F1362">
        <f t="shared" si="109"/>
        <v>1.5478309096530208E-2</v>
      </c>
      <c r="G1362">
        <f t="shared" si="107"/>
        <v>5.1867024359992628</v>
      </c>
      <c r="H1362">
        <f t="shared" si="108"/>
        <v>-10.201563964727971</v>
      </c>
    </row>
    <row r="1363" spans="1:8" x14ac:dyDescent="0.25">
      <c r="A1363" s="13">
        <v>42243</v>
      </c>
      <c r="B1363">
        <v>637.60998500000005</v>
      </c>
      <c r="C1363" s="12">
        <v>1.4301151842935012E-2</v>
      </c>
      <c r="D1363" s="12">
        <f t="shared" si="105"/>
        <v>1.1769405530844446E-3</v>
      </c>
      <c r="E1363" s="11">
        <f t="shared" si="106"/>
        <v>1.3124211289850567E-2</v>
      </c>
      <c r="F1363">
        <f t="shared" si="109"/>
        <v>4.3030221495989243E-2</v>
      </c>
      <c r="G1363">
        <f t="shared" si="107"/>
        <v>0.30499985437151067</v>
      </c>
      <c r="H1363">
        <f t="shared" si="108"/>
        <v>2.1804015958786298</v>
      </c>
    </row>
    <row r="1364" spans="1:8" x14ac:dyDescent="0.25">
      <c r="A1364" s="13">
        <v>42244</v>
      </c>
      <c r="B1364">
        <v>630.38000499999998</v>
      </c>
      <c r="C1364" s="12">
        <v>-1.1339188798933364E-2</v>
      </c>
      <c r="D1364" s="12">
        <f t="shared" si="105"/>
        <v>4.2187675230562183E-4</v>
      </c>
      <c r="E1364" s="11">
        <f t="shared" si="106"/>
        <v>-1.1761065551238986E-2</v>
      </c>
      <c r="F1364">
        <f t="shared" si="109"/>
        <v>1.9070975066098426E-2</v>
      </c>
      <c r="G1364">
        <f t="shared" si="107"/>
        <v>-0.61669974977556752</v>
      </c>
      <c r="H1364">
        <f t="shared" si="108"/>
        <v>2.8504899058942827</v>
      </c>
    </row>
    <row r="1365" spans="1:8" x14ac:dyDescent="0.25">
      <c r="A1365" s="13">
        <v>42247</v>
      </c>
      <c r="B1365">
        <v>618.25</v>
      </c>
      <c r="C1365" s="12">
        <v>-1.9242369529154035E-2</v>
      </c>
      <c r="D1365" s="12">
        <f t="shared" si="105"/>
        <v>-1.3474799375134936E-4</v>
      </c>
      <c r="E1365" s="11">
        <f t="shared" si="106"/>
        <v>-1.9107621535402686E-2</v>
      </c>
      <c r="F1365">
        <f t="shared" si="109"/>
        <v>1.5435306135925369E-2</v>
      </c>
      <c r="G1365">
        <f t="shared" si="107"/>
        <v>-1.2379165898711963</v>
      </c>
      <c r="H1365">
        <f t="shared" si="108"/>
        <v>2.4859405124016698</v>
      </c>
    </row>
    <row r="1366" spans="1:8" x14ac:dyDescent="0.25">
      <c r="A1366" s="13">
        <v>42248</v>
      </c>
      <c r="B1366">
        <v>597.78997800000002</v>
      </c>
      <c r="C1366" s="12">
        <v>-3.3093444399514782E-2</v>
      </c>
      <c r="D1366" s="12">
        <f t="shared" si="105"/>
        <v>-3.2017596583830177E-4</v>
      </c>
      <c r="E1366" s="11">
        <f t="shared" si="106"/>
        <v>-3.2773268433676478E-2</v>
      </c>
      <c r="F1366">
        <f t="shared" si="109"/>
        <v>1.7227602171996526E-2</v>
      </c>
      <c r="G1366">
        <f t="shared" si="107"/>
        <v>-1.9023697033676246</v>
      </c>
      <c r="H1366">
        <f t="shared" si="108"/>
        <v>1.3327986266502609</v>
      </c>
    </row>
    <row r="1367" spans="1:8" x14ac:dyDescent="0.25">
      <c r="A1367" s="13">
        <v>42249</v>
      </c>
      <c r="B1367">
        <v>614.34002699999996</v>
      </c>
      <c r="C1367" s="12">
        <v>2.7685390536941856E-2</v>
      </c>
      <c r="D1367" s="12">
        <f t="shared" si="105"/>
        <v>-5.4997991266060781E-4</v>
      </c>
      <c r="E1367" s="11">
        <f t="shared" si="106"/>
        <v>2.8235370449602466E-2</v>
      </c>
      <c r="F1367">
        <f t="shared" si="109"/>
        <v>2.074337581828244E-2</v>
      </c>
      <c r="G1367">
        <f t="shared" si="107"/>
        <v>1.3611752829892259</v>
      </c>
      <c r="H1367">
        <f t="shared" si="108"/>
        <v>2.0301907122306861</v>
      </c>
    </row>
    <row r="1368" spans="1:8" x14ac:dyDescent="0.25">
      <c r="A1368" s="13">
        <v>42250</v>
      </c>
      <c r="B1368">
        <v>606.25</v>
      </c>
      <c r="C1368" s="12">
        <v>-1.3168647075636475E-2</v>
      </c>
      <c r="D1368" s="12">
        <f t="shared" si="105"/>
        <v>3.3368332707302793E-4</v>
      </c>
      <c r="E1368" s="11">
        <f t="shared" si="106"/>
        <v>-1.3502330402709503E-2</v>
      </c>
      <c r="F1368">
        <f t="shared" si="109"/>
        <v>1.8299912127737558E-2</v>
      </c>
      <c r="G1368">
        <f t="shared" si="107"/>
        <v>-0.73783580535579396</v>
      </c>
      <c r="H1368">
        <f t="shared" si="108"/>
        <v>2.8097196498720765</v>
      </c>
    </row>
    <row r="1369" spans="1:8" x14ac:dyDescent="0.25">
      <c r="A1369" s="13">
        <v>42251</v>
      </c>
      <c r="B1369">
        <v>600.70001200000002</v>
      </c>
      <c r="C1369" s="12">
        <v>-9.1546193814432408E-3</v>
      </c>
      <c r="D1369" s="12">
        <f t="shared" si="105"/>
        <v>-1.2802084794659584E-4</v>
      </c>
      <c r="E1369" s="11">
        <f t="shared" si="106"/>
        <v>-9.0265985334966447E-3</v>
      </c>
      <c r="F1369">
        <f t="shared" si="109"/>
        <v>1.5669505757564803E-2</v>
      </c>
      <c r="G1369">
        <f t="shared" si="107"/>
        <v>-0.57606147080541159</v>
      </c>
      <c r="H1369">
        <f t="shared" si="108"/>
        <v>3.0711768215124033</v>
      </c>
    </row>
    <row r="1370" spans="1:8" x14ac:dyDescent="0.25">
      <c r="A1370" s="13">
        <v>42255</v>
      </c>
      <c r="B1370">
        <v>614.65997300000004</v>
      </c>
      <c r="C1370" s="12">
        <v>2.3239488465333968E-2</v>
      </c>
      <c r="D1370" s="12">
        <f t="shared" si="105"/>
        <v>-1.7230368215126333E-4</v>
      </c>
      <c r="E1370" s="11">
        <f t="shared" si="106"/>
        <v>2.3411792147485233E-2</v>
      </c>
      <c r="F1370">
        <f t="shared" si="109"/>
        <v>1.4963839606188148E-2</v>
      </c>
      <c r="G1370">
        <f t="shared" si="107"/>
        <v>1.5645578116062884</v>
      </c>
      <c r="H1370">
        <f t="shared" si="108"/>
        <v>2.0592595750654201</v>
      </c>
    </row>
    <row r="1371" spans="1:8" x14ac:dyDescent="0.25">
      <c r="A1371" s="13">
        <v>42256</v>
      </c>
      <c r="B1371">
        <v>612.71997099999999</v>
      </c>
      <c r="C1371" s="12">
        <v>-3.1562198373377148E-3</v>
      </c>
      <c r="D1371" s="12">
        <f t="shared" si="105"/>
        <v>3.2796259390514696E-4</v>
      </c>
      <c r="E1371" s="11">
        <f t="shared" si="106"/>
        <v>-3.4841824312428619E-3</v>
      </c>
      <c r="F1371">
        <f t="shared" si="109"/>
        <v>1.8748592499253675E-2</v>
      </c>
      <c r="G1371">
        <f t="shared" si="107"/>
        <v>-0.18583701317213849</v>
      </c>
      <c r="H1371">
        <f t="shared" si="108"/>
        <v>3.0404303651527904</v>
      </c>
    </row>
    <row r="1372" spans="1:8" x14ac:dyDescent="0.25">
      <c r="A1372" s="13">
        <v>42257</v>
      </c>
      <c r="B1372">
        <v>621.34997599999997</v>
      </c>
      <c r="C1372" s="12">
        <v>1.4084745737788174E-2</v>
      </c>
      <c r="D1372" s="12">
        <f t="shared" si="105"/>
        <v>1.1988016241632477E-5</v>
      </c>
      <c r="E1372" s="11">
        <f t="shared" si="106"/>
        <v>1.4072757721546541E-2</v>
      </c>
      <c r="F1372">
        <f t="shared" si="109"/>
        <v>1.4693067294327608E-2</v>
      </c>
      <c r="G1372">
        <f t="shared" si="107"/>
        <v>0.95778215941197364</v>
      </c>
      <c r="H1372">
        <f t="shared" si="108"/>
        <v>2.8427676434238318</v>
      </c>
    </row>
    <row r="1373" spans="1:8" x14ac:dyDescent="0.25">
      <c r="A1373" s="13">
        <v>42258</v>
      </c>
      <c r="B1373">
        <v>625.77002000000005</v>
      </c>
      <c r="C1373" s="12">
        <v>7.113614179973915E-3</v>
      </c>
      <c r="D1373" s="12">
        <f t="shared" si="105"/>
        <v>2.0491580254430186E-4</v>
      </c>
      <c r="E1373" s="11">
        <f t="shared" si="106"/>
        <v>6.9086983774296132E-3</v>
      </c>
      <c r="F1373">
        <f t="shared" si="109"/>
        <v>1.6029546726582116E-2</v>
      </c>
      <c r="G1373">
        <f t="shared" si="107"/>
        <v>0.43099773781954676</v>
      </c>
      <c r="H1373">
        <f t="shared" si="108"/>
        <v>3.1215035311230577</v>
      </c>
    </row>
    <row r="1374" spans="1:8" x14ac:dyDescent="0.25">
      <c r="A1374" s="13">
        <v>42261</v>
      </c>
      <c r="B1374">
        <v>623.23999000000003</v>
      </c>
      <c r="C1374" s="12">
        <v>-4.0430668123091484E-3</v>
      </c>
      <c r="D1374" s="12">
        <f t="shared" si="105"/>
        <v>1.4378848969045783E-4</v>
      </c>
      <c r="E1374" s="11">
        <f t="shared" si="106"/>
        <v>-4.1868553019996065E-3</v>
      </c>
      <c r="F1374">
        <f t="shared" si="109"/>
        <v>1.4699024909328638E-2</v>
      </c>
      <c r="G1374">
        <f t="shared" si="107"/>
        <v>-0.28483898270982905</v>
      </c>
      <c r="H1374">
        <f t="shared" si="108"/>
        <v>3.2604689638560314</v>
      </c>
    </row>
    <row r="1375" spans="1:8" x14ac:dyDescent="0.25">
      <c r="A1375" s="13">
        <v>42262</v>
      </c>
      <c r="B1375">
        <v>635.14001499999995</v>
      </c>
      <c r="C1375" s="12">
        <v>1.9093808470152851E-2</v>
      </c>
      <c r="D1375" s="12">
        <f t="shared" si="105"/>
        <v>-4.2868286967795118E-5</v>
      </c>
      <c r="E1375" s="11">
        <f t="shared" si="106"/>
        <v>1.9136676757120646E-2</v>
      </c>
      <c r="F1375">
        <f t="shared" si="109"/>
        <v>1.4342895524206882E-2</v>
      </c>
      <c r="G1375">
        <f t="shared" si="107"/>
        <v>1.3342268808151863</v>
      </c>
      <c r="H1375">
        <f t="shared" si="108"/>
        <v>2.4354813268432989</v>
      </c>
    </row>
    <row r="1376" spans="1:8" x14ac:dyDescent="0.25">
      <c r="A1376" s="13">
        <v>42263</v>
      </c>
      <c r="B1376">
        <v>635.97997999999995</v>
      </c>
      <c r="C1376" s="12">
        <v>1.3224879241784393E-3</v>
      </c>
      <c r="D1376" s="12">
        <f t="shared" si="105"/>
        <v>2.7839707540479634E-4</v>
      </c>
      <c r="E1376" s="11">
        <f t="shared" si="106"/>
        <v>1.0440908487736431E-3</v>
      </c>
      <c r="F1376">
        <f t="shared" si="109"/>
        <v>1.7573943615021421E-2</v>
      </c>
      <c r="G1376">
        <f t="shared" si="107"/>
        <v>5.9411300710058096E-2</v>
      </c>
      <c r="H1376">
        <f t="shared" si="108"/>
        <v>3.1206345658146231</v>
      </c>
    </row>
    <row r="1377" spans="1:8" x14ac:dyDescent="0.25">
      <c r="A1377" s="13">
        <v>42264</v>
      </c>
      <c r="B1377">
        <v>642.90002400000003</v>
      </c>
      <c r="C1377" s="12">
        <v>1.0880914836344457E-2</v>
      </c>
      <c r="D1377" s="12">
        <f t="shared" si="105"/>
        <v>6.9072735972509626E-5</v>
      </c>
      <c r="E1377" s="11">
        <f t="shared" si="106"/>
        <v>1.0811842100371947E-2</v>
      </c>
      <c r="F1377">
        <f t="shared" si="109"/>
        <v>1.4487368615023507E-2</v>
      </c>
      <c r="G1377">
        <f t="shared" si="107"/>
        <v>0.74629440222567323</v>
      </c>
      <c r="H1377">
        <f t="shared" si="108"/>
        <v>3.0370619386068656</v>
      </c>
    </row>
    <row r="1378" spans="1:8" x14ac:dyDescent="0.25">
      <c r="A1378" s="13">
        <v>42265</v>
      </c>
      <c r="B1378">
        <v>629.25</v>
      </c>
      <c r="C1378" s="12">
        <v>-2.1231954410379728E-2</v>
      </c>
      <c r="D1378" s="12">
        <f t="shared" si="105"/>
        <v>1.6796905224584151E-4</v>
      </c>
      <c r="E1378" s="11">
        <f t="shared" si="106"/>
        <v>-2.1399923462625568E-2</v>
      </c>
      <c r="F1378">
        <f t="shared" si="109"/>
        <v>1.5306334202336579E-2</v>
      </c>
      <c r="G1378">
        <f t="shared" si="107"/>
        <v>-1.398108990679086</v>
      </c>
      <c r="H1378">
        <f t="shared" si="108"/>
        <v>2.2831956279919283</v>
      </c>
    </row>
    <row r="1379" spans="1:8" x14ac:dyDescent="0.25">
      <c r="A1379" s="13">
        <v>42268</v>
      </c>
      <c r="B1379">
        <v>635.44000200000005</v>
      </c>
      <c r="C1379" s="12">
        <v>9.8371108462456114E-3</v>
      </c>
      <c r="D1379" s="12">
        <f t="shared" si="105"/>
        <v>-2.9316276506342155E-4</v>
      </c>
      <c r="E1379" s="11">
        <f t="shared" si="106"/>
        <v>1.0130273611309033E-2</v>
      </c>
      <c r="F1379">
        <f t="shared" si="109"/>
        <v>1.7952341160815195E-2</v>
      </c>
      <c r="G1379">
        <f t="shared" si="107"/>
        <v>0.56428704872323343</v>
      </c>
      <c r="H1379">
        <f t="shared" si="108"/>
        <v>2.9418862758832605</v>
      </c>
    </row>
    <row r="1380" spans="1:8" x14ac:dyDescent="0.25">
      <c r="A1380" s="13">
        <v>42269</v>
      </c>
      <c r="B1380">
        <v>622.69000200000005</v>
      </c>
      <c r="C1380" s="12">
        <v>-2.0064836900211436E-2</v>
      </c>
      <c r="D1380" s="12">
        <f t="shared" si="105"/>
        <v>9.4217590993148147E-5</v>
      </c>
      <c r="E1380" s="11">
        <f t="shared" si="106"/>
        <v>-2.0159054491204583E-2</v>
      </c>
      <c r="F1380">
        <f t="shared" si="109"/>
        <v>1.518134957526461E-2</v>
      </c>
      <c r="G1380">
        <f t="shared" si="107"/>
        <v>-1.3278828994261671</v>
      </c>
      <c r="H1380">
        <f t="shared" si="108"/>
        <v>2.3871125756411673</v>
      </c>
    </row>
    <row r="1381" spans="1:8" x14ac:dyDescent="0.25">
      <c r="A1381" s="13">
        <v>42270</v>
      </c>
      <c r="B1381">
        <v>622.35998500000005</v>
      </c>
      <c r="C1381" s="12">
        <v>-5.2998602665854655E-4</v>
      </c>
      <c r="D1381" s="12">
        <f t="shared" si="105"/>
        <v>-2.781930385932874E-4</v>
      </c>
      <c r="E1381" s="11">
        <f t="shared" si="106"/>
        <v>-2.5179298806525915E-4</v>
      </c>
      <c r="F1381">
        <f t="shared" si="109"/>
        <v>1.7612174129523046E-2</v>
      </c>
      <c r="G1381">
        <f t="shared" si="107"/>
        <v>-1.4296530695956612E-2</v>
      </c>
      <c r="H1381">
        <f t="shared" si="108"/>
        <v>3.1201241755560867</v>
      </c>
    </row>
    <row r="1382" spans="1:8" x14ac:dyDescent="0.25">
      <c r="A1382" s="13">
        <v>42271</v>
      </c>
      <c r="B1382">
        <v>625.79998799999998</v>
      </c>
      <c r="C1382" s="12">
        <v>5.5273524694874343E-3</v>
      </c>
      <c r="D1382" s="12">
        <f t="shared" si="105"/>
        <v>-5.9581917663367682E-5</v>
      </c>
      <c r="E1382" s="11">
        <f t="shared" si="106"/>
        <v>5.5869343871508019E-3</v>
      </c>
      <c r="F1382">
        <f t="shared" si="109"/>
        <v>1.448479914215E-2</v>
      </c>
      <c r="G1382">
        <f t="shared" si="107"/>
        <v>0.38571017328732699</v>
      </c>
      <c r="H1382">
        <f t="shared" si="108"/>
        <v>3.2413308123739095</v>
      </c>
    </row>
    <row r="1383" spans="1:8" x14ac:dyDescent="0.25">
      <c r="A1383" s="13">
        <v>42272</v>
      </c>
      <c r="B1383">
        <v>611.96997099999999</v>
      </c>
      <c r="C1383" s="12">
        <v>-2.2099739957169851E-2</v>
      </c>
      <c r="D1383" s="12">
        <f t="shared" si="105"/>
        <v>8.2237358826096947E-5</v>
      </c>
      <c r="E1383" s="11">
        <f t="shared" si="106"/>
        <v>-2.2181977315995947E-2</v>
      </c>
      <c r="F1383">
        <f t="shared" si="109"/>
        <v>1.4465910773069086E-2</v>
      </c>
      <c r="G1383">
        <f t="shared" si="107"/>
        <v>-1.5333965253879289</v>
      </c>
      <c r="H1383">
        <f t="shared" si="108"/>
        <v>2.1413693933779543</v>
      </c>
    </row>
    <row r="1384" spans="1:8" x14ac:dyDescent="0.25">
      <c r="A1384" s="13">
        <v>42275</v>
      </c>
      <c r="B1384">
        <v>594.89001499999995</v>
      </c>
      <c r="C1384" s="12">
        <v>-2.7909794286295253E-2</v>
      </c>
      <c r="D1384" s="12">
        <f t="shared" si="105"/>
        <v>-3.2004623979611758E-4</v>
      </c>
      <c r="E1384" s="11">
        <f t="shared" si="106"/>
        <v>-2.7589748046499135E-2</v>
      </c>
      <c r="F1384">
        <f t="shared" si="109"/>
        <v>1.8552219956376702E-2</v>
      </c>
      <c r="G1384">
        <f t="shared" si="107"/>
        <v>-1.4871399817042428</v>
      </c>
      <c r="H1384">
        <f t="shared" si="108"/>
        <v>1.9624346270945534</v>
      </c>
    </row>
    <row r="1385" spans="1:8" x14ac:dyDescent="0.25">
      <c r="A1385" s="13">
        <v>42276</v>
      </c>
      <c r="B1385">
        <v>594.96997099999999</v>
      </c>
      <c r="C1385" s="12">
        <v>1.3440467646796961E-4</v>
      </c>
      <c r="D1385" s="12">
        <f t="shared" si="105"/>
        <v>-4.7892225084695221E-4</v>
      </c>
      <c r="E1385" s="11">
        <f t="shared" si="106"/>
        <v>6.1332692731492187E-4</v>
      </c>
      <c r="F1385">
        <f t="shared" si="109"/>
        <v>1.8670704368157334E-2</v>
      </c>
      <c r="G1385">
        <f t="shared" si="107"/>
        <v>3.2849694110145287E-2</v>
      </c>
      <c r="H1385">
        <f t="shared" si="108"/>
        <v>3.0613215104625078</v>
      </c>
    </row>
    <row r="1386" spans="1:8" x14ac:dyDescent="0.25">
      <c r="A1386" s="13">
        <v>42277</v>
      </c>
      <c r="B1386">
        <v>608.419983</v>
      </c>
      <c r="C1386" s="12">
        <v>2.2606203095248301E-2</v>
      </c>
      <c r="D1386" s="12">
        <f t="shared" si="105"/>
        <v>-6.9694538415394233E-5</v>
      </c>
      <c r="E1386" s="11">
        <f t="shared" si="106"/>
        <v>2.2675897633663695E-2</v>
      </c>
      <c r="F1386">
        <f t="shared" si="109"/>
        <v>1.4613546532524897E-2</v>
      </c>
      <c r="G1386">
        <f t="shared" si="107"/>
        <v>1.5517039332782554</v>
      </c>
      <c r="H1386">
        <f t="shared" si="108"/>
        <v>2.1029752542758966</v>
      </c>
    </row>
    <row r="1387" spans="1:8" x14ac:dyDescent="0.25">
      <c r="A1387" s="13">
        <v>42278</v>
      </c>
      <c r="B1387">
        <v>611.28997800000002</v>
      </c>
      <c r="C1387" s="12">
        <v>4.7171281026119338E-3</v>
      </c>
      <c r="D1387" s="12">
        <f t="shared" si="105"/>
        <v>3.422568823472199E-4</v>
      </c>
      <c r="E1387" s="11">
        <f t="shared" si="106"/>
        <v>4.3748712202647142E-3</v>
      </c>
      <c r="F1387">
        <f t="shared" si="109"/>
        <v>1.8656335320888118E-2</v>
      </c>
      <c r="G1387">
        <f t="shared" si="107"/>
        <v>0.23449788744772906</v>
      </c>
      <c r="H1387">
        <f t="shared" si="108"/>
        <v>3.0351363322723866</v>
      </c>
    </row>
    <row r="1388" spans="1:8" x14ac:dyDescent="0.25">
      <c r="A1388" s="13">
        <v>42279</v>
      </c>
      <c r="B1388">
        <v>626.90997300000004</v>
      </c>
      <c r="C1388" s="12">
        <v>2.5552512820683049E-2</v>
      </c>
      <c r="D1388" s="12">
        <f t="shared" si="105"/>
        <v>1.2944231688868853E-4</v>
      </c>
      <c r="E1388" s="11">
        <f t="shared" si="106"/>
        <v>2.5423070503794359E-2</v>
      </c>
      <c r="F1388">
        <f t="shared" si="109"/>
        <v>1.4724397335116265E-2</v>
      </c>
      <c r="G1388">
        <f t="shared" si="107"/>
        <v>1.7265949787406778</v>
      </c>
      <c r="H1388">
        <f t="shared" si="108"/>
        <v>1.8087458347768139</v>
      </c>
    </row>
    <row r="1389" spans="1:8" x14ac:dyDescent="0.25">
      <c r="A1389" s="13">
        <v>42282</v>
      </c>
      <c r="B1389">
        <v>641.46997099999999</v>
      </c>
      <c r="C1389" s="12">
        <v>2.3225022135674234E-2</v>
      </c>
      <c r="D1389" s="12">
        <f t="shared" si="105"/>
        <v>3.9859632515226484E-4</v>
      </c>
      <c r="E1389" s="11">
        <f t="shared" si="106"/>
        <v>2.282642581052197E-2</v>
      </c>
      <c r="F1389">
        <f t="shared" si="109"/>
        <v>1.958333681529045E-2</v>
      </c>
      <c r="G1389">
        <f t="shared" si="107"/>
        <v>1.1656045149925294</v>
      </c>
      <c r="H1389">
        <f t="shared" si="108"/>
        <v>2.3348207609337712</v>
      </c>
    </row>
    <row r="1390" spans="1:8" x14ac:dyDescent="0.25">
      <c r="A1390" s="13">
        <v>42283</v>
      </c>
      <c r="B1390">
        <v>645.44000200000005</v>
      </c>
      <c r="C1390" s="12">
        <v>6.1889584539882581E-3</v>
      </c>
      <c r="D1390" s="12">
        <f t="shared" si="105"/>
        <v>4.1694012295954936E-4</v>
      </c>
      <c r="E1390" s="11">
        <f t="shared" si="106"/>
        <v>5.7720183310287091E-3</v>
      </c>
      <c r="F1390">
        <f t="shared" si="109"/>
        <v>1.7323558813679547E-2</v>
      </c>
      <c r="G1390">
        <f t="shared" si="107"/>
        <v>0.33318894766996926</v>
      </c>
      <c r="H1390">
        <f t="shared" si="108"/>
        <v>3.0812419520944827</v>
      </c>
    </row>
    <row r="1391" spans="1:8" x14ac:dyDescent="0.25">
      <c r="A1391" s="13">
        <v>42284</v>
      </c>
      <c r="B1391">
        <v>642.35998500000005</v>
      </c>
      <c r="C1391" s="12">
        <v>-4.7719648463933062E-3</v>
      </c>
      <c r="D1391" s="12">
        <f t="shared" si="105"/>
        <v>1.5329361911448124E-4</v>
      </c>
      <c r="E1391" s="11">
        <f t="shared" si="106"/>
        <v>-4.9252584655077878E-3</v>
      </c>
      <c r="F1391">
        <f t="shared" si="109"/>
        <v>1.4684365583367906E-2</v>
      </c>
      <c r="G1391">
        <f t="shared" si="107"/>
        <v>-0.33540832510233404</v>
      </c>
      <c r="H1391">
        <f t="shared" si="108"/>
        <v>3.2457840114634879</v>
      </c>
    </row>
    <row r="1392" spans="1:8" x14ac:dyDescent="0.25">
      <c r="A1392" s="13">
        <v>42285</v>
      </c>
      <c r="B1392">
        <v>639.15997300000004</v>
      </c>
      <c r="C1392" s="12">
        <v>-4.9816490359374521E-3</v>
      </c>
      <c r="D1392" s="12">
        <f t="shared" si="105"/>
        <v>-5.6268971080635727E-5</v>
      </c>
      <c r="E1392" s="11">
        <f t="shared" si="106"/>
        <v>-4.9253800648568161E-3</v>
      </c>
      <c r="F1392">
        <f t="shared" si="109"/>
        <v>1.4408308955553046E-2</v>
      </c>
      <c r="G1392">
        <f t="shared" si="107"/>
        <v>-0.34184303515774805</v>
      </c>
      <c r="H1392">
        <f t="shared" si="108"/>
        <v>3.2625833644570079</v>
      </c>
    </row>
    <row r="1393" spans="1:8" x14ac:dyDescent="0.25">
      <c r="A1393" s="13">
        <v>42286</v>
      </c>
      <c r="B1393">
        <v>643.60998500000005</v>
      </c>
      <c r="C1393" s="12">
        <v>6.9622820388972606E-3</v>
      </c>
      <c r="D1393" s="12">
        <f t="shared" si="105"/>
        <v>-8.7609632603382487E-5</v>
      </c>
      <c r="E1393" s="11">
        <f t="shared" si="106"/>
        <v>7.0498916715006433E-3</v>
      </c>
      <c r="F1393">
        <f t="shared" si="109"/>
        <v>1.4390769141465091E-2</v>
      </c>
      <c r="G1393">
        <f t="shared" si="107"/>
        <v>0.48988984551126713</v>
      </c>
      <c r="H1393">
        <f t="shared" si="108"/>
        <v>3.2022337462194437</v>
      </c>
    </row>
    <row r="1394" spans="1:8" x14ac:dyDescent="0.25">
      <c r="A1394" s="13">
        <v>42289</v>
      </c>
      <c r="B1394">
        <v>646.669983</v>
      </c>
      <c r="C1394" s="12">
        <v>4.7544290351553276E-3</v>
      </c>
      <c r="D1394" s="12">
        <f t="shared" si="105"/>
        <v>9.2499556274955932E-5</v>
      </c>
      <c r="E1394" s="11">
        <f t="shared" si="106"/>
        <v>4.6619294788803715E-3</v>
      </c>
      <c r="F1394">
        <f t="shared" si="109"/>
        <v>1.4648945747978915E-2</v>
      </c>
      <c r="G1394">
        <f t="shared" si="107"/>
        <v>0.31824334386135389</v>
      </c>
      <c r="H1394">
        <f t="shared" si="108"/>
        <v>3.2538089625430877</v>
      </c>
    </row>
    <row r="1395" spans="1:8" x14ac:dyDescent="0.25">
      <c r="A1395" s="13">
        <v>42290</v>
      </c>
      <c r="B1395">
        <v>652.29998799999998</v>
      </c>
      <c r="C1395" s="12">
        <v>8.7061486507871155E-3</v>
      </c>
      <c r="D1395" s="12">
        <f t="shared" si="105"/>
        <v>8.9802055963241221E-5</v>
      </c>
      <c r="E1395" s="11">
        <f t="shared" si="106"/>
        <v>8.6163465948238746E-3</v>
      </c>
      <c r="F1395">
        <f t="shared" si="109"/>
        <v>1.4380955986896388E-2</v>
      </c>
      <c r="G1395">
        <f t="shared" si="107"/>
        <v>0.59914977854566143</v>
      </c>
      <c r="H1395">
        <f t="shared" si="108"/>
        <v>3.1434216868159406</v>
      </c>
    </row>
    <row r="1396" spans="1:8" x14ac:dyDescent="0.25">
      <c r="A1396" s="13">
        <v>42291</v>
      </c>
      <c r="B1396">
        <v>651.15997300000004</v>
      </c>
      <c r="C1396" s="12">
        <v>-1.7476851463623655E-3</v>
      </c>
      <c r="D1396" s="12">
        <f t="shared" si="105"/>
        <v>1.4389641087183267E-4</v>
      </c>
      <c r="E1396" s="11">
        <f t="shared" si="106"/>
        <v>-1.8915815572341983E-3</v>
      </c>
      <c r="F1396">
        <f t="shared" si="109"/>
        <v>1.4894840453169694E-2</v>
      </c>
      <c r="G1396">
        <f t="shared" si="107"/>
        <v>-0.12699575824134865</v>
      </c>
      <c r="H1396">
        <f t="shared" si="108"/>
        <v>3.2797379097993411</v>
      </c>
    </row>
    <row r="1397" spans="1:8" x14ac:dyDescent="0.25">
      <c r="A1397" s="13">
        <v>42292</v>
      </c>
      <c r="B1397">
        <v>661.73999000000003</v>
      </c>
      <c r="C1397" s="12">
        <v>1.6247953557796402E-2</v>
      </c>
      <c r="D1397" s="12">
        <f t="shared" si="105"/>
        <v>-4.0586185363867526E-6</v>
      </c>
      <c r="E1397" s="11">
        <f t="shared" si="106"/>
        <v>1.6252012176332788E-2</v>
      </c>
      <c r="F1397">
        <f t="shared" si="109"/>
        <v>1.4222945984752995E-2</v>
      </c>
      <c r="G1397">
        <f t="shared" si="107"/>
        <v>1.1426614566177045</v>
      </c>
      <c r="H1397">
        <f t="shared" si="108"/>
        <v>2.6811225687161042</v>
      </c>
    </row>
    <row r="1398" spans="1:8" x14ac:dyDescent="0.25">
      <c r="A1398" s="13">
        <v>42293</v>
      </c>
      <c r="B1398">
        <v>662.20001200000002</v>
      </c>
      <c r="C1398" s="12">
        <v>6.95170319085614E-4</v>
      </c>
      <c r="D1398" s="12">
        <f t="shared" si="105"/>
        <v>2.4125351044146376E-4</v>
      </c>
      <c r="E1398" s="11">
        <f t="shared" si="106"/>
        <v>4.5391680864415024E-4</v>
      </c>
      <c r="F1398">
        <f t="shared" si="109"/>
        <v>1.6716361497395867E-2</v>
      </c>
      <c r="G1398">
        <f t="shared" si="107"/>
        <v>2.7154043582681732E-2</v>
      </c>
      <c r="H1398">
        <f t="shared" si="108"/>
        <v>3.1720601045528936</v>
      </c>
    </row>
    <row r="1399" spans="1:8" x14ac:dyDescent="0.25">
      <c r="A1399" s="13">
        <v>42296</v>
      </c>
      <c r="B1399">
        <v>666.09997599999997</v>
      </c>
      <c r="C1399" s="12">
        <v>5.8894049068667353E-3</v>
      </c>
      <c r="D1399" s="12">
        <f t="shared" si="105"/>
        <v>5.2270996361997315E-5</v>
      </c>
      <c r="E1399" s="11">
        <f t="shared" si="106"/>
        <v>5.837133910504738E-3</v>
      </c>
      <c r="F1399">
        <f t="shared" si="109"/>
        <v>1.4383508325146002E-2</v>
      </c>
      <c r="G1399">
        <f t="shared" si="107"/>
        <v>0.40582129050531818</v>
      </c>
      <c r="H1399">
        <f t="shared" si="108"/>
        <v>3.2403889907858772</v>
      </c>
    </row>
    <row r="1400" spans="1:8" x14ac:dyDescent="0.25">
      <c r="A1400" s="13">
        <v>42297</v>
      </c>
      <c r="B1400">
        <v>650.28002900000001</v>
      </c>
      <c r="C1400" s="12">
        <v>-2.3750108947609316E-2</v>
      </c>
      <c r="D1400" s="12">
        <f t="shared" si="105"/>
        <v>9.0861900568748897E-5</v>
      </c>
      <c r="E1400" s="11">
        <f t="shared" si="106"/>
        <v>-2.3840970848178065E-2</v>
      </c>
      <c r="F1400">
        <f t="shared" si="109"/>
        <v>1.4489891105508466E-2</v>
      </c>
      <c r="G1400">
        <f t="shared" si="107"/>
        <v>-1.6453519681120792</v>
      </c>
      <c r="H1400">
        <f t="shared" si="108"/>
        <v>1.96177395513576</v>
      </c>
    </row>
    <row r="1401" spans="1:8" x14ac:dyDescent="0.25">
      <c r="A1401" s="13">
        <v>42298</v>
      </c>
      <c r="B1401">
        <v>642.60998500000005</v>
      </c>
      <c r="C1401" s="12">
        <v>-1.1794986248916395E-2</v>
      </c>
      <c r="D1401" s="12">
        <f t="shared" si="105"/>
        <v>-3.4407706946975946E-4</v>
      </c>
      <c r="E1401" s="11">
        <f t="shared" si="106"/>
        <v>-1.1450909179446635E-2</v>
      </c>
      <c r="F1401">
        <f t="shared" si="109"/>
        <v>1.9132705953395127E-2</v>
      </c>
      <c r="G1401">
        <f t="shared" si="107"/>
        <v>-0.59849919856290135</v>
      </c>
      <c r="H1401">
        <f t="shared" si="108"/>
        <v>2.8583168762096767</v>
      </c>
    </row>
    <row r="1402" spans="1:8" x14ac:dyDescent="0.25">
      <c r="A1402" s="13">
        <v>42299</v>
      </c>
      <c r="B1402">
        <v>651.78997800000002</v>
      </c>
      <c r="C1402" s="12">
        <v>1.4285481418406576E-2</v>
      </c>
      <c r="D1402" s="12">
        <f t="shared" si="105"/>
        <v>-2.3943242336822007E-4</v>
      </c>
      <c r="E1402" s="11">
        <f t="shared" si="106"/>
        <v>1.4524913841774796E-2</v>
      </c>
      <c r="F1402">
        <f t="shared" si="109"/>
        <v>1.5398702632341239E-2</v>
      </c>
      <c r="G1402">
        <f t="shared" si="107"/>
        <v>0.94325568774013069</v>
      </c>
      <c r="H1402">
        <f t="shared" si="108"/>
        <v>2.809667838332774</v>
      </c>
    </row>
    <row r="1403" spans="1:8" x14ac:dyDescent="0.25">
      <c r="A1403" s="13">
        <v>42300</v>
      </c>
      <c r="B1403">
        <v>702</v>
      </c>
      <c r="C1403" s="12">
        <v>7.7034050376270091E-2</v>
      </c>
      <c r="D1403" s="12">
        <f t="shared" si="105"/>
        <v>1.857504841667902E-4</v>
      </c>
      <c r="E1403" s="11">
        <f t="shared" si="106"/>
        <v>7.6848299892103303E-2</v>
      </c>
      <c r="F1403">
        <f t="shared" si="109"/>
        <v>1.6040438061885945E-2</v>
      </c>
      <c r="G1403">
        <f t="shared" si="107"/>
        <v>4.790910297811898</v>
      </c>
      <c r="H1403">
        <f t="shared" si="108"/>
        <v>-8.262706907719414</v>
      </c>
    </row>
    <row r="1404" spans="1:8" x14ac:dyDescent="0.25">
      <c r="A1404" s="13">
        <v>42303</v>
      </c>
      <c r="B1404">
        <v>712.78002900000001</v>
      </c>
      <c r="C1404" s="12">
        <v>1.5356166666666615E-2</v>
      </c>
      <c r="D1404" s="12">
        <f t="shared" si="105"/>
        <v>1.2018282213520299E-3</v>
      </c>
      <c r="E1404" s="11">
        <f t="shared" si="106"/>
        <v>1.4154338445314586E-2</v>
      </c>
      <c r="F1404">
        <f t="shared" si="109"/>
        <v>4.0140982317329925E-2</v>
      </c>
      <c r="G1404">
        <f t="shared" si="107"/>
        <v>0.3526156468573462</v>
      </c>
      <c r="H1404">
        <f t="shared" si="108"/>
        <v>2.234250033224134</v>
      </c>
    </row>
    <row r="1405" spans="1:8" x14ac:dyDescent="0.25">
      <c r="A1405" s="13">
        <v>42304</v>
      </c>
      <c r="B1405">
        <v>708.48999000000003</v>
      </c>
      <c r="C1405" s="12">
        <v>-6.0187418634872758E-3</v>
      </c>
      <c r="D1405" s="12">
        <f t="shared" si="105"/>
        <v>4.302323093360969E-4</v>
      </c>
      <c r="E1405" s="11">
        <f t="shared" si="106"/>
        <v>-6.4489741728233725E-3</v>
      </c>
      <c r="F1405">
        <f t="shared" si="109"/>
        <v>1.8507197262651414E-2</v>
      </c>
      <c r="G1405">
        <f t="shared" si="107"/>
        <v>-0.348457634146353</v>
      </c>
      <c r="H1405">
        <f t="shared" si="108"/>
        <v>3.0099456867282628</v>
      </c>
    </row>
    <row r="1406" spans="1:8" x14ac:dyDescent="0.25">
      <c r="A1406" s="13">
        <v>42305</v>
      </c>
      <c r="B1406">
        <v>712.95001200000002</v>
      </c>
      <c r="C1406" s="12">
        <v>6.2951094058505408E-3</v>
      </c>
      <c r="D1406" s="12">
        <f t="shared" si="105"/>
        <v>-5.1566607386451302E-5</v>
      </c>
      <c r="E1406" s="11">
        <f t="shared" si="106"/>
        <v>6.3466760132369921E-3</v>
      </c>
      <c r="F1406">
        <f t="shared" si="109"/>
        <v>1.4844060331866363E-2</v>
      </c>
      <c r="G1406">
        <f t="shared" si="107"/>
        <v>0.42755660320325684</v>
      </c>
      <c r="H1406">
        <f t="shared" si="108"/>
        <v>3.1998146137218964</v>
      </c>
    </row>
    <row r="1407" spans="1:8" x14ac:dyDescent="0.25">
      <c r="A1407" s="13">
        <v>42306</v>
      </c>
      <c r="B1407">
        <v>716.919983</v>
      </c>
      <c r="C1407" s="12">
        <v>5.5683721623949189E-3</v>
      </c>
      <c r="D1407" s="12">
        <f t="shared" si="105"/>
        <v>7.974348866422257E-5</v>
      </c>
      <c r="E1407" s="11">
        <f t="shared" si="106"/>
        <v>5.488628673730696E-3</v>
      </c>
      <c r="F1407">
        <f t="shared" si="109"/>
        <v>1.4572618909908483E-2</v>
      </c>
      <c r="G1407">
        <f t="shared" si="107"/>
        <v>0.37663982758780351</v>
      </c>
      <c r="H1407">
        <f t="shared" si="108"/>
        <v>3.2387436151265789</v>
      </c>
    </row>
    <row r="1408" spans="1:8" x14ac:dyDescent="0.25">
      <c r="A1408" s="13">
        <v>42307</v>
      </c>
      <c r="B1408">
        <v>710.80999799999995</v>
      </c>
      <c r="C1408" s="12">
        <v>-8.5225480456443403E-3</v>
      </c>
      <c r="D1408" s="12">
        <f t="shared" si="105"/>
        <v>1.0039806651976472E-4</v>
      </c>
      <c r="E1408" s="11">
        <f t="shared" si="106"/>
        <v>-8.6229461121641055E-3</v>
      </c>
      <c r="F1408">
        <f t="shared" si="109"/>
        <v>1.4459743386107355E-2</v>
      </c>
      <c r="G1408">
        <f t="shared" si="107"/>
        <v>-0.59634157273142674</v>
      </c>
      <c r="H1408">
        <f t="shared" si="108"/>
        <v>3.1396366399860249</v>
      </c>
    </row>
    <row r="1409" spans="1:8" x14ac:dyDescent="0.25">
      <c r="A1409" s="13">
        <v>42310</v>
      </c>
      <c r="B1409">
        <v>721.10998500000005</v>
      </c>
      <c r="C1409" s="12">
        <v>1.4490492577455383E-2</v>
      </c>
      <c r="D1409" s="12">
        <f t="shared" si="105"/>
        <v>-1.14590210454442E-4</v>
      </c>
      <c r="E1409" s="11">
        <f t="shared" si="106"/>
        <v>1.4605082787909824E-2</v>
      </c>
      <c r="F1409">
        <f t="shared" si="109"/>
        <v>1.4895268208647875E-2</v>
      </c>
      <c r="G1409">
        <f t="shared" si="107"/>
        <v>0.98051828159968446</v>
      </c>
      <c r="H1409">
        <f t="shared" si="108"/>
        <v>2.8070651028758515</v>
      </c>
    </row>
    <row r="1410" spans="1:8" x14ac:dyDescent="0.25">
      <c r="A1410" s="13">
        <v>42311</v>
      </c>
      <c r="B1410">
        <v>722.15997300000004</v>
      </c>
      <c r="C1410" s="12">
        <v>1.4560719194589566E-3</v>
      </c>
      <c r="D1410" s="12">
        <f t="shared" si="105"/>
        <v>1.9726128293091831E-4</v>
      </c>
      <c r="E1410" s="11">
        <f t="shared" si="106"/>
        <v>1.2588106365280384E-3</v>
      </c>
      <c r="F1410">
        <f t="shared" si="109"/>
        <v>1.6131405806646699E-2</v>
      </c>
      <c r="G1410">
        <f t="shared" si="107"/>
        <v>7.803477586617806E-2</v>
      </c>
      <c r="H1410">
        <f t="shared" si="108"/>
        <v>3.2050039895330538</v>
      </c>
    </row>
    <row r="1411" spans="1:8" x14ac:dyDescent="0.25">
      <c r="A1411" s="13">
        <v>42312</v>
      </c>
      <c r="B1411">
        <v>728.10998500000005</v>
      </c>
      <c r="C1411" s="12">
        <v>8.2391882996262211E-3</v>
      </c>
      <c r="D1411" s="12">
        <f t="shared" si="105"/>
        <v>5.9262761513087387E-5</v>
      </c>
      <c r="E1411" s="11">
        <f t="shared" si="106"/>
        <v>8.1799255381131333E-3</v>
      </c>
      <c r="F1411">
        <f t="shared" si="109"/>
        <v>1.4330591433594881E-2</v>
      </c>
      <c r="G1411">
        <f t="shared" si="107"/>
        <v>0.57080167109761559</v>
      </c>
      <c r="H1411">
        <f t="shared" si="108"/>
        <v>3.163512958517972</v>
      </c>
    </row>
    <row r="1412" spans="1:8" x14ac:dyDescent="0.25">
      <c r="A1412" s="13">
        <v>42313</v>
      </c>
      <c r="B1412">
        <v>731.25</v>
      </c>
      <c r="C1412" s="12">
        <v>4.3125558839849365E-3</v>
      </c>
      <c r="D1412" s="12">
        <f t="shared" si="105"/>
        <v>1.2835710495351656E-4</v>
      </c>
      <c r="E1412" s="11">
        <f t="shared" si="106"/>
        <v>4.1841987790314202E-3</v>
      </c>
      <c r="F1412">
        <f t="shared" si="109"/>
        <v>1.4821766926231942E-2</v>
      </c>
      <c r="G1412">
        <f t="shared" si="107"/>
        <v>0.28230094292105745</v>
      </c>
      <c r="H1412">
        <f t="shared" si="108"/>
        <v>3.2528729960376652</v>
      </c>
    </row>
    <row r="1413" spans="1:8" x14ac:dyDescent="0.25">
      <c r="A1413" s="13">
        <v>42314</v>
      </c>
      <c r="B1413">
        <v>733.76000999999997</v>
      </c>
      <c r="C1413" s="12">
        <v>3.4324923076922698E-3</v>
      </c>
      <c r="D1413" s="12">
        <f t="shared" si="105"/>
        <v>8.6400480547593891E-5</v>
      </c>
      <c r="E1413" s="11">
        <f t="shared" si="106"/>
        <v>3.3460918271446759E-3</v>
      </c>
      <c r="F1413">
        <f t="shared" si="109"/>
        <v>1.4351962599179565E-2</v>
      </c>
      <c r="G1413">
        <f t="shared" si="107"/>
        <v>0.23314524435396428</v>
      </c>
      <c r="H1413">
        <f t="shared" si="108"/>
        <v>3.2977516939477338</v>
      </c>
    </row>
    <row r="1414" spans="1:8" x14ac:dyDescent="0.25">
      <c r="A1414" s="13">
        <v>42317</v>
      </c>
      <c r="B1414">
        <v>724.89001499999995</v>
      </c>
      <c r="C1414" s="12">
        <v>-1.2088414303199735E-2</v>
      </c>
      <c r="D1414" s="12">
        <f t="shared" ref="D1414:D1477" si="110">+C1413*$K$11+C1412*$K$10</f>
        <v>6.2998473385407814E-5</v>
      </c>
      <c r="E1414" s="11">
        <f t="shared" ref="E1414:E1477" si="111">C1414-D1414</f>
        <v>-1.2151412776585142E-2</v>
      </c>
      <c r="F1414">
        <f t="shared" si="109"/>
        <v>1.4251607724280564E-2</v>
      </c>
      <c r="G1414">
        <f t="shared" ref="G1414:G1477" si="112">E1414/F1414</f>
        <v>-0.85263452458649247</v>
      </c>
      <c r="H1414">
        <f t="shared" ref="H1414:H1477" si="113">1/2*(-LN(PI()*2)-2*LN(F1414)-(E1414/F1414)^2)</f>
        <v>2.9684542064118657</v>
      </c>
    </row>
    <row r="1415" spans="1:8" x14ac:dyDescent="0.25">
      <c r="A1415" s="13">
        <v>42318</v>
      </c>
      <c r="B1415">
        <v>728.32000700000003</v>
      </c>
      <c r="C1415" s="12">
        <v>4.7317412697429617E-3</v>
      </c>
      <c r="D1415" s="12">
        <f t="shared" si="110"/>
        <v>-1.7401192689105575E-4</v>
      </c>
      <c r="E1415" s="11">
        <f t="shared" si="111"/>
        <v>4.9057531966340178E-3</v>
      </c>
      <c r="F1415">
        <f t="shared" ref="F1415:F1478" si="114">SQRT($K$6+$K$7*G1414^2+$K$8*F1414^2)</f>
        <v>1.5622168532599481E-2</v>
      </c>
      <c r="G1415">
        <f t="shared" si="112"/>
        <v>0.31402511030379437</v>
      </c>
      <c r="H1415">
        <f t="shared" si="113"/>
        <v>3.1908198955392022</v>
      </c>
    </row>
    <row r="1416" spans="1:8" x14ac:dyDescent="0.25">
      <c r="A1416" s="13">
        <v>42319</v>
      </c>
      <c r="B1416">
        <v>735.40002400000003</v>
      </c>
      <c r="C1416" s="12">
        <v>9.721025005427375E-3</v>
      </c>
      <c r="D1416" s="12">
        <f t="shared" si="110"/>
        <v>4.04991713873469E-5</v>
      </c>
      <c r="E1416" s="11">
        <f t="shared" si="111"/>
        <v>9.6805258340400286E-3</v>
      </c>
      <c r="F1416">
        <f t="shared" si="114"/>
        <v>1.4473459918381641E-2</v>
      </c>
      <c r="G1416">
        <f t="shared" si="112"/>
        <v>0.66884669516689155</v>
      </c>
      <c r="H1416">
        <f t="shared" si="113"/>
        <v>3.0928221731277472</v>
      </c>
    </row>
    <row r="1417" spans="1:8" x14ac:dyDescent="0.25">
      <c r="A1417" s="13">
        <v>42320</v>
      </c>
      <c r="B1417">
        <v>731.22997999999995</v>
      </c>
      <c r="C1417" s="12">
        <v>-5.6704431111088693E-3</v>
      </c>
      <c r="D1417" s="12">
        <f t="shared" si="110"/>
        <v>1.5918777861332044E-4</v>
      </c>
      <c r="E1417" s="11">
        <f t="shared" si="111"/>
        <v>-5.8296308897221897E-3</v>
      </c>
      <c r="F1417">
        <f t="shared" si="114"/>
        <v>1.5084054539952197E-2</v>
      </c>
      <c r="G1417">
        <f t="shared" si="112"/>
        <v>-0.3864763863244865</v>
      </c>
      <c r="H1417">
        <f t="shared" si="113"/>
        <v>3.2004965520460522</v>
      </c>
    </row>
    <row r="1418" spans="1:8" x14ac:dyDescent="0.25">
      <c r="A1418" s="13">
        <v>42321</v>
      </c>
      <c r="B1418">
        <v>717</v>
      </c>
      <c r="C1418" s="12">
        <v>-1.946033449011475E-2</v>
      </c>
      <c r="D1418" s="12">
        <f t="shared" si="110"/>
        <v>-6.0780853439610097E-5</v>
      </c>
      <c r="E1418" s="11">
        <f t="shared" si="111"/>
        <v>-1.939955363667514E-2</v>
      </c>
      <c r="F1418">
        <f t="shared" si="114"/>
        <v>1.4525925692524269E-2</v>
      </c>
      <c r="G1418">
        <f t="shared" si="112"/>
        <v>-1.3355123829842439</v>
      </c>
      <c r="H1418">
        <f t="shared" si="113"/>
        <v>2.4210850515353579</v>
      </c>
    </row>
    <row r="1419" spans="1:8" x14ac:dyDescent="0.25">
      <c r="A1419" s="13">
        <v>42324</v>
      </c>
      <c r="B1419">
        <v>728.96002199999998</v>
      </c>
      <c r="C1419" s="12">
        <v>1.6680644351464435E-2</v>
      </c>
      <c r="D1419" s="12">
        <f t="shared" si="110"/>
        <v>-3.089041022199566E-4</v>
      </c>
      <c r="E1419" s="11">
        <f t="shared" si="111"/>
        <v>1.6989548453684392E-2</v>
      </c>
      <c r="F1419">
        <f t="shared" si="114"/>
        <v>1.7594369730643628E-2</v>
      </c>
      <c r="G1419">
        <f t="shared" si="112"/>
        <v>0.9656241578289767</v>
      </c>
      <c r="H1419">
        <f t="shared" si="113"/>
        <v>2.655022789489327</v>
      </c>
    </row>
    <row r="1420" spans="1:8" x14ac:dyDescent="0.25">
      <c r="A1420" s="13">
        <v>42325</v>
      </c>
      <c r="B1420">
        <v>725.29998799999998</v>
      </c>
      <c r="C1420" s="12">
        <v>-5.0208981144922449E-3</v>
      </c>
      <c r="D1420" s="12">
        <f t="shared" si="110"/>
        <v>2.0227682054993961E-4</v>
      </c>
      <c r="E1420" s="11">
        <f t="shared" si="111"/>
        <v>-5.2231749350421849E-3</v>
      </c>
      <c r="F1420">
        <f t="shared" si="114"/>
        <v>1.6336385087707975E-2</v>
      </c>
      <c r="G1420">
        <f t="shared" si="112"/>
        <v>-0.31972648214397631</v>
      </c>
      <c r="H1420">
        <f t="shared" si="113"/>
        <v>3.144309399991108</v>
      </c>
    </row>
    <row r="1421" spans="1:8" x14ac:dyDescent="0.25">
      <c r="A1421" s="13">
        <v>42326</v>
      </c>
      <c r="B1421">
        <v>740</v>
      </c>
      <c r="C1421" s="12">
        <v>2.0267492407569199E-2</v>
      </c>
      <c r="D1421" s="12">
        <f t="shared" si="110"/>
        <v>-3.3070675955934747E-5</v>
      </c>
      <c r="E1421" s="11">
        <f t="shared" si="111"/>
        <v>2.0300563083525132E-2</v>
      </c>
      <c r="F1421">
        <f t="shared" si="114"/>
        <v>1.4556685433597586E-2</v>
      </c>
      <c r="G1421">
        <f t="shared" si="112"/>
        <v>1.3945869185762836</v>
      </c>
      <c r="H1421">
        <f t="shared" si="113"/>
        <v>2.3383300409841712</v>
      </c>
    </row>
    <row r="1422" spans="1:8" x14ac:dyDescent="0.25">
      <c r="A1422" s="13">
        <v>42327</v>
      </c>
      <c r="B1422">
        <v>738.40997300000004</v>
      </c>
      <c r="C1422" s="12">
        <v>-2.1486851351351088E-3</v>
      </c>
      <c r="D1422" s="12">
        <f t="shared" si="110"/>
        <v>2.9363566485344106E-4</v>
      </c>
      <c r="E1422" s="11">
        <f t="shared" si="111"/>
        <v>-2.4423207999885498E-3</v>
      </c>
      <c r="F1422">
        <f t="shared" si="114"/>
        <v>1.7875439170917537E-2</v>
      </c>
      <c r="G1422">
        <f t="shared" si="112"/>
        <v>-0.13662997460571968</v>
      </c>
      <c r="H1422">
        <f t="shared" si="113"/>
        <v>3.0960552135164461</v>
      </c>
    </row>
    <row r="1423" spans="1:8" x14ac:dyDescent="0.25">
      <c r="A1423" s="13">
        <v>42328</v>
      </c>
      <c r="B1423">
        <v>756.59997599999997</v>
      </c>
      <c r="C1423" s="12">
        <v>2.4634015878872706E-2</v>
      </c>
      <c r="D1423" s="12">
        <f t="shared" si="110"/>
        <v>1.9588706729402034E-5</v>
      </c>
      <c r="E1423" s="11">
        <f t="shared" si="111"/>
        <v>2.4614427172143304E-2</v>
      </c>
      <c r="F1423">
        <f t="shared" si="114"/>
        <v>1.4554695250882736E-2</v>
      </c>
      <c r="G1423">
        <f t="shared" si="112"/>
        <v>1.6911674719297507</v>
      </c>
      <c r="H1423">
        <f t="shared" si="113"/>
        <v>1.8808793975038494</v>
      </c>
    </row>
    <row r="1424" spans="1:8" x14ac:dyDescent="0.25">
      <c r="A1424" s="13">
        <v>42331</v>
      </c>
      <c r="B1424">
        <v>755.97997999999995</v>
      </c>
      <c r="C1424" s="12">
        <v>-8.1945019781504147E-4</v>
      </c>
      <c r="D1424" s="12">
        <f t="shared" si="110"/>
        <v>3.6705941599874726E-4</v>
      </c>
      <c r="E1424" s="11">
        <f t="shared" si="111"/>
        <v>-1.1865096138137887E-3</v>
      </c>
      <c r="F1424">
        <f t="shared" si="114"/>
        <v>1.9380639545713681E-2</v>
      </c>
      <c r="G1424">
        <f t="shared" si="112"/>
        <v>-6.122138596175497E-2</v>
      </c>
      <c r="H1424">
        <f t="shared" si="113"/>
        <v>3.0226681105149793</v>
      </c>
    </row>
    <row r="1425" spans="1:8" x14ac:dyDescent="0.25">
      <c r="A1425" s="13">
        <v>42332</v>
      </c>
      <c r="B1425">
        <v>748.28002900000001</v>
      </c>
      <c r="C1425" s="12">
        <v>-1.0185390094589519E-2</v>
      </c>
      <c r="D1425" s="12">
        <f t="shared" si="110"/>
        <v>5.0914791886859662E-5</v>
      </c>
      <c r="E1425" s="11">
        <f t="shared" si="111"/>
        <v>-1.0236304886476378E-2</v>
      </c>
      <c r="F1425">
        <f t="shared" si="114"/>
        <v>1.4707707385378214E-2</v>
      </c>
      <c r="G1425">
        <f t="shared" si="112"/>
        <v>-0.69598235933445907</v>
      </c>
      <c r="H1425">
        <f t="shared" si="113"/>
        <v>3.0582493552133769</v>
      </c>
    </row>
    <row r="1426" spans="1:8" x14ac:dyDescent="0.25">
      <c r="A1426" s="13">
        <v>42333</v>
      </c>
      <c r="B1426">
        <v>748.15002400000003</v>
      </c>
      <c r="C1426" s="12">
        <v>-1.7373843342272099E-4</v>
      </c>
      <c r="D1426" s="12">
        <f t="shared" si="110"/>
        <v>-1.5615667440519655E-4</v>
      </c>
      <c r="E1426" s="11">
        <f t="shared" si="111"/>
        <v>-1.7581759017524444E-5</v>
      </c>
      <c r="F1426">
        <f t="shared" si="114"/>
        <v>1.5180762027221462E-2</v>
      </c>
      <c r="G1426">
        <f t="shared" si="112"/>
        <v>-1.1581605051180976E-3</v>
      </c>
      <c r="H1426">
        <f t="shared" si="113"/>
        <v>3.2687871049803481</v>
      </c>
    </row>
    <row r="1427" spans="1:8" x14ac:dyDescent="0.25">
      <c r="A1427" s="13">
        <v>42335</v>
      </c>
      <c r="B1427">
        <v>750.26000999999997</v>
      </c>
      <c r="C1427" s="12">
        <v>2.8202712454901135E-3</v>
      </c>
      <c r="D1427" s="12">
        <f t="shared" si="110"/>
        <v>-2.8803895712244625E-5</v>
      </c>
      <c r="E1427" s="11">
        <f t="shared" si="111"/>
        <v>2.8490751412023584E-3</v>
      </c>
      <c r="F1427">
        <f t="shared" si="114"/>
        <v>1.4217268921188487E-2</v>
      </c>
      <c r="G1427">
        <f t="shared" si="112"/>
        <v>0.20039538936738288</v>
      </c>
      <c r="H1427">
        <f t="shared" si="113"/>
        <v>3.3142802427963574</v>
      </c>
    </row>
    <row r="1428" spans="1:8" x14ac:dyDescent="0.25">
      <c r="A1428" s="13">
        <v>42338</v>
      </c>
      <c r="B1428">
        <v>742.59997599999997</v>
      </c>
      <c r="C1428" s="12">
        <v>-1.0209839119640685E-2</v>
      </c>
      <c r="D1428" s="12">
        <f t="shared" si="110"/>
        <v>4.2209182171068055E-5</v>
      </c>
      <c r="E1428" s="11">
        <f t="shared" si="111"/>
        <v>-1.0252048301811752E-2</v>
      </c>
      <c r="F1428">
        <f t="shared" si="114"/>
        <v>1.4208034090862832E-2</v>
      </c>
      <c r="G1428">
        <f t="shared" si="112"/>
        <v>-0.7215669835987254</v>
      </c>
      <c r="H1428">
        <f t="shared" si="113"/>
        <v>3.0746797042074414</v>
      </c>
    </row>
    <row r="1429" spans="1:8" x14ac:dyDescent="0.25">
      <c r="A1429" s="13">
        <v>42339</v>
      </c>
      <c r="B1429">
        <v>767.03997800000002</v>
      </c>
      <c r="C1429" s="12">
        <v>3.2911396161962703E-2</v>
      </c>
      <c r="D1429" s="12">
        <f t="shared" si="110"/>
        <v>-1.4717247894232842E-4</v>
      </c>
      <c r="E1429" s="11">
        <f t="shared" si="111"/>
        <v>3.3058568640905034E-2</v>
      </c>
      <c r="F1429">
        <f t="shared" si="114"/>
        <v>1.5208184353656727E-2</v>
      </c>
      <c r="G1429">
        <f t="shared" si="112"/>
        <v>2.1737353961622827</v>
      </c>
      <c r="H1429">
        <f t="shared" si="113"/>
        <v>0.90442023225044244</v>
      </c>
    </row>
    <row r="1430" spans="1:8" x14ac:dyDescent="0.25">
      <c r="A1430" s="13">
        <v>42340</v>
      </c>
      <c r="B1430">
        <v>762.38000499999998</v>
      </c>
      <c r="C1430" s="12">
        <v>-6.0752674354087599E-3</v>
      </c>
      <c r="D1430" s="12">
        <f t="shared" si="110"/>
        <v>4.715351665140316E-4</v>
      </c>
      <c r="E1430" s="11">
        <f t="shared" si="111"/>
        <v>-6.5468026019227911E-3</v>
      </c>
      <c r="F1430">
        <f t="shared" si="114"/>
        <v>2.2175985898993091E-2</v>
      </c>
      <c r="G1430">
        <f t="shared" si="112"/>
        <v>-0.29522036277178781</v>
      </c>
      <c r="H1430">
        <f t="shared" si="113"/>
        <v>2.8462292273405372</v>
      </c>
    </row>
    <row r="1431" spans="1:8" x14ac:dyDescent="0.25">
      <c r="A1431" s="13">
        <v>42341</v>
      </c>
      <c r="B1431">
        <v>752.53997800000002</v>
      </c>
      <c r="C1431" s="12">
        <v>-1.2906984621140483E-2</v>
      </c>
      <c r="D1431" s="12">
        <f t="shared" si="110"/>
        <v>-7.3051053776440822E-6</v>
      </c>
      <c r="E1431" s="11">
        <f t="shared" si="111"/>
        <v>-1.2899679515762839E-2</v>
      </c>
      <c r="F1431">
        <f t="shared" si="114"/>
        <v>1.5251134080436482E-2</v>
      </c>
      <c r="G1431">
        <f t="shared" si="112"/>
        <v>-0.84581772396257471</v>
      </c>
      <c r="H1431">
        <f t="shared" si="113"/>
        <v>2.9064590684741765</v>
      </c>
    </row>
    <row r="1432" spans="1:8" x14ac:dyDescent="0.25">
      <c r="A1432" s="13">
        <v>42342</v>
      </c>
      <c r="B1432">
        <v>766.80999799999995</v>
      </c>
      <c r="C1432" s="12">
        <v>1.8962474309903055E-2</v>
      </c>
      <c r="D1432" s="12">
        <f t="shared" si="110"/>
        <v>-2.1082720460464697E-4</v>
      </c>
      <c r="E1432" s="11">
        <f t="shared" si="111"/>
        <v>1.9173301514507701E-2</v>
      </c>
      <c r="F1432">
        <f t="shared" si="114"/>
        <v>1.5690058403221817E-2</v>
      </c>
      <c r="G1432">
        <f t="shared" si="112"/>
        <v>1.2220031960219238</v>
      </c>
      <c r="H1432">
        <f t="shared" si="113"/>
        <v>2.4891435511742133</v>
      </c>
    </row>
    <row r="1433" spans="1:8" x14ac:dyDescent="0.25">
      <c r="A1433" s="13">
        <v>42345</v>
      </c>
      <c r="B1433">
        <v>763.25</v>
      </c>
      <c r="C1433" s="12">
        <v>-4.6426076984978915E-3</v>
      </c>
      <c r="D1433" s="12">
        <f t="shared" si="110"/>
        <v>2.5363067614338859E-4</v>
      </c>
      <c r="E1433" s="11">
        <f t="shared" si="111"/>
        <v>-4.8962383746412805E-3</v>
      </c>
      <c r="F1433">
        <f t="shared" si="114"/>
        <v>1.7180039326168791E-2</v>
      </c>
      <c r="G1433">
        <f t="shared" si="112"/>
        <v>-0.28499576058497644</v>
      </c>
      <c r="H1433">
        <f t="shared" si="113"/>
        <v>3.1044572483814026</v>
      </c>
    </row>
    <row r="1434" spans="1:8" x14ac:dyDescent="0.25">
      <c r="A1434" s="13">
        <v>42346</v>
      </c>
      <c r="B1434">
        <v>762.36999500000002</v>
      </c>
      <c r="C1434" s="12">
        <v>-1.1529708483458689E-3</v>
      </c>
      <c r="D1434" s="12">
        <f t="shared" si="110"/>
        <v>-2.1484919397299639E-5</v>
      </c>
      <c r="E1434" s="11">
        <f t="shared" si="111"/>
        <v>-1.1314859289485693E-3</v>
      </c>
      <c r="F1434">
        <f t="shared" si="114"/>
        <v>1.4605777948699753E-2</v>
      </c>
      <c r="G1434">
        <f t="shared" si="112"/>
        <v>-7.7468378125610041E-2</v>
      </c>
      <c r="H1434">
        <f t="shared" si="113"/>
        <v>3.3043988706358669</v>
      </c>
    </row>
    <row r="1435" spans="1:8" x14ac:dyDescent="0.25">
      <c r="A1435" s="13">
        <v>42347</v>
      </c>
      <c r="B1435">
        <v>751.60998500000005</v>
      </c>
      <c r="C1435" s="12">
        <v>-1.4113894920536496E-2</v>
      </c>
      <c r="D1435" s="12">
        <f t="shared" si="110"/>
        <v>-2.9369676656426358E-5</v>
      </c>
      <c r="E1435" s="11">
        <f t="shared" si="111"/>
        <v>-1.4084525243880069E-2</v>
      </c>
      <c r="F1435">
        <f t="shared" si="114"/>
        <v>1.4172216132927426E-2</v>
      </c>
      <c r="G1435">
        <f t="shared" si="112"/>
        <v>-0.99381247871011391</v>
      </c>
      <c r="H1435">
        <f t="shared" si="113"/>
        <v>2.8437016867700633</v>
      </c>
    </row>
    <row r="1436" spans="1:8" x14ac:dyDescent="0.25">
      <c r="A1436" s="13">
        <v>42348</v>
      </c>
      <c r="B1436">
        <v>749.46002199999998</v>
      </c>
      <c r="C1436" s="12">
        <v>-2.8604769001306929E-3</v>
      </c>
      <c r="D1436" s="12">
        <f t="shared" si="110"/>
        <v>-2.1643117008219551E-4</v>
      </c>
      <c r="E1436" s="11">
        <f t="shared" si="111"/>
        <v>-2.6440457300484976E-3</v>
      </c>
      <c r="F1436">
        <f t="shared" si="114"/>
        <v>1.6118620852087616E-2</v>
      </c>
      <c r="G1436">
        <f t="shared" si="112"/>
        <v>-0.16403672214338685</v>
      </c>
      <c r="H1436">
        <f t="shared" si="113"/>
        <v>3.1953875443346673</v>
      </c>
    </row>
    <row r="1437" spans="1:8" x14ac:dyDescent="0.25">
      <c r="A1437" s="13">
        <v>42349</v>
      </c>
      <c r="B1437">
        <v>738.86999500000002</v>
      </c>
      <c r="C1437" s="12">
        <v>-1.4130209336235877E-2</v>
      </c>
      <c r="D1437" s="12">
        <f t="shared" si="110"/>
        <v>-7.9536084776537223E-5</v>
      </c>
      <c r="E1437" s="11">
        <f t="shared" si="111"/>
        <v>-1.4050673251459339E-2</v>
      </c>
      <c r="F1437">
        <f t="shared" si="114"/>
        <v>1.4373656704883235E-2</v>
      </c>
      <c r="G1437">
        <f t="shared" si="112"/>
        <v>-0.97752948605526613</v>
      </c>
      <c r="H1437">
        <f t="shared" si="113"/>
        <v>2.8456376620235395</v>
      </c>
    </row>
    <row r="1438" spans="1:8" x14ac:dyDescent="0.25">
      <c r="A1438" s="13">
        <v>42352</v>
      </c>
      <c r="B1438">
        <v>747.77002000000005</v>
      </c>
      <c r="C1438" s="12">
        <v>1.2045454626967267E-2</v>
      </c>
      <c r="D1438" s="12">
        <f t="shared" si="110"/>
        <v>-2.2106616155974165E-4</v>
      </c>
      <c r="E1438" s="11">
        <f t="shared" si="111"/>
        <v>1.2266520788527009E-2</v>
      </c>
      <c r="F1438">
        <f t="shared" si="114"/>
        <v>1.607469189452377E-2</v>
      </c>
      <c r="G1438">
        <f t="shared" si="112"/>
        <v>0.76309523498275533</v>
      </c>
      <c r="H1438">
        <f t="shared" si="113"/>
        <v>2.9204134737589054</v>
      </c>
    </row>
    <row r="1439" spans="1:8" x14ac:dyDescent="0.25">
      <c r="A1439" s="13">
        <v>42353</v>
      </c>
      <c r="B1439">
        <v>743.40002400000003</v>
      </c>
      <c r="C1439" s="12">
        <v>-5.8440374488402114E-3</v>
      </c>
      <c r="D1439" s="12">
        <f t="shared" si="110"/>
        <v>1.4586935190181394E-4</v>
      </c>
      <c r="E1439" s="11">
        <f t="shared" si="111"/>
        <v>-5.9899068007420253E-3</v>
      </c>
      <c r="F1439">
        <f t="shared" si="114"/>
        <v>1.5508135140212143E-2</v>
      </c>
      <c r="G1439">
        <f t="shared" si="112"/>
        <v>-0.38624288133847706</v>
      </c>
      <c r="H1439">
        <f t="shared" si="113"/>
        <v>3.1728602300887268</v>
      </c>
    </row>
    <row r="1440" spans="1:8" x14ac:dyDescent="0.25">
      <c r="A1440" s="13">
        <v>42354</v>
      </c>
      <c r="B1440">
        <v>758.09002699999996</v>
      </c>
      <c r="C1440" s="12">
        <v>1.9760562988628383E-2</v>
      </c>
      <c r="D1440" s="12">
        <f t="shared" si="110"/>
        <v>-5.7432694304728865E-5</v>
      </c>
      <c r="E1440" s="11">
        <f t="shared" si="111"/>
        <v>1.9817995682933111E-2</v>
      </c>
      <c r="F1440">
        <f t="shared" si="114"/>
        <v>1.4568419564036887E-2</v>
      </c>
      <c r="G1440">
        <f t="shared" si="112"/>
        <v>1.3603394380441343</v>
      </c>
      <c r="H1440">
        <f t="shared" si="113"/>
        <v>2.3846989100308296</v>
      </c>
    </row>
    <row r="1441" spans="1:8" x14ac:dyDescent="0.25">
      <c r="A1441" s="13">
        <v>42355</v>
      </c>
      <c r="B1441">
        <v>749.42999299999997</v>
      </c>
      <c r="C1441" s="12">
        <v>-1.1423490207713827E-2</v>
      </c>
      <c r="D1441" s="12">
        <f t="shared" si="110"/>
        <v>2.8385307801570033E-4</v>
      </c>
      <c r="E1441" s="11">
        <f t="shared" si="111"/>
        <v>-1.1707343285729527E-2</v>
      </c>
      <c r="F1441">
        <f t="shared" si="114"/>
        <v>1.7713901418794257E-2</v>
      </c>
      <c r="G1441">
        <f t="shared" si="112"/>
        <v>-0.6609127491986696</v>
      </c>
      <c r="H1441">
        <f t="shared" si="113"/>
        <v>2.8960641925367141</v>
      </c>
    </row>
    <row r="1442" spans="1:8" x14ac:dyDescent="0.25">
      <c r="A1442" s="13">
        <v>42356</v>
      </c>
      <c r="B1442">
        <v>739.30999799999995</v>
      </c>
      <c r="C1442" s="12">
        <v>-1.3503589520735937E-2</v>
      </c>
      <c r="D1442" s="12">
        <f t="shared" si="110"/>
        <v>-1.2199249612641861E-4</v>
      </c>
      <c r="E1442" s="11">
        <f t="shared" si="111"/>
        <v>-1.3381597024609518E-2</v>
      </c>
      <c r="F1442">
        <f t="shared" si="114"/>
        <v>1.5391899883126033E-2</v>
      </c>
      <c r="G1442">
        <f t="shared" si="112"/>
        <v>-0.86939215601834918</v>
      </c>
      <c r="H1442">
        <f t="shared" si="113"/>
        <v>2.8770539958768109</v>
      </c>
    </row>
    <row r="1443" spans="1:8" x14ac:dyDescent="0.25">
      <c r="A1443" s="13">
        <v>42359</v>
      </c>
      <c r="B1443">
        <v>747.77002000000005</v>
      </c>
      <c r="C1443" s="12">
        <v>1.1443132140626311E-2</v>
      </c>
      <c r="D1443" s="12">
        <f t="shared" si="110"/>
        <v>-2.3359543768146127E-4</v>
      </c>
      <c r="E1443" s="11">
        <f t="shared" si="111"/>
        <v>1.1676727578307773E-2</v>
      </c>
      <c r="F1443">
        <f t="shared" si="114"/>
        <v>1.5781970693632619E-2</v>
      </c>
      <c r="G1443">
        <f t="shared" si="112"/>
        <v>0.73987766198418148</v>
      </c>
      <c r="H1443">
        <f t="shared" si="113"/>
        <v>2.9562390752776464</v>
      </c>
    </row>
    <row r="1444" spans="1:8" x14ac:dyDescent="0.25">
      <c r="A1444" s="13">
        <v>42360</v>
      </c>
      <c r="B1444">
        <v>750</v>
      </c>
      <c r="C1444" s="12">
        <v>2.9821735832629148E-3</v>
      </c>
      <c r="D1444" s="12">
        <f t="shared" si="110"/>
        <v>1.3836981511163807E-4</v>
      </c>
      <c r="E1444" s="11">
        <f t="shared" si="111"/>
        <v>2.8438037681512767E-3</v>
      </c>
      <c r="F1444">
        <f t="shared" si="114"/>
        <v>1.5409971164645262E-2</v>
      </c>
      <c r="G1444">
        <f t="shared" si="112"/>
        <v>0.18454309471232169</v>
      </c>
      <c r="H1444">
        <f t="shared" si="113"/>
        <v>3.2367738907547503</v>
      </c>
    </row>
    <row r="1445" spans="1:8" x14ac:dyDescent="0.25">
      <c r="A1445" s="13">
        <v>42361</v>
      </c>
      <c r="B1445">
        <v>750.30999799999995</v>
      </c>
      <c r="C1445" s="12">
        <v>4.1333066666671137E-4</v>
      </c>
      <c r="D1445" s="12">
        <f t="shared" si="110"/>
        <v>7.4512924285736104E-5</v>
      </c>
      <c r="E1445" s="11">
        <f t="shared" si="111"/>
        <v>3.3881774238097526E-4</v>
      </c>
      <c r="F1445">
        <f t="shared" si="114"/>
        <v>1.4314043238333445E-2</v>
      </c>
      <c r="G1445">
        <f t="shared" si="112"/>
        <v>2.367030312397066E-2</v>
      </c>
      <c r="H1445">
        <f t="shared" si="113"/>
        <v>3.3272955041382799</v>
      </c>
    </row>
    <row r="1446" spans="1:8" x14ac:dyDescent="0.25">
      <c r="A1446" s="13">
        <v>42362</v>
      </c>
      <c r="B1446">
        <v>748.40002400000003</v>
      </c>
      <c r="C1446" s="12">
        <v>-2.5455798337901125E-3</v>
      </c>
      <c r="D1446" s="12">
        <f t="shared" si="110"/>
        <v>1.3915591841881887E-5</v>
      </c>
      <c r="E1446" s="11">
        <f t="shared" si="111"/>
        <v>-2.5594954256319942E-3</v>
      </c>
      <c r="F1446">
        <f t="shared" si="114"/>
        <v>1.4131775371203716E-2</v>
      </c>
      <c r="G1446">
        <f t="shared" si="112"/>
        <v>-0.18111633948325218</v>
      </c>
      <c r="H1446">
        <f t="shared" si="113"/>
        <v>3.3239893472394266</v>
      </c>
    </row>
    <row r="1447" spans="1:8" x14ac:dyDescent="0.25">
      <c r="A1447" s="13">
        <v>42366</v>
      </c>
      <c r="B1447">
        <v>762.51000999999997</v>
      </c>
      <c r="C1447" s="12">
        <v>1.8853534937887551E-2</v>
      </c>
      <c r="D1447" s="12">
        <f t="shared" si="110"/>
        <v>-3.7438818827033226E-5</v>
      </c>
      <c r="E1447" s="11">
        <f t="shared" si="111"/>
        <v>1.8890973756714585E-2</v>
      </c>
      <c r="F1447">
        <f t="shared" si="114"/>
        <v>1.4183950906918411E-2</v>
      </c>
      <c r="G1447">
        <f t="shared" si="112"/>
        <v>1.3318555514387929</v>
      </c>
      <c r="H1447">
        <f t="shared" si="113"/>
        <v>2.449786033221546</v>
      </c>
    </row>
    <row r="1448" spans="1:8" x14ac:dyDescent="0.25">
      <c r="A1448" s="13">
        <v>42367</v>
      </c>
      <c r="B1448">
        <v>776.59997599999997</v>
      </c>
      <c r="C1448" s="12">
        <v>1.8478401352396645E-2</v>
      </c>
      <c r="D1448" s="12">
        <f t="shared" si="110"/>
        <v>2.7861151470401216E-4</v>
      </c>
      <c r="E1448" s="11">
        <f t="shared" si="111"/>
        <v>1.8199789837692631E-2</v>
      </c>
      <c r="F1448">
        <f t="shared" si="114"/>
        <v>1.7550501586975038E-2</v>
      </c>
      <c r="G1448">
        <f t="shared" si="112"/>
        <v>1.0369954241763357</v>
      </c>
      <c r="H1448">
        <f t="shared" si="113"/>
        <v>2.5860544609382554</v>
      </c>
    </row>
    <row r="1449" spans="1:8" x14ac:dyDescent="0.25">
      <c r="A1449" s="13">
        <v>42368</v>
      </c>
      <c r="B1449">
        <v>771</v>
      </c>
      <c r="C1449" s="12">
        <v>-7.2108887111270725E-3</v>
      </c>
      <c r="D1449" s="12">
        <f t="shared" si="110"/>
        <v>3.2793284834352668E-4</v>
      </c>
      <c r="E1449" s="11">
        <f t="shared" si="111"/>
        <v>-7.5388215594705994E-3</v>
      </c>
      <c r="F1449">
        <f t="shared" si="114"/>
        <v>1.6597837190668711E-2</v>
      </c>
      <c r="G1449">
        <f t="shared" si="112"/>
        <v>-0.45420505532545641</v>
      </c>
      <c r="H1449">
        <f t="shared" si="113"/>
        <v>3.0763932324805614</v>
      </c>
    </row>
    <row r="1450" spans="1:8" x14ac:dyDescent="0.25">
      <c r="A1450" s="13">
        <v>42369</v>
      </c>
      <c r="B1450">
        <v>758.88000499999998</v>
      </c>
      <c r="C1450" s="12">
        <v>-1.5719837872892328E-2</v>
      </c>
      <c r="D1450" s="12">
        <f t="shared" si="110"/>
        <v>-6.1573387569164114E-5</v>
      </c>
      <c r="E1450" s="11">
        <f t="shared" si="111"/>
        <v>-1.5658264485323165E-2</v>
      </c>
      <c r="F1450">
        <f t="shared" si="114"/>
        <v>1.4802129044747066E-2</v>
      </c>
      <c r="G1450">
        <f t="shared" si="112"/>
        <v>-1.0578386688825634</v>
      </c>
      <c r="H1450">
        <f t="shared" si="113"/>
        <v>2.7345343962870245</v>
      </c>
    </row>
    <row r="1451" spans="1:8" x14ac:dyDescent="0.25">
      <c r="A1451" s="13">
        <v>42373</v>
      </c>
      <c r="B1451">
        <v>741.84002699999996</v>
      </c>
      <c r="C1451" s="12">
        <v>-2.245411380946849E-2</v>
      </c>
      <c r="D1451" s="12">
        <f t="shared" si="110"/>
        <v>-2.5628920867853565E-4</v>
      </c>
      <c r="E1451" s="11">
        <f t="shared" si="111"/>
        <v>-2.2197824600789954E-2</v>
      </c>
      <c r="F1451">
        <f t="shared" si="114"/>
        <v>1.6419948213555455E-2</v>
      </c>
      <c r="G1451">
        <f t="shared" si="112"/>
        <v>-1.3518815231380927</v>
      </c>
      <c r="H1451">
        <f t="shared" si="113"/>
        <v>2.276527969320929</v>
      </c>
    </row>
    <row r="1452" spans="1:8" x14ac:dyDescent="0.25">
      <c r="A1452" s="13">
        <v>42374</v>
      </c>
      <c r="B1452">
        <v>742.580017</v>
      </c>
      <c r="C1452" s="12">
        <v>9.9750616449290064E-4</v>
      </c>
      <c r="D1452" s="12">
        <f t="shared" si="110"/>
        <v>-3.8001069466863697E-4</v>
      </c>
      <c r="E1452" s="11">
        <f t="shared" si="111"/>
        <v>1.3775168591615376E-3</v>
      </c>
      <c r="F1452">
        <f t="shared" si="114"/>
        <v>1.7829557599758187E-2</v>
      </c>
      <c r="G1452">
        <f t="shared" si="112"/>
        <v>7.7260293838149974E-2</v>
      </c>
      <c r="H1452">
        <f t="shared" si="113"/>
        <v>3.1049745498362382</v>
      </c>
    </row>
    <row r="1453" spans="1:8" x14ac:dyDescent="0.25">
      <c r="A1453" s="13">
        <v>42375</v>
      </c>
      <c r="B1453">
        <v>743.61999500000002</v>
      </c>
      <c r="C1453" s="12">
        <v>1.4004928441266884E-3</v>
      </c>
      <c r="D1453" s="12">
        <f t="shared" si="110"/>
        <v>-4.2619467953483281E-5</v>
      </c>
      <c r="E1453" s="11">
        <f t="shared" si="111"/>
        <v>1.4431123120801717E-3</v>
      </c>
      <c r="F1453">
        <f t="shared" si="114"/>
        <v>1.4522515344757285E-2</v>
      </c>
      <c r="G1453">
        <f t="shared" si="112"/>
        <v>9.9370685988026439E-2</v>
      </c>
      <c r="H1453">
        <f t="shared" si="113"/>
        <v>3.3081792516570654</v>
      </c>
    </row>
    <row r="1454" spans="1:8" x14ac:dyDescent="0.25">
      <c r="A1454" s="13">
        <v>42376</v>
      </c>
      <c r="B1454">
        <v>726.39001499999995</v>
      </c>
      <c r="C1454" s="12">
        <v>-2.317040977361029E-2</v>
      </c>
      <c r="D1454" s="12">
        <f t="shared" si="110"/>
        <v>2.3745560614617632E-5</v>
      </c>
      <c r="E1454" s="11">
        <f t="shared" si="111"/>
        <v>-2.3194155334224909E-2</v>
      </c>
      <c r="F1454">
        <f t="shared" si="114"/>
        <v>1.4172363119205689E-2</v>
      </c>
      <c r="G1454">
        <f t="shared" si="112"/>
        <v>-1.6365764226569479</v>
      </c>
      <c r="H1454">
        <f t="shared" si="113"/>
        <v>1.9983317432062886</v>
      </c>
    </row>
    <row r="1455" spans="1:8" x14ac:dyDescent="0.25">
      <c r="A1455" s="13">
        <v>42377</v>
      </c>
      <c r="B1455">
        <v>714.46997099999999</v>
      </c>
      <c r="C1455" s="12">
        <v>-1.6409977772064988E-2</v>
      </c>
      <c r="D1455" s="12">
        <f t="shared" si="110"/>
        <v>-3.4684568246845824E-4</v>
      </c>
      <c r="E1455" s="11">
        <f t="shared" si="111"/>
        <v>-1.6063132089596529E-2</v>
      </c>
      <c r="F1455">
        <f t="shared" si="114"/>
        <v>1.9063589033050138E-2</v>
      </c>
      <c r="G1455">
        <f t="shared" si="112"/>
        <v>-0.84260797175957891</v>
      </c>
      <c r="H1455">
        <f t="shared" si="113"/>
        <v>2.6860424664026414</v>
      </c>
    </row>
    <row r="1456" spans="1:8" x14ac:dyDescent="0.25">
      <c r="A1456" s="13">
        <v>42380</v>
      </c>
      <c r="B1456">
        <v>716.03002900000001</v>
      </c>
      <c r="C1456" s="12">
        <v>2.1835179410221173E-3</v>
      </c>
      <c r="D1456" s="12">
        <f t="shared" si="110"/>
        <v>-3.0774285839174382E-4</v>
      </c>
      <c r="E1456" s="11">
        <f t="shared" si="111"/>
        <v>2.491260799413861E-3</v>
      </c>
      <c r="F1456">
        <f t="shared" si="114"/>
        <v>1.6075580783248208E-2</v>
      </c>
      <c r="G1456">
        <f t="shared" si="112"/>
        <v>0.15497174459848539</v>
      </c>
      <c r="H1456">
        <f t="shared" si="113"/>
        <v>3.1995072258989561</v>
      </c>
    </row>
    <row r="1457" spans="1:8" x14ac:dyDescent="0.25">
      <c r="A1457" s="13">
        <v>42381</v>
      </c>
      <c r="B1457">
        <v>726.07000700000003</v>
      </c>
      <c r="C1457" s="12">
        <v>1.4021727571987164E-2</v>
      </c>
      <c r="D1457" s="12">
        <f t="shared" si="110"/>
        <v>-9.1481706475894984E-6</v>
      </c>
      <c r="E1457" s="11">
        <f t="shared" si="111"/>
        <v>1.4030875742634754E-2</v>
      </c>
      <c r="F1457">
        <f t="shared" si="114"/>
        <v>1.4362853654434318E-2</v>
      </c>
      <c r="G1457">
        <f t="shared" si="112"/>
        <v>0.97688635421714609</v>
      </c>
      <c r="H1457">
        <f t="shared" si="113"/>
        <v>2.8470180049186</v>
      </c>
    </row>
    <row r="1458" spans="1:8" x14ac:dyDescent="0.25">
      <c r="A1458" s="13">
        <v>42382</v>
      </c>
      <c r="B1458">
        <v>700.55999799999995</v>
      </c>
      <c r="C1458" s="12">
        <v>-3.5134365493767139E-2</v>
      </c>
      <c r="D1458" s="12">
        <f t="shared" si="110"/>
        <v>2.1768564519570298E-4</v>
      </c>
      <c r="E1458" s="11">
        <f t="shared" si="111"/>
        <v>-3.5352051138962844E-2</v>
      </c>
      <c r="F1458">
        <f t="shared" si="114"/>
        <v>1.6071367183345411E-2</v>
      </c>
      <c r="G1458">
        <f t="shared" si="112"/>
        <v>-2.199691584148348</v>
      </c>
      <c r="H1458">
        <f t="shared" si="113"/>
        <v>0.79245596021201603</v>
      </c>
    </row>
    <row r="1459" spans="1:8" x14ac:dyDescent="0.25">
      <c r="A1459" s="13">
        <v>42383</v>
      </c>
      <c r="B1459">
        <v>714.71997099999999</v>
      </c>
      <c r="C1459" s="12">
        <v>2.0212363024473046E-2</v>
      </c>
      <c r="D1459" s="12">
        <f t="shared" si="110"/>
        <v>-4.9536041109443131E-4</v>
      </c>
      <c r="E1459" s="11">
        <f t="shared" si="111"/>
        <v>2.0707723435567475E-2</v>
      </c>
      <c r="F1459">
        <f t="shared" si="114"/>
        <v>2.2390330512114136E-2</v>
      </c>
      <c r="G1459">
        <f t="shared" si="112"/>
        <v>0.9248511728919635</v>
      </c>
      <c r="H1459">
        <f t="shared" si="113"/>
        <v>2.4525127076808388</v>
      </c>
    </row>
    <row r="1460" spans="1:8" x14ac:dyDescent="0.25">
      <c r="A1460" s="13">
        <v>42384</v>
      </c>
      <c r="B1460">
        <v>694.45001200000002</v>
      </c>
      <c r="C1460" s="12">
        <v>-2.8360700445573483E-2</v>
      </c>
      <c r="D1460" s="12">
        <f t="shared" si="110"/>
        <v>2.1541110924031204E-4</v>
      </c>
      <c r="E1460" s="11">
        <f t="shared" si="111"/>
        <v>-2.8576111554813797E-2</v>
      </c>
      <c r="F1460">
        <f t="shared" si="114"/>
        <v>1.6750874676034089E-2</v>
      </c>
      <c r="G1460">
        <f t="shared" si="112"/>
        <v>-1.705947427073667</v>
      </c>
      <c r="H1460">
        <f t="shared" si="113"/>
        <v>1.7152379574354235</v>
      </c>
    </row>
    <row r="1461" spans="1:8" x14ac:dyDescent="0.25">
      <c r="A1461" s="13">
        <v>42388</v>
      </c>
      <c r="B1461">
        <v>701.78997800000002</v>
      </c>
      <c r="C1461" s="12">
        <v>1.0569466301629138E-2</v>
      </c>
      <c r="D1461" s="12">
        <f t="shared" si="110"/>
        <v>-3.7700117689857784E-4</v>
      </c>
      <c r="E1461" s="11">
        <f t="shared" si="111"/>
        <v>1.0946467478527715E-2</v>
      </c>
      <c r="F1461">
        <f t="shared" si="114"/>
        <v>1.9628972508651393E-2</v>
      </c>
      <c r="G1461">
        <f t="shared" si="112"/>
        <v>0.55766889854795521</v>
      </c>
      <c r="H1461">
        <f t="shared" si="113"/>
        <v>2.8563127815664768</v>
      </c>
    </row>
    <row r="1462" spans="1:8" x14ac:dyDescent="0.25">
      <c r="A1462" s="13">
        <v>42389</v>
      </c>
      <c r="B1462">
        <v>698.45001200000002</v>
      </c>
      <c r="C1462" s="12">
        <v>-4.7592101692851552E-3</v>
      </c>
      <c r="D1462" s="12">
        <f t="shared" si="110"/>
        <v>8.6973557495667451E-5</v>
      </c>
      <c r="E1462" s="11">
        <f t="shared" si="111"/>
        <v>-4.8461837267808226E-3</v>
      </c>
      <c r="F1462">
        <f t="shared" si="114"/>
        <v>1.5364786490844516E-2</v>
      </c>
      <c r="G1462">
        <f t="shared" si="112"/>
        <v>-0.31540846530269323</v>
      </c>
      <c r="H1462">
        <f t="shared" si="113"/>
        <v>3.2069971961115309</v>
      </c>
    </row>
    <row r="1463" spans="1:8" x14ac:dyDescent="0.25">
      <c r="A1463" s="13">
        <v>42390</v>
      </c>
      <c r="B1463">
        <v>706.59002699999996</v>
      </c>
      <c r="C1463" s="12">
        <v>1.1654398826182577E-2</v>
      </c>
      <c r="D1463" s="12">
        <f t="shared" si="110"/>
        <v>-4.4818282059174103E-5</v>
      </c>
      <c r="E1463" s="11">
        <f t="shared" si="111"/>
        <v>1.1699217108241752E-2</v>
      </c>
      <c r="F1463">
        <f t="shared" si="114"/>
        <v>1.4448791308166559E-2</v>
      </c>
      <c r="G1463">
        <f t="shared" si="112"/>
        <v>0.80970213069859154</v>
      </c>
      <c r="H1463">
        <f t="shared" si="113"/>
        <v>2.9903972109823309</v>
      </c>
    </row>
    <row r="1464" spans="1:8" x14ac:dyDescent="0.25">
      <c r="A1464" s="13">
        <v>42391</v>
      </c>
      <c r="B1464">
        <v>725.25</v>
      </c>
      <c r="C1464" s="12">
        <v>2.6408486232427419E-2</v>
      </c>
      <c r="D1464" s="12">
        <f t="shared" si="110"/>
        <v>1.640379574260935E-4</v>
      </c>
      <c r="E1464" s="11">
        <f t="shared" si="111"/>
        <v>2.6244448275001327E-2</v>
      </c>
      <c r="F1464">
        <f t="shared" si="114"/>
        <v>1.5499120056808952E-2</v>
      </c>
      <c r="G1464">
        <f t="shared" si="112"/>
        <v>1.6932863400507581</v>
      </c>
      <c r="H1464">
        <f t="shared" si="113"/>
        <v>1.8144241792909801</v>
      </c>
    </row>
    <row r="1465" spans="1:8" x14ac:dyDescent="0.25">
      <c r="A1465" s="13">
        <v>42394</v>
      </c>
      <c r="B1465">
        <v>711.669983</v>
      </c>
      <c r="C1465" s="12">
        <v>-1.8724601172009692E-2</v>
      </c>
      <c r="D1465" s="12">
        <f t="shared" si="110"/>
        <v>4.2937122993265587E-4</v>
      </c>
      <c r="E1465" s="11">
        <f t="shared" si="111"/>
        <v>-1.9153972401942349E-2</v>
      </c>
      <c r="F1465">
        <f t="shared" si="114"/>
        <v>1.9462211910940771E-2</v>
      </c>
      <c r="G1465">
        <f t="shared" si="112"/>
        <v>-0.98416215431170273</v>
      </c>
      <c r="H1465">
        <f t="shared" si="113"/>
        <v>2.5360544380009773</v>
      </c>
    </row>
    <row r="1466" spans="1:8" x14ac:dyDescent="0.25">
      <c r="A1466" s="13">
        <v>42395</v>
      </c>
      <c r="B1466">
        <v>713.03997800000002</v>
      </c>
      <c r="C1466" s="12">
        <v>1.9250425516401659E-3</v>
      </c>
      <c r="D1466" s="12">
        <f t="shared" si="110"/>
        <v>-2.1533445304970552E-4</v>
      </c>
      <c r="E1466" s="11">
        <f t="shared" si="111"/>
        <v>2.1403770046898715E-3</v>
      </c>
      <c r="F1466">
        <f t="shared" si="114"/>
        <v>1.6605647116775528E-2</v>
      </c>
      <c r="G1466">
        <f t="shared" si="112"/>
        <v>0.12889452543692789</v>
      </c>
      <c r="H1466">
        <f t="shared" si="113"/>
        <v>3.1707670211643348</v>
      </c>
    </row>
    <row r="1467" spans="1:8" x14ac:dyDescent="0.25">
      <c r="A1467" s="13">
        <v>42396</v>
      </c>
      <c r="B1467">
        <v>699.98999000000003</v>
      </c>
      <c r="C1467" s="12">
        <v>-1.8301902281277149E-2</v>
      </c>
      <c r="D1467" s="12">
        <f t="shared" si="110"/>
        <v>-1.9006042111876161E-5</v>
      </c>
      <c r="E1467" s="11">
        <f t="shared" si="111"/>
        <v>-1.8282896239165274E-2</v>
      </c>
      <c r="F1467">
        <f t="shared" si="114"/>
        <v>1.4404982947507999E-2</v>
      </c>
      <c r="G1467">
        <f t="shared" si="112"/>
        <v>-1.2692063785003047</v>
      </c>
      <c r="H1467">
        <f t="shared" si="113"/>
        <v>2.515800145418539</v>
      </c>
    </row>
    <row r="1468" spans="1:8" x14ac:dyDescent="0.25">
      <c r="A1468" s="13">
        <v>42397</v>
      </c>
      <c r="B1468">
        <v>730.96002199999998</v>
      </c>
      <c r="C1468" s="12">
        <v>4.4243535539701062E-2</v>
      </c>
      <c r="D1468" s="12">
        <f t="shared" si="110"/>
        <v>-2.7186301315998006E-4</v>
      </c>
      <c r="E1468" s="11">
        <f t="shared" si="111"/>
        <v>4.4515398552861039E-2</v>
      </c>
      <c r="F1468">
        <f t="shared" si="114"/>
        <v>1.7281248783208473E-2</v>
      </c>
      <c r="G1468">
        <f t="shared" si="112"/>
        <v>2.5759364448311715</v>
      </c>
      <c r="H1468">
        <f t="shared" si="113"/>
        <v>-0.17852956643878626</v>
      </c>
    </row>
    <row r="1469" spans="1:8" x14ac:dyDescent="0.25">
      <c r="A1469" s="13">
        <v>42398</v>
      </c>
      <c r="B1469">
        <v>742.95001200000002</v>
      </c>
      <c r="C1469" s="12">
        <v>1.6403072177865408E-2</v>
      </c>
      <c r="D1469" s="12">
        <f t="shared" si="110"/>
        <v>6.2213371868569426E-4</v>
      </c>
      <c r="E1469" s="11">
        <f t="shared" si="111"/>
        <v>1.5780938459179713E-2</v>
      </c>
      <c r="F1469">
        <f t="shared" si="114"/>
        <v>2.4805604070391382E-2</v>
      </c>
      <c r="G1469">
        <f t="shared" si="112"/>
        <v>0.63618440471749094</v>
      </c>
      <c r="H1469">
        <f t="shared" si="113"/>
        <v>2.5753818491508618</v>
      </c>
    </row>
    <row r="1470" spans="1:8" x14ac:dyDescent="0.25">
      <c r="A1470" s="13">
        <v>42401</v>
      </c>
      <c r="B1470">
        <v>752</v>
      </c>
      <c r="C1470" s="12">
        <v>1.2181153312909476E-2</v>
      </c>
      <c r="D1470" s="12">
        <f t="shared" si="110"/>
        <v>3.6179573825416753E-4</v>
      </c>
      <c r="E1470" s="11">
        <f t="shared" si="111"/>
        <v>1.1819357574655309E-2</v>
      </c>
      <c r="F1470">
        <f t="shared" si="114"/>
        <v>1.6246143951159048E-2</v>
      </c>
      <c r="G1470">
        <f t="shared" si="112"/>
        <v>0.72751771806208088</v>
      </c>
      <c r="H1470">
        <f t="shared" si="113"/>
        <v>2.9363201454268664</v>
      </c>
    </row>
    <row r="1471" spans="1:8" x14ac:dyDescent="0.25">
      <c r="A1471" s="13">
        <v>42402</v>
      </c>
      <c r="B1471">
        <v>764.65002400000003</v>
      </c>
      <c r="C1471" s="12">
        <v>1.6821840425532031E-2</v>
      </c>
      <c r="D1471" s="12">
        <f t="shared" si="110"/>
        <v>2.2639140220913031E-4</v>
      </c>
      <c r="E1471" s="11">
        <f t="shared" si="111"/>
        <v>1.6595449023322901E-2</v>
      </c>
      <c r="F1471">
        <f t="shared" si="114"/>
        <v>1.5420283786881765E-2</v>
      </c>
      <c r="G1471">
        <f t="shared" si="112"/>
        <v>1.0762090537815436</v>
      </c>
      <c r="H1471">
        <f t="shared" si="113"/>
        <v>2.6740200102724145</v>
      </c>
    </row>
    <row r="1472" spans="1:8" x14ac:dyDescent="0.25">
      <c r="A1472" s="13">
        <v>42403</v>
      </c>
      <c r="B1472">
        <v>726.95001200000002</v>
      </c>
      <c r="C1472" s="12">
        <v>-4.9303617101566943E-2</v>
      </c>
      <c r="D1472" s="12">
        <f t="shared" si="110"/>
        <v>2.8573007522674605E-4</v>
      </c>
      <c r="E1472" s="11">
        <f t="shared" si="111"/>
        <v>-4.958934717679369E-2</v>
      </c>
      <c r="F1472">
        <f t="shared" si="114"/>
        <v>1.6547307980826122E-2</v>
      </c>
      <c r="G1472">
        <f t="shared" si="112"/>
        <v>-2.9968226393232302</v>
      </c>
      <c r="H1472">
        <f t="shared" si="113"/>
        <v>-1.307879648826384</v>
      </c>
    </row>
    <row r="1473" spans="1:8" x14ac:dyDescent="0.25">
      <c r="A1473" s="13">
        <v>42404</v>
      </c>
      <c r="B1473">
        <v>708.01000999999997</v>
      </c>
      <c r="C1473" s="12">
        <v>-2.6054063810924122E-2</v>
      </c>
      <c r="D1473" s="12">
        <f t="shared" si="110"/>
        <v>-7.0246952209182143E-4</v>
      </c>
      <c r="E1473" s="11">
        <f t="shared" si="111"/>
        <v>-2.53515942888323E-2</v>
      </c>
      <c r="F1473">
        <f t="shared" si="114"/>
        <v>2.7507576965314934E-2</v>
      </c>
      <c r="G1473">
        <f t="shared" si="112"/>
        <v>-0.92162222506180125</v>
      </c>
      <c r="H1473">
        <f t="shared" si="113"/>
        <v>2.2496614901798746</v>
      </c>
    </row>
    <row r="1474" spans="1:8" x14ac:dyDescent="0.25">
      <c r="A1474" s="13">
        <v>42405</v>
      </c>
      <c r="B1474">
        <v>683.57000700000003</v>
      </c>
      <c r="C1474" s="12">
        <v>-3.4519290200430874E-2</v>
      </c>
      <c r="D1474" s="12">
        <f t="shared" si="110"/>
        <v>-5.2076810996772775E-4</v>
      </c>
      <c r="E1474" s="11">
        <f t="shared" si="111"/>
        <v>-3.3998522090463147E-2</v>
      </c>
      <c r="F1474">
        <f t="shared" si="114"/>
        <v>1.7457863433956316E-2</v>
      </c>
      <c r="G1474">
        <f t="shared" si="112"/>
        <v>-1.9474617967473911</v>
      </c>
      <c r="H1474">
        <f t="shared" si="113"/>
        <v>1.2327228471476546</v>
      </c>
    </row>
    <row r="1475" spans="1:8" x14ac:dyDescent="0.25">
      <c r="A1475" s="13">
        <v>42408</v>
      </c>
      <c r="B1475">
        <v>682.73999000000003</v>
      </c>
      <c r="C1475" s="12">
        <v>-1.2142384708228038E-3</v>
      </c>
      <c r="D1475" s="12">
        <f t="shared" si="110"/>
        <v>-5.8905122407277286E-4</v>
      </c>
      <c r="E1475" s="11">
        <f t="shared" si="111"/>
        <v>-6.2518724675003092E-4</v>
      </c>
      <c r="F1475">
        <f t="shared" si="114"/>
        <v>2.1016514058610318E-2</v>
      </c>
      <c r="G1475">
        <f t="shared" si="112"/>
        <v>-2.9747428379726756E-2</v>
      </c>
      <c r="H1475">
        <f t="shared" si="113"/>
        <v>2.943065778600781</v>
      </c>
    </row>
    <row r="1476" spans="1:8" x14ac:dyDescent="0.25">
      <c r="A1476" s="13">
        <v>42409</v>
      </c>
      <c r="B1476">
        <v>678.10998500000005</v>
      </c>
      <c r="C1476" s="12">
        <v>-6.7815055040205685E-3</v>
      </c>
      <c r="D1476" s="12">
        <f t="shared" si="110"/>
        <v>-1.0707854084537578E-4</v>
      </c>
      <c r="E1476" s="11">
        <f t="shared" si="111"/>
        <v>-6.674426963175193E-3</v>
      </c>
      <c r="F1476">
        <f t="shared" si="114"/>
        <v>1.4916271141823046E-2</v>
      </c>
      <c r="G1476">
        <f t="shared" si="112"/>
        <v>-0.44745948231398625</v>
      </c>
      <c r="H1476">
        <f t="shared" si="113"/>
        <v>3.1862541115518797</v>
      </c>
    </row>
    <row r="1477" spans="1:8" x14ac:dyDescent="0.25">
      <c r="A1477" s="13">
        <v>42410</v>
      </c>
      <c r="B1477">
        <v>684.11999500000002</v>
      </c>
      <c r="C1477" s="12">
        <v>8.8628837990050169E-3</v>
      </c>
      <c r="D1477" s="12">
        <f t="shared" si="110"/>
        <v>-1.0568862199078236E-4</v>
      </c>
      <c r="E1477" s="11">
        <f t="shared" si="111"/>
        <v>8.9685724209958E-3</v>
      </c>
      <c r="F1477">
        <f t="shared" si="114"/>
        <v>1.4616261077811596E-2</v>
      </c>
      <c r="G1477">
        <f t="shared" si="112"/>
        <v>0.61360236884456432</v>
      </c>
      <c r="H1477">
        <f t="shared" si="113"/>
        <v>3.1184281308688759</v>
      </c>
    </row>
    <row r="1478" spans="1:8" x14ac:dyDescent="0.25">
      <c r="A1478" s="13">
        <v>42411</v>
      </c>
      <c r="B1478">
        <v>683.10998500000005</v>
      </c>
      <c r="C1478" s="12">
        <v>-1.4763638066155327E-3</v>
      </c>
      <c r="D1478" s="12">
        <f t="shared" ref="D1478:D1541" si="115">+C1477*$K$11+C1476*$K$10</f>
        <v>1.1661996032709267E-4</v>
      </c>
      <c r="E1478" s="11">
        <f t="shared" ref="E1478:E1541" si="116">C1478-D1478</f>
        <v>-1.5929837669426254E-3</v>
      </c>
      <c r="F1478">
        <f t="shared" si="114"/>
        <v>1.4952806467160882E-2</v>
      </c>
      <c r="G1478">
        <f t="shared" ref="G1478:G1541" si="117">E1478/F1478</f>
        <v>-0.10653409916333173</v>
      </c>
      <c r="H1478">
        <f t="shared" ref="H1478:H1541" si="118">1/2*(-LN(PI()*2)-2*LN(F1478)-(E1478/F1478)^2)</f>
        <v>3.2782429828604474</v>
      </c>
    </row>
    <row r="1479" spans="1:8" x14ac:dyDescent="0.25">
      <c r="A1479" s="13">
        <v>42412</v>
      </c>
      <c r="B1479">
        <v>682.40002400000003</v>
      </c>
      <c r="C1479" s="12">
        <v>-1.0393070158387641E-3</v>
      </c>
      <c r="D1479" s="12">
        <f t="shared" si="115"/>
        <v>4.4783324990971168E-7</v>
      </c>
      <c r="E1479" s="11">
        <f t="shared" si="116"/>
        <v>-1.0397548490886739E-3</v>
      </c>
      <c r="F1479">
        <f t="shared" ref="F1479:F1542" si="119">SQRT($K$6+$K$7*G1478^2+$K$8*F1478^2)</f>
        <v>1.4218499042305214E-2</v>
      </c>
      <c r="G1479">
        <f t="shared" si="117"/>
        <v>-7.3126906433303857E-2</v>
      </c>
      <c r="H1479">
        <f t="shared" si="118"/>
        <v>3.3315991073316882</v>
      </c>
    </row>
    <row r="1480" spans="1:8" x14ac:dyDescent="0.25">
      <c r="A1480" s="13">
        <v>42416</v>
      </c>
      <c r="B1480">
        <v>691</v>
      </c>
      <c r="C1480" s="12">
        <v>1.260254351925405E-2</v>
      </c>
      <c r="D1480" s="12">
        <f t="shared" si="115"/>
        <v>-1.9513392797537587E-5</v>
      </c>
      <c r="E1480" s="11">
        <f t="shared" si="116"/>
        <v>1.2622056912051588E-2</v>
      </c>
      <c r="F1480">
        <f t="shared" si="119"/>
        <v>1.4132881308144198E-2</v>
      </c>
      <c r="G1480">
        <f t="shared" si="117"/>
        <v>0.89309862842886945</v>
      </c>
      <c r="H1480">
        <f t="shared" si="118"/>
        <v>2.9415000755826881</v>
      </c>
    </row>
    <row r="1481" spans="1:8" x14ac:dyDescent="0.25">
      <c r="A1481" s="13">
        <v>42417</v>
      </c>
      <c r="B1481">
        <v>708.40002400000003</v>
      </c>
      <c r="C1481" s="12">
        <v>2.5180931982633936E-2</v>
      </c>
      <c r="D1481" s="12">
        <f t="shared" si="115"/>
        <v>1.879383810928381E-4</v>
      </c>
      <c r="E1481" s="11">
        <f t="shared" si="116"/>
        <v>2.49929936015411E-2</v>
      </c>
      <c r="F1481">
        <f t="shared" si="119"/>
        <v>1.5749826605521464E-2</v>
      </c>
      <c r="G1481">
        <f t="shared" si="117"/>
        <v>1.5868742067788373</v>
      </c>
      <c r="H1481">
        <f t="shared" si="118"/>
        <v>1.9729025156696822</v>
      </c>
    </row>
    <row r="1482" spans="1:8" x14ac:dyDescent="0.25">
      <c r="A1482" s="13">
        <v>42418</v>
      </c>
      <c r="B1482">
        <v>697.34997599999997</v>
      </c>
      <c r="C1482" s="12">
        <v>-1.5598599132740976E-2</v>
      </c>
      <c r="D1482" s="12">
        <f t="shared" si="115"/>
        <v>4.1324157580941866E-4</v>
      </c>
      <c r="E1482" s="11">
        <f t="shared" si="116"/>
        <v>-1.6011840708550395E-2</v>
      </c>
      <c r="F1482">
        <f t="shared" si="119"/>
        <v>1.8924604441915474E-2</v>
      </c>
      <c r="G1482">
        <f t="shared" si="117"/>
        <v>-0.84608588558323072</v>
      </c>
      <c r="H1482">
        <f t="shared" si="118"/>
        <v>2.6904231851326985</v>
      </c>
    </row>
    <row r="1483" spans="1:8" x14ac:dyDescent="0.25">
      <c r="A1483" s="13">
        <v>42419</v>
      </c>
      <c r="B1483">
        <v>700.90997300000004</v>
      </c>
      <c r="C1483" s="12">
        <v>5.1050363841986801E-3</v>
      </c>
      <c r="D1483" s="12">
        <f t="shared" si="115"/>
        <v>-1.7120946832032777E-4</v>
      </c>
      <c r="E1483" s="11">
        <f t="shared" si="116"/>
        <v>5.2762458525190082E-3</v>
      </c>
      <c r="F1483">
        <f t="shared" si="119"/>
        <v>1.6070985351172455E-2</v>
      </c>
      <c r="G1483">
        <f t="shared" si="117"/>
        <v>0.32830879608350094</v>
      </c>
      <c r="H1483">
        <f t="shared" si="118"/>
        <v>3.1579079189249573</v>
      </c>
    </row>
    <row r="1484" spans="1:8" x14ac:dyDescent="0.25">
      <c r="A1484" s="13">
        <v>42422</v>
      </c>
      <c r="B1484">
        <v>706.46002199999998</v>
      </c>
      <c r="C1484" s="12">
        <v>7.9183478817470565E-3</v>
      </c>
      <c r="D1484" s="12">
        <f t="shared" si="115"/>
        <v>3.7124064876163434E-5</v>
      </c>
      <c r="E1484" s="11">
        <f t="shared" si="116"/>
        <v>7.8812238168708935E-3</v>
      </c>
      <c r="F1484">
        <f t="shared" si="119"/>
        <v>1.4539977736350563E-2</v>
      </c>
      <c r="G1484">
        <f t="shared" si="117"/>
        <v>0.54203823140440566</v>
      </c>
      <c r="H1484">
        <f t="shared" si="118"/>
        <v>3.1650120827213541</v>
      </c>
    </row>
    <row r="1485" spans="1:8" x14ac:dyDescent="0.25">
      <c r="A1485" s="13">
        <v>42423</v>
      </c>
      <c r="B1485">
        <v>695.84997599999997</v>
      </c>
      <c r="C1485" s="12">
        <v>-1.5018607804533346E-2</v>
      </c>
      <c r="D1485" s="12">
        <f t="shared" si="115"/>
        <v>1.3288223133788002E-4</v>
      </c>
      <c r="E1485" s="11">
        <f t="shared" si="116"/>
        <v>-1.5151490035871226E-2</v>
      </c>
      <c r="F1485">
        <f t="shared" si="119"/>
        <v>1.4775128813800893E-2</v>
      </c>
      <c r="G1485">
        <f t="shared" si="117"/>
        <v>-1.0254726186697465</v>
      </c>
      <c r="H1485">
        <f t="shared" si="118"/>
        <v>2.7700744183404544</v>
      </c>
    </row>
    <row r="1486" spans="1:8" x14ac:dyDescent="0.25">
      <c r="A1486" s="13">
        <v>42424</v>
      </c>
      <c r="B1486">
        <v>699.55999799999995</v>
      </c>
      <c r="C1486" s="12">
        <v>5.3316406236392222E-3</v>
      </c>
      <c r="D1486" s="12">
        <f t="shared" si="115"/>
        <v>-2.0680163087715363E-4</v>
      </c>
      <c r="E1486" s="11">
        <f t="shared" si="116"/>
        <v>5.538442254516376E-3</v>
      </c>
      <c r="F1486">
        <f t="shared" si="119"/>
        <v>1.6291279303412783E-2</v>
      </c>
      <c r="G1486">
        <f t="shared" si="117"/>
        <v>0.33996361804171843</v>
      </c>
      <c r="H1486">
        <f t="shared" si="118"/>
        <v>3.140399162399325</v>
      </c>
    </row>
    <row r="1487" spans="1:8" x14ac:dyDescent="0.25">
      <c r="A1487" s="13">
        <v>42425</v>
      </c>
      <c r="B1487">
        <v>705.75</v>
      </c>
      <c r="C1487" s="12">
        <v>8.8484218904696377E-3</v>
      </c>
      <c r="D1487" s="12">
        <f t="shared" si="115"/>
        <v>4.2041941231335655E-5</v>
      </c>
      <c r="E1487" s="11">
        <f t="shared" si="116"/>
        <v>8.8063799492383021E-3</v>
      </c>
      <c r="F1487">
        <f t="shared" si="119"/>
        <v>1.4579907892994017E-2</v>
      </c>
      <c r="G1487">
        <f t="shared" si="117"/>
        <v>0.60400792747600085</v>
      </c>
      <c r="H1487">
        <f t="shared" si="118"/>
        <v>3.1267595483429282</v>
      </c>
    </row>
    <row r="1488" spans="1:8" x14ac:dyDescent="0.25">
      <c r="A1488" s="13">
        <v>42426</v>
      </c>
      <c r="B1488">
        <v>705.07000700000003</v>
      </c>
      <c r="C1488" s="12">
        <v>-9.6350407368039903E-4</v>
      </c>
      <c r="D1488" s="12">
        <f t="shared" si="115"/>
        <v>1.4753166444445967E-4</v>
      </c>
      <c r="E1488" s="11">
        <f t="shared" si="116"/>
        <v>-1.1110357381248588E-3</v>
      </c>
      <c r="F1488">
        <f t="shared" si="119"/>
        <v>1.492543002513096E-2</v>
      </c>
      <c r="G1488">
        <f t="shared" si="117"/>
        <v>-7.4439110716015042E-2</v>
      </c>
      <c r="H1488">
        <f t="shared" si="118"/>
        <v>3.2829796839076879</v>
      </c>
    </row>
    <row r="1489" spans="1:8" x14ac:dyDescent="0.25">
      <c r="A1489" s="13">
        <v>42429</v>
      </c>
      <c r="B1489">
        <v>697.77002000000005</v>
      </c>
      <c r="C1489" s="12">
        <v>-1.0353563373175723E-2</v>
      </c>
      <c r="D1489" s="12">
        <f t="shared" si="115"/>
        <v>8.1675031489174884E-6</v>
      </c>
      <c r="E1489" s="11">
        <f t="shared" si="116"/>
        <v>-1.0361730876324641E-2</v>
      </c>
      <c r="F1489">
        <f t="shared" si="119"/>
        <v>1.4203208264913126E-2</v>
      </c>
      <c r="G1489">
        <f t="shared" si="117"/>
        <v>-0.72953453072442276</v>
      </c>
      <c r="H1489">
        <f t="shared" si="118"/>
        <v>3.0692385567810616</v>
      </c>
    </row>
    <row r="1490" spans="1:8" x14ac:dyDescent="0.25">
      <c r="A1490" s="13">
        <v>42430</v>
      </c>
      <c r="B1490">
        <v>718.80999799999995</v>
      </c>
      <c r="C1490" s="12">
        <v>3.0153169951325554E-2</v>
      </c>
      <c r="D1490" s="12">
        <f t="shared" si="115"/>
        <v>-1.5907045482498131E-4</v>
      </c>
      <c r="E1490" s="11">
        <f t="shared" si="116"/>
        <v>3.0312240406150534E-2</v>
      </c>
      <c r="F1490">
        <f t="shared" si="119"/>
        <v>1.523102787354123E-2</v>
      </c>
      <c r="G1490">
        <f t="shared" si="117"/>
        <v>1.9901638062660119</v>
      </c>
      <c r="H1490">
        <f t="shared" si="118"/>
        <v>1.2851061032069004</v>
      </c>
    </row>
    <row r="1491" spans="1:8" x14ac:dyDescent="0.25">
      <c r="A1491" s="13">
        <v>42431</v>
      </c>
      <c r="B1491">
        <v>718.84997599999997</v>
      </c>
      <c r="C1491" s="12">
        <v>5.5616922568280103E-5</v>
      </c>
      <c r="D1491" s="12">
        <f t="shared" si="115"/>
        <v>4.2944852536822519E-4</v>
      </c>
      <c r="E1491" s="11">
        <f t="shared" si="116"/>
        <v>-3.7383160279994508E-4</v>
      </c>
      <c r="F1491">
        <f t="shared" si="119"/>
        <v>2.1095002203927272E-2</v>
      </c>
      <c r="G1491">
        <f t="shared" si="117"/>
        <v>-1.7721335090941519E-2</v>
      </c>
      <c r="H1491">
        <f t="shared" si="118"/>
        <v>2.9396235728661781</v>
      </c>
    </row>
    <row r="1492" spans="1:8" x14ac:dyDescent="0.25">
      <c r="A1492" s="13">
        <v>42432</v>
      </c>
      <c r="B1492">
        <v>712.419983</v>
      </c>
      <c r="C1492" s="12">
        <v>-8.9448330175641022E-3</v>
      </c>
      <c r="D1492" s="12">
        <f t="shared" si="115"/>
        <v>7.8333963952759137E-5</v>
      </c>
      <c r="E1492" s="11">
        <f t="shared" si="116"/>
        <v>-9.0231669815168617E-3</v>
      </c>
      <c r="F1492">
        <f t="shared" si="119"/>
        <v>1.4925748115541992E-2</v>
      </c>
      <c r="G1492">
        <f t="shared" si="117"/>
        <v>-0.60453699953043916</v>
      </c>
      <c r="H1492">
        <f t="shared" si="118"/>
        <v>3.1029964708599422</v>
      </c>
    </row>
    <row r="1493" spans="1:8" x14ac:dyDescent="0.25">
      <c r="A1493" s="13">
        <v>42433</v>
      </c>
      <c r="B1493">
        <v>710.89001499999995</v>
      </c>
      <c r="C1493" s="12">
        <v>-2.1475646900825929E-3</v>
      </c>
      <c r="D1493" s="12">
        <f t="shared" si="115"/>
        <v>-1.3514475503599604E-4</v>
      </c>
      <c r="E1493" s="11">
        <f t="shared" si="116"/>
        <v>-2.0124199350465967E-3</v>
      </c>
      <c r="F1493">
        <f t="shared" si="119"/>
        <v>1.4959571140234756E-2</v>
      </c>
      <c r="G1493">
        <f t="shared" si="117"/>
        <v>-0.13452390554392701</v>
      </c>
      <c r="H1493">
        <f t="shared" si="118"/>
        <v>3.2744171001572533</v>
      </c>
    </row>
    <row r="1494" spans="1:8" x14ac:dyDescent="0.25">
      <c r="A1494" s="13">
        <v>42436</v>
      </c>
      <c r="B1494">
        <v>695.15997300000004</v>
      </c>
      <c r="C1494" s="12">
        <v>-2.2127251287950567E-2</v>
      </c>
      <c r="D1494" s="12">
        <f t="shared" si="115"/>
        <v>-5.5469179734073077E-5</v>
      </c>
      <c r="E1494" s="11">
        <f t="shared" si="116"/>
        <v>-2.2071782108216493E-2</v>
      </c>
      <c r="F1494">
        <f t="shared" si="119"/>
        <v>1.4233715188586481E-2</v>
      </c>
      <c r="G1494">
        <f t="shared" si="117"/>
        <v>-1.5506690850407829</v>
      </c>
      <c r="H1494">
        <f t="shared" si="118"/>
        <v>2.1309159806823308</v>
      </c>
    </row>
    <row r="1495" spans="1:8" x14ac:dyDescent="0.25">
      <c r="A1495" s="13">
        <v>42437</v>
      </c>
      <c r="B1495">
        <v>693.96997099999999</v>
      </c>
      <c r="C1495" s="12">
        <v>-1.7118390675811002E-3</v>
      </c>
      <c r="D1495" s="12">
        <f t="shared" si="115"/>
        <v>-3.4018665520772745E-4</v>
      </c>
      <c r="E1495" s="11">
        <f t="shared" si="116"/>
        <v>-1.3716524123733728E-3</v>
      </c>
      <c r="F1495">
        <f t="shared" si="119"/>
        <v>1.8622797716830685E-2</v>
      </c>
      <c r="G1495">
        <f t="shared" si="117"/>
        <v>-7.3654476262377991E-2</v>
      </c>
      <c r="H1495">
        <f t="shared" si="118"/>
        <v>3.0617177409580405</v>
      </c>
    </row>
    <row r="1496" spans="1:8" x14ac:dyDescent="0.25">
      <c r="A1496" s="13">
        <v>42438</v>
      </c>
      <c r="B1496">
        <v>705.23999000000003</v>
      </c>
      <c r="C1496" s="12">
        <v>1.6239923153677838E-2</v>
      </c>
      <c r="D1496" s="12">
        <f t="shared" si="115"/>
        <v>-8.2757405779823717E-5</v>
      </c>
      <c r="E1496" s="11">
        <f t="shared" si="116"/>
        <v>1.632268055945766E-2</v>
      </c>
      <c r="F1496">
        <f t="shared" si="119"/>
        <v>1.4616780949055979E-2</v>
      </c>
      <c r="G1496">
        <f t="shared" si="117"/>
        <v>1.1167082968779016</v>
      </c>
      <c r="H1496">
        <f t="shared" si="118"/>
        <v>2.6831277868644472</v>
      </c>
    </row>
    <row r="1497" spans="1:8" x14ac:dyDescent="0.25">
      <c r="A1497" s="13">
        <v>42439</v>
      </c>
      <c r="B1497">
        <v>712.82000700000003</v>
      </c>
      <c r="C1497" s="12">
        <v>1.0748138374853111E-2</v>
      </c>
      <c r="D1497" s="12">
        <f t="shared" si="115"/>
        <v>2.4122417657950775E-4</v>
      </c>
      <c r="E1497" s="11">
        <f t="shared" si="116"/>
        <v>1.0506914198273603E-2</v>
      </c>
      <c r="F1497">
        <f t="shared" si="119"/>
        <v>1.6641375691160417E-2</v>
      </c>
      <c r="G1497">
        <f t="shared" si="117"/>
        <v>0.63137293414117657</v>
      </c>
      <c r="H1497">
        <f t="shared" si="118"/>
        <v>2.9776087490710474</v>
      </c>
    </row>
    <row r="1498" spans="1:8" x14ac:dyDescent="0.25">
      <c r="A1498" s="13">
        <v>42440</v>
      </c>
      <c r="B1498">
        <v>726.82000700000003</v>
      </c>
      <c r="C1498" s="12">
        <v>1.9640301706627117E-2</v>
      </c>
      <c r="D1498" s="12">
        <f t="shared" si="115"/>
        <v>2.0429822926420498E-4</v>
      </c>
      <c r="E1498" s="11">
        <f t="shared" si="116"/>
        <v>1.9436003477362913E-2</v>
      </c>
      <c r="F1498">
        <f t="shared" si="119"/>
        <v>1.5199619881464094E-2</v>
      </c>
      <c r="G1498">
        <f t="shared" si="117"/>
        <v>1.2787164171825824</v>
      </c>
      <c r="H1498">
        <f t="shared" si="118"/>
        <v>2.4499884882502188</v>
      </c>
    </row>
    <row r="1499" spans="1:8" x14ac:dyDescent="0.25">
      <c r="A1499" s="13">
        <v>42443</v>
      </c>
      <c r="B1499">
        <v>730.48999000000003</v>
      </c>
      <c r="C1499" s="12">
        <v>5.0493698091060857E-3</v>
      </c>
      <c r="D1499" s="12">
        <f t="shared" si="115"/>
        <v>3.2467557802024079E-4</v>
      </c>
      <c r="E1499" s="11">
        <f t="shared" si="116"/>
        <v>4.7246942310858447E-3</v>
      </c>
      <c r="F1499">
        <f t="shared" si="119"/>
        <v>1.7389317195732612E-2</v>
      </c>
      <c r="G1499">
        <f t="shared" si="117"/>
        <v>0.2717009631778583</v>
      </c>
      <c r="H1499">
        <f t="shared" si="118"/>
        <v>3.0960499756764328</v>
      </c>
    </row>
    <row r="1500" spans="1:8" x14ac:dyDescent="0.25">
      <c r="A1500" s="13">
        <v>42444</v>
      </c>
      <c r="B1500">
        <v>728.330017</v>
      </c>
      <c r="C1500" s="12">
        <v>-2.9568824071087851E-3</v>
      </c>
      <c r="D1500" s="12">
        <f t="shared" si="115"/>
        <v>1.26845083666905E-4</v>
      </c>
      <c r="E1500" s="11">
        <f t="shared" si="116"/>
        <v>-3.0837274907756901E-3</v>
      </c>
      <c r="F1500">
        <f t="shared" si="119"/>
        <v>1.4614061379109743E-2</v>
      </c>
      <c r="G1500">
        <f t="shared" si="117"/>
        <v>-0.21101098529555679</v>
      </c>
      <c r="H1500">
        <f t="shared" si="118"/>
        <v>3.2845697544383627</v>
      </c>
    </row>
    <row r="1501" spans="1:8" x14ac:dyDescent="0.25">
      <c r="A1501" s="13">
        <v>42445</v>
      </c>
      <c r="B1501">
        <v>736.09002699999996</v>
      </c>
      <c r="C1501" s="12">
        <v>1.0654524485979033E-2</v>
      </c>
      <c r="D1501" s="12">
        <f t="shared" si="115"/>
        <v>-3.1745149689426288E-5</v>
      </c>
      <c r="E1501" s="11">
        <f t="shared" si="116"/>
        <v>1.0686269635668459E-2</v>
      </c>
      <c r="F1501">
        <f t="shared" si="119"/>
        <v>1.4256079912163088E-2</v>
      </c>
      <c r="G1501">
        <f t="shared" si="117"/>
        <v>0.74959383656029333</v>
      </c>
      <c r="H1501">
        <f t="shared" si="118"/>
        <v>3.0506878096492529</v>
      </c>
    </row>
    <row r="1502" spans="1:8" x14ac:dyDescent="0.25">
      <c r="A1502" s="13">
        <v>42446</v>
      </c>
      <c r="B1502">
        <v>737.78002900000001</v>
      </c>
      <c r="C1502" s="12">
        <v>2.2959175345544924E-3</v>
      </c>
      <c r="D1502" s="12">
        <f t="shared" si="115"/>
        <v>1.5354711367579629E-4</v>
      </c>
      <c r="E1502" s="11">
        <f t="shared" si="116"/>
        <v>2.1423704208786963E-3</v>
      </c>
      <c r="F1502">
        <f t="shared" si="119"/>
        <v>1.5295330285906395E-2</v>
      </c>
      <c r="G1502">
        <f t="shared" si="117"/>
        <v>0.14006696036193117</v>
      </c>
      <c r="H1502">
        <f t="shared" si="118"/>
        <v>3.2514597973441095</v>
      </c>
    </row>
    <row r="1503" spans="1:8" x14ac:dyDescent="0.25">
      <c r="A1503" s="13">
        <v>42447</v>
      </c>
      <c r="B1503">
        <v>737.59997599999997</v>
      </c>
      <c r="C1503" s="12">
        <v>-2.4404699628977067E-4</v>
      </c>
      <c r="D1503" s="12">
        <f t="shared" si="115"/>
        <v>6.2106825941776918E-5</v>
      </c>
      <c r="E1503" s="11">
        <f t="shared" si="116"/>
        <v>-3.0615382223154759E-4</v>
      </c>
      <c r="F1503">
        <f t="shared" si="119"/>
        <v>1.4271252045477722E-2</v>
      </c>
      <c r="G1503">
        <f t="shared" si="117"/>
        <v>-2.1452485125757533E-2</v>
      </c>
      <c r="H1503">
        <f t="shared" si="118"/>
        <v>3.3303394738814789</v>
      </c>
    </row>
    <row r="1504" spans="1:8" x14ac:dyDescent="0.25">
      <c r="A1504" s="13">
        <v>42450</v>
      </c>
      <c r="B1504">
        <v>742.09002699999996</v>
      </c>
      <c r="C1504" s="12">
        <v>6.0873795364657646E-3</v>
      </c>
      <c r="D1504" s="12">
        <f t="shared" si="115"/>
        <v>2.2093103578100574E-6</v>
      </c>
      <c r="E1504" s="11">
        <f t="shared" si="116"/>
        <v>6.0851702261079544E-3</v>
      </c>
      <c r="F1504">
        <f t="shared" si="119"/>
        <v>1.4127396561703098E-2</v>
      </c>
      <c r="G1504">
        <f t="shared" si="117"/>
        <v>0.43073542952731908</v>
      </c>
      <c r="H1504">
        <f t="shared" si="118"/>
        <v>3.2479343099267446</v>
      </c>
    </row>
    <row r="1505" spans="1:8" x14ac:dyDescent="0.25">
      <c r="A1505" s="13">
        <v>42451</v>
      </c>
      <c r="B1505">
        <v>740.75</v>
      </c>
      <c r="C1505" s="12">
        <v>-1.805747215627207E-3</v>
      </c>
      <c r="D1505" s="12">
        <f t="shared" si="115"/>
        <v>9.1442441044042795E-5</v>
      </c>
      <c r="E1505" s="11">
        <f t="shared" si="116"/>
        <v>-1.8971896566712498E-3</v>
      </c>
      <c r="F1505">
        <f t="shared" si="119"/>
        <v>1.4509724585958615E-2</v>
      </c>
      <c r="G1505">
        <f t="shared" si="117"/>
        <v>-0.13075297504317915</v>
      </c>
      <c r="H1505">
        <f t="shared" si="118"/>
        <v>3.3054494898016751</v>
      </c>
    </row>
    <row r="1506" spans="1:8" x14ac:dyDescent="0.25">
      <c r="A1506" s="13">
        <v>42452</v>
      </c>
      <c r="B1506">
        <v>738.05999799999995</v>
      </c>
      <c r="C1506" s="12">
        <v>-3.6314573067837141E-3</v>
      </c>
      <c r="D1506" s="12">
        <f t="shared" si="115"/>
        <v>-1.1666949448058873E-5</v>
      </c>
      <c r="E1506" s="11">
        <f t="shared" si="116"/>
        <v>-3.6197903573356553E-3</v>
      </c>
      <c r="F1506">
        <f t="shared" si="119"/>
        <v>1.4186709856109397E-2</v>
      </c>
      <c r="G1506">
        <f t="shared" si="117"/>
        <v>-0.25515361870721703</v>
      </c>
      <c r="H1506">
        <f t="shared" si="118"/>
        <v>3.3039594604785116</v>
      </c>
    </row>
    <row r="1507" spans="1:8" x14ac:dyDescent="0.25">
      <c r="A1507" s="13">
        <v>42453</v>
      </c>
      <c r="B1507">
        <v>735.29998799999998</v>
      </c>
      <c r="C1507" s="12">
        <v>-3.7395469304379869E-3</v>
      </c>
      <c r="D1507" s="12">
        <f t="shared" si="115"/>
        <v>-5.9565328364405711E-5</v>
      </c>
      <c r="E1507" s="11">
        <f t="shared" si="116"/>
        <v>-3.6799816020735812E-3</v>
      </c>
      <c r="F1507">
        <f t="shared" si="119"/>
        <v>1.4258802563675319E-2</v>
      </c>
      <c r="G1507">
        <f t="shared" si="117"/>
        <v>-0.25808489777735144</v>
      </c>
      <c r="H1507">
        <f t="shared" si="118"/>
        <v>3.2981383987785344</v>
      </c>
    </row>
    <row r="1508" spans="1:8" x14ac:dyDescent="0.25">
      <c r="A1508" s="13">
        <v>42457</v>
      </c>
      <c r="B1508">
        <v>733.53002900000001</v>
      </c>
      <c r="C1508" s="12">
        <v>-2.4071250222840179E-3</v>
      </c>
      <c r="D1508" s="12">
        <f t="shared" si="115"/>
        <v>-6.5892170968471827E-5</v>
      </c>
      <c r="E1508" s="11">
        <f t="shared" si="116"/>
        <v>-2.3412328513155462E-3</v>
      </c>
      <c r="F1508">
        <f t="shared" si="119"/>
        <v>1.426894595555587E-2</v>
      </c>
      <c r="G1508">
        <f t="shared" si="117"/>
        <v>-0.16407889262513781</v>
      </c>
      <c r="H1508">
        <f t="shared" si="118"/>
        <v>3.3172702398761666</v>
      </c>
    </row>
    <row r="1509" spans="1:8" x14ac:dyDescent="0.25">
      <c r="A1509" s="13">
        <v>42458</v>
      </c>
      <c r="B1509">
        <v>744.77002000000005</v>
      </c>
      <c r="C1509" s="12">
        <v>1.5323150458234291E-2</v>
      </c>
      <c r="D1509" s="12">
        <f t="shared" si="115"/>
        <v>-4.6017510362740313E-5</v>
      </c>
      <c r="E1509" s="11">
        <f t="shared" si="116"/>
        <v>1.5369167968597032E-2</v>
      </c>
      <c r="F1509">
        <f t="shared" si="119"/>
        <v>1.4184449970548406E-2</v>
      </c>
      <c r="G1509">
        <f t="shared" si="117"/>
        <v>1.0835223079152516</v>
      </c>
      <c r="H1509">
        <f t="shared" si="118"/>
        <v>2.7496601578218214</v>
      </c>
    </row>
    <row r="1510" spans="1:8" x14ac:dyDescent="0.25">
      <c r="A1510" s="13">
        <v>42459</v>
      </c>
      <c r="B1510">
        <v>750.53002900000001</v>
      </c>
      <c r="C1510" s="12">
        <v>7.7339431573788531E-3</v>
      </c>
      <c r="D1510" s="12">
        <f t="shared" si="115"/>
        <v>2.2557142303335486E-4</v>
      </c>
      <c r="E1510" s="11">
        <f t="shared" si="116"/>
        <v>7.5083717343454983E-3</v>
      </c>
      <c r="F1510">
        <f t="shared" si="119"/>
        <v>1.6470081426805554E-2</v>
      </c>
      <c r="G1510">
        <f t="shared" si="117"/>
        <v>0.45587945437388044</v>
      </c>
      <c r="H1510">
        <f t="shared" si="118"/>
        <v>3.0833582191931161</v>
      </c>
    </row>
    <row r="1511" spans="1:8" x14ac:dyDescent="0.25">
      <c r="A1511" s="13">
        <v>42460</v>
      </c>
      <c r="B1511">
        <v>744.95001200000002</v>
      </c>
      <c r="C1511" s="12">
        <v>-7.4347684761324473E-3</v>
      </c>
      <c r="D1511" s="12">
        <f t="shared" si="115"/>
        <v>1.5635342800341578E-4</v>
      </c>
      <c r="E1511" s="11">
        <f t="shared" si="116"/>
        <v>-7.5911219041358627E-3</v>
      </c>
      <c r="F1511">
        <f t="shared" si="119"/>
        <v>1.4791558981509039E-2</v>
      </c>
      <c r="G1511">
        <f t="shared" si="117"/>
        <v>-0.5132063438090293</v>
      </c>
      <c r="H1511">
        <f t="shared" si="118"/>
        <v>3.1630696911369109</v>
      </c>
    </row>
    <row r="1512" spans="1:8" x14ac:dyDescent="0.25">
      <c r="A1512" s="13">
        <v>42461</v>
      </c>
      <c r="B1512">
        <v>749.90997300000004</v>
      </c>
      <c r="C1512" s="12">
        <v>6.6581125177564981E-3</v>
      </c>
      <c r="D1512" s="12">
        <f t="shared" si="115"/>
        <v>-9.2572443481498114E-5</v>
      </c>
      <c r="E1512" s="11">
        <f t="shared" si="116"/>
        <v>6.7506849612379962E-3</v>
      </c>
      <c r="F1512">
        <f t="shared" si="119"/>
        <v>1.4735992035452552E-2</v>
      </c>
      <c r="G1512">
        <f t="shared" si="117"/>
        <v>0.4581086190191252</v>
      </c>
      <c r="H1512">
        <f t="shared" si="118"/>
        <v>3.1935920533371736</v>
      </c>
    </row>
    <row r="1513" spans="1:8" x14ac:dyDescent="0.25">
      <c r="A1513" s="13">
        <v>42464</v>
      </c>
      <c r="B1513">
        <v>745.28997800000002</v>
      </c>
      <c r="C1513" s="12">
        <v>-6.1607328430609565E-3</v>
      </c>
      <c r="D1513" s="12">
        <f t="shared" si="115"/>
        <v>8.1594645111433164E-5</v>
      </c>
      <c r="E1513" s="11">
        <f t="shared" si="116"/>
        <v>-6.2423274881723894E-3</v>
      </c>
      <c r="F1513">
        <f t="shared" si="119"/>
        <v>1.4618894587950999E-2</v>
      </c>
      <c r="G1513">
        <f t="shared" si="117"/>
        <v>-0.42700407001479868</v>
      </c>
      <c r="H1513">
        <f t="shared" si="118"/>
        <v>3.2153356659890537</v>
      </c>
    </row>
    <row r="1514" spans="1:8" x14ac:dyDescent="0.25">
      <c r="A1514" s="13">
        <v>42465</v>
      </c>
      <c r="B1514">
        <v>737.79998799999998</v>
      </c>
      <c r="C1514" s="12">
        <v>-1.0049766159608842E-2</v>
      </c>
      <c r="D1514" s="12">
        <f t="shared" si="115"/>
        <v>-7.6067922755968954E-5</v>
      </c>
      <c r="E1514" s="11">
        <f t="shared" si="116"/>
        <v>-9.973698236852872E-3</v>
      </c>
      <c r="F1514">
        <f t="shared" si="119"/>
        <v>1.4549722750155055E-2</v>
      </c>
      <c r="G1514">
        <f t="shared" si="117"/>
        <v>-0.68549060405612083</v>
      </c>
      <c r="H1514">
        <f t="shared" si="118"/>
        <v>3.07629612318906</v>
      </c>
    </row>
    <row r="1515" spans="1:8" x14ac:dyDescent="0.25">
      <c r="A1515" s="13">
        <v>42466</v>
      </c>
      <c r="B1515">
        <v>745.69000200000005</v>
      </c>
      <c r="C1515" s="12">
        <v>1.0693974150620456E-2</v>
      </c>
      <c r="D1515" s="12">
        <f t="shared" si="115"/>
        <v>-1.6783234868550796E-4</v>
      </c>
      <c r="E1515" s="11">
        <f t="shared" si="116"/>
        <v>1.0861806499305963E-2</v>
      </c>
      <c r="F1515">
        <f t="shared" si="119"/>
        <v>1.5136805948062907E-2</v>
      </c>
      <c r="G1515">
        <f t="shared" si="117"/>
        <v>0.7175758569261419</v>
      </c>
      <c r="H1515">
        <f t="shared" si="118"/>
        <v>3.0142299325666957</v>
      </c>
    </row>
    <row r="1516" spans="1:8" x14ac:dyDescent="0.25">
      <c r="A1516" s="13">
        <v>42467</v>
      </c>
      <c r="B1516">
        <v>740.28002900000001</v>
      </c>
      <c r="C1516" s="12">
        <v>-7.2549893192748183E-3</v>
      </c>
      <c r="D1516" s="12">
        <f t="shared" si="115"/>
        <v>1.3591527058200696E-4</v>
      </c>
      <c r="E1516" s="11">
        <f t="shared" si="116"/>
        <v>-7.3909045898568251E-3</v>
      </c>
      <c r="F1516">
        <f t="shared" si="119"/>
        <v>1.5282584149598752E-2</v>
      </c>
      <c r="G1516">
        <f t="shared" si="117"/>
        <v>-0.48361615532480973</v>
      </c>
      <c r="H1516">
        <f t="shared" si="118"/>
        <v>3.1451605637545073</v>
      </c>
    </row>
    <row r="1517" spans="1:8" x14ac:dyDescent="0.25">
      <c r="A1517" s="13">
        <v>42468</v>
      </c>
      <c r="B1517">
        <v>739.15002400000003</v>
      </c>
      <c r="C1517" s="12">
        <v>-1.5264561459620296E-3</v>
      </c>
      <c r="D1517" s="12">
        <f t="shared" si="115"/>
        <v>-8.2246148049475062E-5</v>
      </c>
      <c r="E1517" s="11">
        <f t="shared" si="116"/>
        <v>-1.4442099979125546E-3</v>
      </c>
      <c r="F1517">
        <f t="shared" si="119"/>
        <v>1.4722830178346117E-2</v>
      </c>
      <c r="G1517">
        <f t="shared" si="117"/>
        <v>-9.809323210401856E-2</v>
      </c>
      <c r="H1517">
        <f t="shared" si="118"/>
        <v>3.2946062423147771</v>
      </c>
    </row>
    <row r="1518" spans="1:8" x14ac:dyDescent="0.25">
      <c r="A1518" s="13">
        <v>42471</v>
      </c>
      <c r="B1518">
        <v>736.09997599999997</v>
      </c>
      <c r="C1518" s="12">
        <v>-4.1264261664963886E-3</v>
      </c>
      <c r="D1518" s="12">
        <f t="shared" si="115"/>
        <v>-4.1732265590538744E-5</v>
      </c>
      <c r="E1518" s="11">
        <f t="shared" si="116"/>
        <v>-4.0846939009058503E-3</v>
      </c>
      <c r="F1518">
        <f t="shared" si="119"/>
        <v>1.419167653646539E-2</v>
      </c>
      <c r="G1518">
        <f t="shared" si="117"/>
        <v>-0.28782321034518121</v>
      </c>
      <c r="H1518">
        <f t="shared" si="118"/>
        <v>3.2947400122259762</v>
      </c>
    </row>
    <row r="1519" spans="1:8" x14ac:dyDescent="0.25">
      <c r="A1519" s="13">
        <v>42472</v>
      </c>
      <c r="B1519">
        <v>743.09002699999996</v>
      </c>
      <c r="C1519" s="12">
        <v>9.4960619860147144E-3</v>
      </c>
      <c r="D1519" s="12">
        <f t="shared" si="115"/>
        <v>-6.6333801330152004E-5</v>
      </c>
      <c r="E1519" s="11">
        <f t="shared" si="116"/>
        <v>9.562395787344866E-3</v>
      </c>
      <c r="F1519">
        <f t="shared" si="119"/>
        <v>1.4297344770899447E-2</v>
      </c>
      <c r="G1519">
        <f t="shared" si="117"/>
        <v>0.66882319343714725</v>
      </c>
      <c r="H1519">
        <f t="shared" si="118"/>
        <v>3.1050806740692849</v>
      </c>
    </row>
    <row r="1520" spans="1:8" x14ac:dyDescent="0.25">
      <c r="A1520" s="13">
        <v>42473</v>
      </c>
      <c r="B1520">
        <v>751.71997099999999</v>
      </c>
      <c r="C1520" s="12">
        <v>1.161359147133334E-2</v>
      </c>
      <c r="D1520" s="12">
        <f t="shared" si="115"/>
        <v>1.3302005161354902E-4</v>
      </c>
      <c r="E1520" s="11">
        <f t="shared" si="116"/>
        <v>1.148057141971979E-2</v>
      </c>
      <c r="F1520">
        <f t="shared" si="119"/>
        <v>1.5067833038482645E-2</v>
      </c>
      <c r="G1520">
        <f t="shared" si="117"/>
        <v>0.76192584497046578</v>
      </c>
      <c r="H1520">
        <f t="shared" si="118"/>
        <v>2.9859890399281404</v>
      </c>
    </row>
    <row r="1521" spans="1:8" x14ac:dyDescent="0.25">
      <c r="A1521" s="13">
        <v>42474</v>
      </c>
      <c r="B1521">
        <v>753.20001200000002</v>
      </c>
      <c r="C1521" s="12">
        <v>1.9688727945210704E-3</v>
      </c>
      <c r="D1521" s="12">
        <f t="shared" si="115"/>
        <v>2.00056397276923E-4</v>
      </c>
      <c r="E1521" s="11">
        <f t="shared" si="116"/>
        <v>1.7688163972441474E-3</v>
      </c>
      <c r="F1521">
        <f t="shared" si="119"/>
        <v>1.5407080271718552E-2</v>
      </c>
      <c r="G1521">
        <f t="shared" si="117"/>
        <v>0.11480542491175379</v>
      </c>
      <c r="H1521">
        <f t="shared" si="118"/>
        <v>3.247399441315777</v>
      </c>
    </row>
    <row r="1522" spans="1:8" x14ac:dyDescent="0.25">
      <c r="A1522" s="13">
        <v>42475</v>
      </c>
      <c r="B1522">
        <v>759</v>
      </c>
      <c r="C1522" s="12">
        <v>7.7004619059937163E-3</v>
      </c>
      <c r="D1522" s="12">
        <f t="shared" si="115"/>
        <v>5.9625155121675385E-5</v>
      </c>
      <c r="E1522" s="11">
        <f t="shared" si="116"/>
        <v>7.6408367508720406E-3</v>
      </c>
      <c r="F1522">
        <f t="shared" si="119"/>
        <v>1.4268985950602605E-2</v>
      </c>
      <c r="G1522">
        <f t="shared" si="117"/>
        <v>0.53548561736087175</v>
      </c>
      <c r="H1522">
        <f t="shared" si="118"/>
        <v>3.1873559552391448</v>
      </c>
    </row>
    <row r="1523" spans="1:8" x14ac:dyDescent="0.25">
      <c r="A1523" s="13">
        <v>42478</v>
      </c>
      <c r="B1523">
        <v>766.60998500000005</v>
      </c>
      <c r="C1523" s="12">
        <v>1.0026330698287289E-2</v>
      </c>
      <c r="D1523" s="12">
        <f t="shared" si="115"/>
        <v>1.2152692698228201E-4</v>
      </c>
      <c r="E1523" s="11">
        <f t="shared" si="116"/>
        <v>9.9048037713050062E-3</v>
      </c>
      <c r="F1523">
        <f t="shared" si="119"/>
        <v>1.4735030203667076E-2</v>
      </c>
      <c r="G1523">
        <f t="shared" si="117"/>
        <v>0.6721943310872901</v>
      </c>
      <c r="H1523">
        <f t="shared" si="118"/>
        <v>3.0726664704261872</v>
      </c>
    </row>
    <row r="1524" spans="1:8" x14ac:dyDescent="0.25">
      <c r="A1524" s="13">
        <v>42479</v>
      </c>
      <c r="B1524">
        <v>753.92999299999997</v>
      </c>
      <c r="C1524" s="12">
        <v>-1.6540342870697278E-2</v>
      </c>
      <c r="D1524" s="12">
        <f t="shared" si="115"/>
        <v>1.714349541901741E-4</v>
      </c>
      <c r="E1524" s="11">
        <f t="shared" si="116"/>
        <v>-1.6711777824887451E-2</v>
      </c>
      <c r="F1524">
        <f t="shared" si="119"/>
        <v>1.5117486440818222E-2</v>
      </c>
      <c r="G1524">
        <f t="shared" si="117"/>
        <v>-1.1054600836131419</v>
      </c>
      <c r="H1524">
        <f t="shared" si="118"/>
        <v>2.6619436313012308</v>
      </c>
    </row>
    <row r="1525" spans="1:8" x14ac:dyDescent="0.25">
      <c r="A1525" s="13">
        <v>42480</v>
      </c>
      <c r="B1525">
        <v>752.669983</v>
      </c>
      <c r="C1525" s="12">
        <v>-1.671255967661156E-3</v>
      </c>
      <c r="D1525" s="12">
        <f t="shared" si="115"/>
        <v>-2.2439992364070899E-4</v>
      </c>
      <c r="E1525" s="11">
        <f t="shared" si="116"/>
        <v>-1.4468560440204471E-3</v>
      </c>
      <c r="F1525">
        <f t="shared" si="119"/>
        <v>1.6638362124776873E-2</v>
      </c>
      <c r="G1525">
        <f t="shared" si="117"/>
        <v>-8.6959042793393337E-2</v>
      </c>
      <c r="H1525">
        <f t="shared" si="118"/>
        <v>3.1733248076685703</v>
      </c>
    </row>
    <row r="1526" spans="1:8" x14ac:dyDescent="0.25">
      <c r="A1526" s="13">
        <v>42481</v>
      </c>
      <c r="B1526">
        <v>759.14001499999995</v>
      </c>
      <c r="C1526" s="12">
        <v>8.596107385884677E-3</v>
      </c>
      <c r="D1526" s="12">
        <f t="shared" si="115"/>
        <v>-6.7785406289321131E-5</v>
      </c>
      <c r="E1526" s="11">
        <f t="shared" si="116"/>
        <v>8.6638927921739977E-3</v>
      </c>
      <c r="F1526">
        <f t="shared" si="119"/>
        <v>1.438934973582214E-2</v>
      </c>
      <c r="G1526">
        <f t="shared" si="117"/>
        <v>0.60210453920689166</v>
      </c>
      <c r="H1526">
        <f t="shared" si="118"/>
        <v>3.1410634764480094</v>
      </c>
    </row>
    <row r="1527" spans="1:8" x14ac:dyDescent="0.25">
      <c r="A1527" s="13">
        <v>42482</v>
      </c>
      <c r="B1527">
        <v>718.77002000000005</v>
      </c>
      <c r="C1527" s="12">
        <v>-5.3178589196091752E-2</v>
      </c>
      <c r="D1527" s="12">
        <f t="shared" si="115"/>
        <v>1.2571824763122586E-4</v>
      </c>
      <c r="E1527" s="11">
        <f t="shared" si="116"/>
        <v>-5.3304307443722977E-2</v>
      </c>
      <c r="F1527">
        <f t="shared" si="119"/>
        <v>1.4902919359201506E-2</v>
      </c>
      <c r="G1527">
        <f t="shared" si="117"/>
        <v>-3.5767695012595846</v>
      </c>
      <c r="H1527">
        <f t="shared" si="118"/>
        <v>-3.1093804107002661</v>
      </c>
    </row>
    <row r="1528" spans="1:8" x14ac:dyDescent="0.25">
      <c r="A1528" s="13">
        <v>42485</v>
      </c>
      <c r="B1528">
        <v>723.15002400000003</v>
      </c>
      <c r="C1528" s="12">
        <v>6.0937488739443157E-3</v>
      </c>
      <c r="D1528" s="12">
        <f t="shared" si="115"/>
        <v>-7.8221711057521444E-4</v>
      </c>
      <c r="E1528" s="11">
        <f t="shared" si="116"/>
        <v>6.8759659845195305E-3</v>
      </c>
      <c r="F1528">
        <f t="shared" si="119"/>
        <v>3.1389815625833949E-2</v>
      </c>
      <c r="G1528">
        <f t="shared" si="117"/>
        <v>0.21905085606366487</v>
      </c>
      <c r="H1528">
        <f t="shared" si="118"/>
        <v>2.5183416098290601</v>
      </c>
    </row>
    <row r="1529" spans="1:8" x14ac:dyDescent="0.25">
      <c r="A1529" s="13">
        <v>42486</v>
      </c>
      <c r="B1529">
        <v>708.14001499999995</v>
      </c>
      <c r="C1529" s="12">
        <v>-2.0756424672399798E-2</v>
      </c>
      <c r="D1529" s="12">
        <f t="shared" si="115"/>
        <v>-4.4501469756087829E-5</v>
      </c>
      <c r="E1529" s="11">
        <f t="shared" si="116"/>
        <v>-2.0711923202643711E-2</v>
      </c>
      <c r="F1529">
        <f t="shared" si="119"/>
        <v>1.6662842983820484E-2</v>
      </c>
      <c r="G1529">
        <f t="shared" si="117"/>
        <v>-1.2430005625543528</v>
      </c>
      <c r="H1529">
        <f t="shared" si="118"/>
        <v>2.4031102770539965</v>
      </c>
    </row>
    <row r="1530" spans="1:8" x14ac:dyDescent="0.25">
      <c r="A1530" s="13">
        <v>42487</v>
      </c>
      <c r="B1530">
        <v>705.84002699999996</v>
      </c>
      <c r="C1530" s="12">
        <v>-3.2479283069464238E-3</v>
      </c>
      <c r="D1530" s="12">
        <f t="shared" si="115"/>
        <v>-2.9827341079723997E-4</v>
      </c>
      <c r="E1530" s="11">
        <f t="shared" si="116"/>
        <v>-2.9496548961491838E-3</v>
      </c>
      <c r="F1530">
        <f t="shared" si="119"/>
        <v>1.735948243229208E-2</v>
      </c>
      <c r="G1530">
        <f t="shared" si="117"/>
        <v>-0.16991606216682134</v>
      </c>
      <c r="H1530">
        <f t="shared" si="118"/>
        <v>3.120242116706621</v>
      </c>
    </row>
    <row r="1531" spans="1:8" x14ac:dyDescent="0.25">
      <c r="A1531" s="13">
        <v>42488</v>
      </c>
      <c r="B1531">
        <v>691.02002000000005</v>
      </c>
      <c r="C1531" s="12">
        <v>-2.0996268889692637E-2</v>
      </c>
      <c r="D1531" s="12">
        <f t="shared" si="115"/>
        <v>-1.0246727089348637E-4</v>
      </c>
      <c r="E1531" s="11">
        <f t="shared" si="116"/>
        <v>-2.0893801618799151E-2</v>
      </c>
      <c r="F1531">
        <f t="shared" si="119"/>
        <v>1.4516077398849386E-2</v>
      </c>
      <c r="G1531">
        <f t="shared" si="117"/>
        <v>-1.4393558979270318</v>
      </c>
      <c r="H1531">
        <f t="shared" si="118"/>
        <v>2.2776872240240582</v>
      </c>
    </row>
    <row r="1532" spans="1:8" x14ac:dyDescent="0.25">
      <c r="A1532" s="13">
        <v>42489</v>
      </c>
      <c r="B1532">
        <v>693.01000999999997</v>
      </c>
      <c r="C1532" s="12">
        <v>2.8797863193601447E-3</v>
      </c>
      <c r="D1532" s="12">
        <f t="shared" si="115"/>
        <v>-3.259088171552099E-4</v>
      </c>
      <c r="E1532" s="11">
        <f t="shared" si="116"/>
        <v>3.2056951365153547E-3</v>
      </c>
      <c r="F1532">
        <f t="shared" si="119"/>
        <v>1.8088471079664083E-2</v>
      </c>
      <c r="G1532">
        <f t="shared" si="117"/>
        <v>0.17722311202516997</v>
      </c>
      <c r="H1532">
        <f t="shared" si="118"/>
        <v>3.077837951655622</v>
      </c>
    </row>
    <row r="1533" spans="1:8" x14ac:dyDescent="0.25">
      <c r="A1533" s="13">
        <v>42492</v>
      </c>
      <c r="B1533">
        <v>698.21002199999998</v>
      </c>
      <c r="C1533" s="12">
        <v>7.503516435498625E-3</v>
      </c>
      <c r="D1533" s="12">
        <f t="shared" si="115"/>
        <v>-1.0403973719166294E-5</v>
      </c>
      <c r="E1533" s="11">
        <f t="shared" si="116"/>
        <v>7.5139204092177911E-3</v>
      </c>
      <c r="F1533">
        <f t="shared" si="119"/>
        <v>1.460672920220045E-2</v>
      </c>
      <c r="G1533">
        <f t="shared" si="117"/>
        <v>0.51441498676417219</v>
      </c>
      <c r="H1533">
        <f t="shared" si="118"/>
        <v>3.1750230296828201</v>
      </c>
    </row>
    <row r="1534" spans="1:8" x14ac:dyDescent="0.25">
      <c r="A1534" s="13">
        <v>42493</v>
      </c>
      <c r="B1534">
        <v>692.35998500000005</v>
      </c>
      <c r="C1534" s="12">
        <v>-8.3786207812409641E-3</v>
      </c>
      <c r="D1534" s="12">
        <f t="shared" si="115"/>
        <v>1.2088921227916721E-4</v>
      </c>
      <c r="E1534" s="11">
        <f t="shared" si="116"/>
        <v>-8.4995099935201313E-3</v>
      </c>
      <c r="F1534">
        <f t="shared" si="119"/>
        <v>1.4720840135876778E-2</v>
      </c>
      <c r="G1534">
        <f t="shared" si="117"/>
        <v>-0.57737941007902249</v>
      </c>
      <c r="H1534">
        <f t="shared" si="118"/>
        <v>3.1328690680656681</v>
      </c>
    </row>
    <row r="1535" spans="1:8" x14ac:dyDescent="0.25">
      <c r="A1535" s="13">
        <v>42494</v>
      </c>
      <c r="B1535">
        <v>695.70001200000002</v>
      </c>
      <c r="C1535" s="12">
        <v>4.8241190599713768E-3</v>
      </c>
      <c r="D1535" s="12">
        <f t="shared" si="115"/>
        <v>-1.0744009250722817E-4</v>
      </c>
      <c r="E1535" s="11">
        <f t="shared" si="116"/>
        <v>4.9315591524786047E-3</v>
      </c>
      <c r="F1535">
        <f t="shared" si="119"/>
        <v>1.4874060112211743E-2</v>
      </c>
      <c r="G1535">
        <f t="shared" si="117"/>
        <v>0.33155433790601319</v>
      </c>
      <c r="H1535">
        <f t="shared" si="118"/>
        <v>3.234233842583591</v>
      </c>
    </row>
    <row r="1536" spans="1:8" x14ac:dyDescent="0.25">
      <c r="A1536" s="13">
        <v>42495</v>
      </c>
      <c r="B1536">
        <v>701.42999299999997</v>
      </c>
      <c r="C1536" s="12">
        <v>8.2362813010845581E-3</v>
      </c>
      <c r="D1536" s="12">
        <f t="shared" si="115"/>
        <v>5.1430417637004814E-5</v>
      </c>
      <c r="E1536" s="11">
        <f t="shared" si="116"/>
        <v>8.1848508834475534E-3</v>
      </c>
      <c r="F1536">
        <f t="shared" si="119"/>
        <v>1.4421544870474491E-2</v>
      </c>
      <c r="G1536">
        <f t="shared" si="117"/>
        <v>0.56754328034609924</v>
      </c>
      <c r="H1536">
        <f t="shared" si="118"/>
        <v>3.1590407982512887</v>
      </c>
    </row>
    <row r="1537" spans="1:8" x14ac:dyDescent="0.25">
      <c r="A1537" s="13">
        <v>42496</v>
      </c>
      <c r="B1537">
        <v>711.11999500000002</v>
      </c>
      <c r="C1537" s="12">
        <v>1.3814638804588553E-2</v>
      </c>
      <c r="D1537" s="12">
        <f t="shared" si="115"/>
        <v>1.3696892144447412E-4</v>
      </c>
      <c r="E1537" s="11">
        <f t="shared" si="116"/>
        <v>1.3677669883144079E-2</v>
      </c>
      <c r="F1537">
        <f t="shared" si="119"/>
        <v>1.4822581056966105E-2</v>
      </c>
      <c r="G1537">
        <f t="shared" si="117"/>
        <v>0.92275898715467253</v>
      </c>
      <c r="H1537">
        <f t="shared" si="118"/>
        <v>2.8669229064972495</v>
      </c>
    </row>
    <row r="1538" spans="1:8" x14ac:dyDescent="0.25">
      <c r="A1538" s="13">
        <v>42499</v>
      </c>
      <c r="B1538">
        <v>712.90002400000003</v>
      </c>
      <c r="C1538" s="12">
        <v>2.5031345096688806E-3</v>
      </c>
      <c r="D1538" s="12">
        <f t="shared" si="115"/>
        <v>2.301089220318367E-4</v>
      </c>
      <c r="E1538" s="11">
        <f t="shared" si="116"/>
        <v>2.2730255876370438E-3</v>
      </c>
      <c r="F1538">
        <f t="shared" si="119"/>
        <v>1.591470228754633E-2</v>
      </c>
      <c r="G1538">
        <f t="shared" si="117"/>
        <v>0.14282551734667043</v>
      </c>
      <c r="H1538">
        <f t="shared" si="118"/>
        <v>3.21137382742184</v>
      </c>
    </row>
    <row r="1539" spans="1:8" x14ac:dyDescent="0.25">
      <c r="A1539" s="13">
        <v>42500</v>
      </c>
      <c r="B1539">
        <v>723.17999299999997</v>
      </c>
      <c r="C1539" s="12">
        <v>1.4419930781205847E-2</v>
      </c>
      <c r="D1539" s="12">
        <f t="shared" si="115"/>
        <v>7.3362317815962505E-5</v>
      </c>
      <c r="E1539" s="11">
        <f t="shared" si="116"/>
        <v>1.4346568463389884E-2</v>
      </c>
      <c r="F1539">
        <f t="shared" si="119"/>
        <v>1.4337889282971302E-2</v>
      </c>
      <c r="G1539">
        <f t="shared" si="117"/>
        <v>1.0006053318063273</v>
      </c>
      <c r="H1539">
        <f t="shared" si="118"/>
        <v>2.8253055972867189</v>
      </c>
    </row>
    <row r="1540" spans="1:8" x14ac:dyDescent="0.25">
      <c r="A1540" s="13">
        <v>42501</v>
      </c>
      <c r="B1540">
        <v>715.28997800000002</v>
      </c>
      <c r="C1540" s="12">
        <v>-1.0910167698734874E-2</v>
      </c>
      <c r="D1540" s="12">
        <f t="shared" si="115"/>
        <v>2.2452974452020634E-4</v>
      </c>
      <c r="E1540" s="11">
        <f t="shared" si="116"/>
        <v>-1.1134697443255081E-2</v>
      </c>
      <c r="F1540">
        <f t="shared" si="119"/>
        <v>1.6158413083026575E-2</v>
      </c>
      <c r="G1540">
        <f t="shared" si="117"/>
        <v>-0.6890959765690976</v>
      </c>
      <c r="H1540">
        <f t="shared" si="118"/>
        <v>2.9689492653523835</v>
      </c>
    </row>
    <row r="1541" spans="1:8" x14ac:dyDescent="0.25">
      <c r="A1541" s="13">
        <v>42502</v>
      </c>
      <c r="B1541">
        <v>713.30999799999995</v>
      </c>
      <c r="C1541" s="12">
        <v>-2.768080164545661E-3</v>
      </c>
      <c r="D1541" s="12">
        <f t="shared" si="115"/>
        <v>-1.2795393076413697E-4</v>
      </c>
      <c r="E1541" s="11">
        <f t="shared" si="116"/>
        <v>-2.6401262337815241E-3</v>
      </c>
      <c r="F1541">
        <f t="shared" si="119"/>
        <v>1.5302820908490869E-2</v>
      </c>
      <c r="G1541">
        <f t="shared" si="117"/>
        <v>-0.17252546112701567</v>
      </c>
      <c r="H1541">
        <f t="shared" si="118"/>
        <v>3.2458970439011838</v>
      </c>
    </row>
    <row r="1542" spans="1:8" x14ac:dyDescent="0.25">
      <c r="A1542" s="13">
        <v>42503</v>
      </c>
      <c r="B1542">
        <v>710.830017</v>
      </c>
      <c r="C1542" s="12">
        <v>-3.4767226128238349E-3</v>
      </c>
      <c r="D1542" s="12">
        <f t="shared" ref="D1542:D1605" si="120">+C1541*$K$11+C1540*$K$10</f>
        <v>-6.9905127763154008E-5</v>
      </c>
      <c r="E1542" s="11">
        <f t="shared" ref="E1542:E1605" si="121">C1542-D1542</f>
        <v>-3.4068174850606808E-3</v>
      </c>
      <c r="F1542">
        <f t="shared" si="119"/>
        <v>1.4293790720398969E-2</v>
      </c>
      <c r="G1542">
        <f t="shared" ref="G1542:G1605" si="122">E1542/F1542</f>
        <v>-0.23834247693292027</v>
      </c>
      <c r="H1542">
        <f t="shared" ref="H1542:H1605" si="123">1/2*(-LN(PI()*2)-2*LN(F1542)-(E1542/F1542)^2)</f>
        <v>3.3005879500118449</v>
      </c>
    </row>
    <row r="1543" spans="1:8" x14ac:dyDescent="0.25">
      <c r="A1543" s="13">
        <v>42506</v>
      </c>
      <c r="B1543">
        <v>716.48999000000003</v>
      </c>
      <c r="C1543" s="12">
        <v>7.9624845105550346E-3</v>
      </c>
      <c r="D1543" s="12">
        <f t="shared" si="120"/>
        <v>-5.9698184356981175E-5</v>
      </c>
      <c r="E1543" s="11">
        <f t="shared" si="121"/>
        <v>8.022182694912016E-3</v>
      </c>
      <c r="F1543">
        <f t="shared" ref="F1543:F1606" si="124">SQRT($K$6+$K$7*G1542^2+$K$8*F1542^2)</f>
        <v>1.4251255013338654E-2</v>
      </c>
      <c r="G1543">
        <f t="shared" si="122"/>
        <v>0.56291061295328348</v>
      </c>
      <c r="H1543">
        <f t="shared" si="123"/>
        <v>3.1735375927416323</v>
      </c>
    </row>
    <row r="1544" spans="1:8" x14ac:dyDescent="0.25">
      <c r="A1544" s="13">
        <v>42507</v>
      </c>
      <c r="B1544">
        <v>706.22997999999995</v>
      </c>
      <c r="C1544" s="12">
        <v>-1.4319823226002226E-2</v>
      </c>
      <c r="D1544" s="12">
        <f t="shared" si="120"/>
        <v>1.1149491066524022E-4</v>
      </c>
      <c r="E1544" s="11">
        <f t="shared" si="121"/>
        <v>-1.4431318136667466E-2</v>
      </c>
      <c r="F1544">
        <f t="shared" si="124"/>
        <v>1.4795895130121861E-2</v>
      </c>
      <c r="G1544">
        <f t="shared" si="122"/>
        <v>-0.97535958519250521</v>
      </c>
      <c r="H1544">
        <f t="shared" si="123"/>
        <v>2.8188037993371036</v>
      </c>
    </row>
    <row r="1545" spans="1:8" x14ac:dyDescent="0.25">
      <c r="A1545" s="13">
        <v>42508</v>
      </c>
      <c r="B1545">
        <v>706.63000499999998</v>
      </c>
      <c r="C1545" s="12">
        <v>5.6642313598764815E-4</v>
      </c>
      <c r="D1545" s="12">
        <f t="shared" si="120"/>
        <v>-1.9611931163580269E-4</v>
      </c>
      <c r="E1545" s="11">
        <f t="shared" si="121"/>
        <v>7.6254244762345084E-4</v>
      </c>
      <c r="F1545">
        <f t="shared" si="124"/>
        <v>1.6103423492503665E-2</v>
      </c>
      <c r="G1545">
        <f t="shared" si="122"/>
        <v>4.7352815876600611E-2</v>
      </c>
      <c r="H1545">
        <f t="shared" si="123"/>
        <v>3.2086637125199124</v>
      </c>
    </row>
    <row r="1546" spans="1:8" x14ac:dyDescent="0.25">
      <c r="A1546" s="13">
        <v>42509</v>
      </c>
      <c r="B1546">
        <v>700.32000700000003</v>
      </c>
      <c r="C1546" s="12">
        <v>-8.9297057234357657E-3</v>
      </c>
      <c r="D1546" s="12">
        <f t="shared" si="120"/>
        <v>-2.8234566573743506E-5</v>
      </c>
      <c r="E1546" s="11">
        <f t="shared" si="121"/>
        <v>-8.9014711568620227E-3</v>
      </c>
      <c r="F1546">
        <f t="shared" si="124"/>
        <v>1.4319335367328719E-2</v>
      </c>
      <c r="G1546">
        <f t="shared" si="122"/>
        <v>-0.62163996641714225</v>
      </c>
      <c r="H1546">
        <f t="shared" si="123"/>
        <v>3.1339878742945633</v>
      </c>
    </row>
    <row r="1547" spans="1:8" x14ac:dyDescent="0.25">
      <c r="A1547" s="13">
        <v>42510</v>
      </c>
      <c r="B1547">
        <v>709.73999000000003</v>
      </c>
      <c r="C1547" s="12">
        <v>1.3450969422325709E-2</v>
      </c>
      <c r="D1547" s="12">
        <f t="shared" si="120"/>
        <v>-1.3360320241557669E-4</v>
      </c>
      <c r="E1547" s="11">
        <f t="shared" si="121"/>
        <v>1.3584572624741286E-2</v>
      </c>
      <c r="F1547">
        <f t="shared" si="124"/>
        <v>1.4945526660362732E-2</v>
      </c>
      <c r="G1547">
        <f t="shared" si="122"/>
        <v>0.90893903797777476</v>
      </c>
      <c r="H1547">
        <f t="shared" si="123"/>
        <v>2.8713196233786635</v>
      </c>
    </row>
    <row r="1548" spans="1:8" x14ac:dyDescent="0.25">
      <c r="A1548" s="13">
        <v>42513</v>
      </c>
      <c r="B1548">
        <v>704.23999000000003</v>
      </c>
      <c r="C1548" s="12">
        <v>-7.7493167603532864E-3</v>
      </c>
      <c r="D1548" s="12">
        <f t="shared" si="120"/>
        <v>1.8049244997445088E-4</v>
      </c>
      <c r="E1548" s="11">
        <f t="shared" si="121"/>
        <v>-7.9298092103277373E-3</v>
      </c>
      <c r="F1548">
        <f t="shared" si="124"/>
        <v>1.5876975672171334E-2</v>
      </c>
      <c r="G1548">
        <f t="shared" si="122"/>
        <v>-0.49945338294035801</v>
      </c>
      <c r="H1548">
        <f t="shared" si="123"/>
        <v>3.0992199160865863</v>
      </c>
    </row>
    <row r="1549" spans="1:8" x14ac:dyDescent="0.25">
      <c r="A1549" s="13">
        <v>42514</v>
      </c>
      <c r="B1549">
        <v>720.09002699999996</v>
      </c>
      <c r="C1549" s="12">
        <v>2.2506584722631118E-2</v>
      </c>
      <c r="D1549" s="12">
        <f t="shared" si="120"/>
        <v>-8.2637291512090063E-5</v>
      </c>
      <c r="E1549" s="11">
        <f t="shared" si="121"/>
        <v>2.2589222014143207E-2</v>
      </c>
      <c r="F1549">
        <f t="shared" si="124"/>
        <v>1.4815417447855257E-2</v>
      </c>
      <c r="G1549">
        <f t="shared" si="122"/>
        <v>1.5247104641937252</v>
      </c>
      <c r="H1549">
        <f t="shared" si="123"/>
        <v>2.1307773879599754</v>
      </c>
    </row>
    <row r="1550" spans="1:8" x14ac:dyDescent="0.25">
      <c r="A1550" s="13">
        <v>42515</v>
      </c>
      <c r="B1550">
        <v>725.27002000000005</v>
      </c>
      <c r="C1550" s="12">
        <v>7.1935352605572156E-3</v>
      </c>
      <c r="D1550" s="12">
        <f t="shared" si="120"/>
        <v>3.2048925042675488E-4</v>
      </c>
      <c r="E1550" s="11">
        <f t="shared" si="121"/>
        <v>6.8730460101304605E-3</v>
      </c>
      <c r="F1550">
        <f t="shared" si="124"/>
        <v>1.8534859928562259E-2</v>
      </c>
      <c r="G1550">
        <f t="shared" si="122"/>
        <v>0.37081726199285064</v>
      </c>
      <c r="H1550">
        <f t="shared" si="123"/>
        <v>3.0004107454391775</v>
      </c>
    </row>
    <row r="1551" spans="1:8" x14ac:dyDescent="0.25">
      <c r="A1551" s="13">
        <v>42516</v>
      </c>
      <c r="B1551">
        <v>724.11999500000002</v>
      </c>
      <c r="C1551" s="12">
        <v>-1.5856508173328621E-3</v>
      </c>
      <c r="D1551" s="12">
        <f t="shared" si="120"/>
        <v>1.6664115303816911E-4</v>
      </c>
      <c r="E1551" s="11">
        <f t="shared" si="121"/>
        <v>-1.7522919703710311E-3</v>
      </c>
      <c r="F1551">
        <f t="shared" si="124"/>
        <v>1.4880531733863871E-2</v>
      </c>
      <c r="G1551">
        <f t="shared" si="122"/>
        <v>-0.11775734911295618</v>
      </c>
      <c r="H1551">
        <f t="shared" si="123"/>
        <v>3.2818295855732567</v>
      </c>
    </row>
    <row r="1552" spans="1:8" x14ac:dyDescent="0.25">
      <c r="A1552" s="13">
        <v>42517</v>
      </c>
      <c r="B1552">
        <v>732.65997300000004</v>
      </c>
      <c r="C1552" s="12">
        <v>1.1793595065690665E-2</v>
      </c>
      <c r="D1552" s="12">
        <f t="shared" si="120"/>
        <v>-5.4952747683919286E-6</v>
      </c>
      <c r="E1552" s="11">
        <f t="shared" si="121"/>
        <v>1.1799090340459057E-2</v>
      </c>
      <c r="F1552">
        <f t="shared" si="124"/>
        <v>1.4216633316568068E-2</v>
      </c>
      <c r="G1552">
        <f t="shared" si="122"/>
        <v>0.82994968483208986</v>
      </c>
      <c r="H1552">
        <f t="shared" si="123"/>
        <v>2.9899958666793478</v>
      </c>
    </row>
    <row r="1553" spans="1:8" x14ac:dyDescent="0.25">
      <c r="A1553" s="13">
        <v>42521</v>
      </c>
      <c r="B1553">
        <v>735.71997099999999</v>
      </c>
      <c r="C1553" s="12">
        <v>4.1765595402603051E-3</v>
      </c>
      <c r="D1553" s="12">
        <f t="shared" si="120"/>
        <v>1.7429921115428226E-4</v>
      </c>
      <c r="E1553" s="11">
        <f t="shared" si="121"/>
        <v>4.0022603291060225E-3</v>
      </c>
      <c r="F1553">
        <f t="shared" si="124"/>
        <v>1.5544045453031025E-2</v>
      </c>
      <c r="G1553">
        <f t="shared" si="122"/>
        <v>0.25747868154397335</v>
      </c>
      <c r="H1553">
        <f t="shared" si="123"/>
        <v>3.2119914738289959</v>
      </c>
    </row>
    <row r="1554" spans="1:8" x14ac:dyDescent="0.25">
      <c r="A1554" s="13">
        <v>42522</v>
      </c>
      <c r="B1554">
        <v>734.15002400000003</v>
      </c>
      <c r="C1554" s="12">
        <v>-2.1338920538830353E-3</v>
      </c>
      <c r="D1554" s="12">
        <f t="shared" si="120"/>
        <v>9.3478302853761751E-5</v>
      </c>
      <c r="E1554" s="11">
        <f t="shared" si="121"/>
        <v>-2.227370356736797E-3</v>
      </c>
      <c r="F1554">
        <f t="shared" si="124"/>
        <v>1.4396754165818034E-2</v>
      </c>
      <c r="G1554">
        <f t="shared" si="122"/>
        <v>-0.15471337018626075</v>
      </c>
      <c r="H1554">
        <f t="shared" si="123"/>
        <v>3.3098458562973985</v>
      </c>
    </row>
    <row r="1555" spans="1:8" x14ac:dyDescent="0.25">
      <c r="A1555" s="13">
        <v>42523</v>
      </c>
      <c r="B1555">
        <v>730.40002400000003</v>
      </c>
      <c r="C1555" s="12">
        <v>-5.107947800053414E-3</v>
      </c>
      <c r="D1555" s="12">
        <f t="shared" si="120"/>
        <v>-2.1540785569820369E-5</v>
      </c>
      <c r="E1555" s="11">
        <f t="shared" si="121"/>
        <v>-5.0864070144835934E-3</v>
      </c>
      <c r="F1555">
        <f t="shared" si="124"/>
        <v>1.4190416330373044E-2</v>
      </c>
      <c r="G1555">
        <f t="shared" si="122"/>
        <v>-0.35843959021813138</v>
      </c>
      <c r="H1555">
        <f t="shared" si="123"/>
        <v>3.2720104454159253</v>
      </c>
    </row>
    <row r="1556" spans="1:8" x14ac:dyDescent="0.25">
      <c r="A1556" s="13">
        <v>42524</v>
      </c>
      <c r="B1556">
        <v>722.34002699999996</v>
      </c>
      <c r="C1556" s="12">
        <v>-1.1035044818125672E-2</v>
      </c>
      <c r="D1556" s="12">
        <f t="shared" si="120"/>
        <v>-8.2740089413722653E-5</v>
      </c>
      <c r="E1556" s="11">
        <f t="shared" si="121"/>
        <v>-1.095230472871195E-2</v>
      </c>
      <c r="F1556">
        <f t="shared" si="124"/>
        <v>1.4394697774027816E-2</v>
      </c>
      <c r="G1556">
        <f t="shared" si="122"/>
        <v>-0.76085687248488565</v>
      </c>
      <c r="H1556">
        <f t="shared" si="123"/>
        <v>3.0325052269347235</v>
      </c>
    </row>
    <row r="1557" spans="1:8" x14ac:dyDescent="0.25">
      <c r="A1557" s="13">
        <v>42527</v>
      </c>
      <c r="B1557">
        <v>716.54998799999998</v>
      </c>
      <c r="C1557" s="12">
        <v>-8.0156696065244448E-3</v>
      </c>
      <c r="D1557" s="12">
        <f t="shared" si="120"/>
        <v>-1.8002874064449066E-4</v>
      </c>
      <c r="E1557" s="11">
        <f t="shared" si="121"/>
        <v>-7.8356408658799542E-3</v>
      </c>
      <c r="F1557">
        <f t="shared" si="124"/>
        <v>1.5341822681924949E-2</v>
      </c>
      <c r="G1557">
        <f t="shared" si="122"/>
        <v>-0.51073728515397043</v>
      </c>
      <c r="H1557">
        <f t="shared" si="123"/>
        <v>3.1278078507736051</v>
      </c>
    </row>
    <row r="1558" spans="1:8" x14ac:dyDescent="0.25">
      <c r="A1558" s="13">
        <v>42528</v>
      </c>
      <c r="B1558">
        <v>716.65002400000003</v>
      </c>
      <c r="C1558" s="12">
        <v>1.3960784547539795E-4</v>
      </c>
      <c r="D1558" s="12">
        <f t="shared" si="120"/>
        <v>-1.4959414120350225E-4</v>
      </c>
      <c r="E1558" s="11">
        <f t="shared" si="121"/>
        <v>2.892019866789002E-4</v>
      </c>
      <c r="F1558">
        <f t="shared" si="124"/>
        <v>1.4784748872062681E-2</v>
      </c>
      <c r="G1558">
        <f t="shared" si="122"/>
        <v>1.9560831853246922E-2</v>
      </c>
      <c r="H1558">
        <f t="shared" si="123"/>
        <v>3.2950292648646031</v>
      </c>
    </row>
    <row r="1559" spans="1:8" x14ac:dyDescent="0.25">
      <c r="A1559" s="13">
        <v>42529</v>
      </c>
      <c r="B1559">
        <v>728.28002900000001</v>
      </c>
      <c r="C1559" s="12">
        <v>1.6228290812141166E-2</v>
      </c>
      <c r="D1559" s="12">
        <f t="shared" si="120"/>
        <v>-1.8488516197342459E-5</v>
      </c>
      <c r="E1559" s="11">
        <f t="shared" si="121"/>
        <v>1.6246779328338509E-2</v>
      </c>
      <c r="F1559">
        <f t="shared" si="124"/>
        <v>1.4177909987877097E-2</v>
      </c>
      <c r="G1559">
        <f t="shared" si="122"/>
        <v>1.1459220253359212</v>
      </c>
      <c r="H1559">
        <f t="shared" si="123"/>
        <v>2.680562983007738</v>
      </c>
    </row>
    <row r="1560" spans="1:8" x14ac:dyDescent="0.25">
      <c r="A1560" s="13">
        <v>42530</v>
      </c>
      <c r="B1560">
        <v>728.580017</v>
      </c>
      <c r="C1560" s="12">
        <v>4.1191298409204435E-4</v>
      </c>
      <c r="D1560" s="12">
        <f t="shared" si="120"/>
        <v>2.4580640630431842E-4</v>
      </c>
      <c r="E1560" s="11">
        <f t="shared" si="121"/>
        <v>1.6610657778772593E-4</v>
      </c>
      <c r="F1560">
        <f t="shared" si="124"/>
        <v>1.6726357964982688E-2</v>
      </c>
      <c r="G1560">
        <f t="shared" si="122"/>
        <v>9.9308276275969238E-3</v>
      </c>
      <c r="H1560">
        <f t="shared" si="123"/>
        <v>3.1717816386695814</v>
      </c>
    </row>
    <row r="1561" spans="1:8" x14ac:dyDescent="0.25">
      <c r="A1561" s="13">
        <v>42531</v>
      </c>
      <c r="B1561">
        <v>719.40997300000004</v>
      </c>
      <c r="C1561" s="12">
        <v>-1.2586186535500254E-2</v>
      </c>
      <c r="D1561" s="12">
        <f t="shared" si="120"/>
        <v>4.7936288647918403E-5</v>
      </c>
      <c r="E1561" s="11">
        <f t="shared" si="121"/>
        <v>-1.2634122824148173E-2</v>
      </c>
      <c r="F1561">
        <f t="shared" si="124"/>
        <v>1.4383265039788234E-2</v>
      </c>
      <c r="G1561">
        <f t="shared" si="122"/>
        <v>-0.87839046205423921</v>
      </c>
      <c r="H1561">
        <f t="shared" si="123"/>
        <v>2.9369664631162671</v>
      </c>
    </row>
    <row r="1562" spans="1:8" x14ac:dyDescent="0.25">
      <c r="A1562" s="13">
        <v>42534</v>
      </c>
      <c r="B1562">
        <v>718.35998500000005</v>
      </c>
      <c r="C1562" s="12">
        <v>-1.4595127109809924E-3</v>
      </c>
      <c r="D1562" s="12">
        <f t="shared" si="120"/>
        <v>-1.8930337158124658E-4</v>
      </c>
      <c r="E1562" s="11">
        <f t="shared" si="121"/>
        <v>-1.2702093393997459E-3</v>
      </c>
      <c r="F1562">
        <f t="shared" si="124"/>
        <v>1.5720903956153266E-2</v>
      </c>
      <c r="G1562">
        <f t="shared" si="122"/>
        <v>-8.0797474683545645E-2</v>
      </c>
      <c r="H1562">
        <f t="shared" si="123"/>
        <v>3.2305613408999609</v>
      </c>
    </row>
    <row r="1563" spans="1:8" x14ac:dyDescent="0.25">
      <c r="A1563" s="13">
        <v>42535</v>
      </c>
      <c r="B1563">
        <v>718.27002000000005</v>
      </c>
      <c r="C1563" s="12">
        <v>-1.2523665276265028E-4</v>
      </c>
      <c r="D1563" s="12">
        <f t="shared" si="120"/>
        <v>-5.4420790824721149E-5</v>
      </c>
      <c r="E1563" s="11">
        <f t="shared" si="121"/>
        <v>-7.0815861937929131E-5</v>
      </c>
      <c r="F1563">
        <f t="shared" si="124"/>
        <v>1.4287601531001795E-2</v>
      </c>
      <c r="G1563">
        <f t="shared" si="122"/>
        <v>-4.9564555523381659E-3</v>
      </c>
      <c r="H1563">
        <f t="shared" si="123"/>
        <v>3.3294123271741234</v>
      </c>
    </row>
    <row r="1564" spans="1:8" x14ac:dyDescent="0.25">
      <c r="A1564" s="13">
        <v>42536</v>
      </c>
      <c r="B1564">
        <v>718.919983</v>
      </c>
      <c r="C1564" s="12">
        <v>9.0490063889903105E-4</v>
      </c>
      <c r="D1564" s="12">
        <f t="shared" si="120"/>
        <v>-5.6450691470084597E-6</v>
      </c>
      <c r="E1564" s="11">
        <f t="shared" si="121"/>
        <v>9.1054570804603946E-4</v>
      </c>
      <c r="F1564">
        <f t="shared" si="124"/>
        <v>1.4128040580294475E-2</v>
      </c>
      <c r="G1564">
        <f t="shared" si="122"/>
        <v>6.4449539401525466E-2</v>
      </c>
      <c r="H1564">
        <f t="shared" si="123"/>
        <v>3.3385783580243018</v>
      </c>
    </row>
    <row r="1565" spans="1:8" x14ac:dyDescent="0.25">
      <c r="A1565" s="13">
        <v>42537</v>
      </c>
      <c r="B1565">
        <v>710.35998500000005</v>
      </c>
      <c r="C1565" s="12">
        <v>-1.1906746512010624E-2</v>
      </c>
      <c r="D1565" s="12">
        <f t="shared" si="120"/>
        <v>1.3364473145429392E-5</v>
      </c>
      <c r="E1565" s="11">
        <f t="shared" si="121"/>
        <v>-1.1920110985156053E-2</v>
      </c>
      <c r="F1565">
        <f t="shared" si="124"/>
        <v>1.4121566247387505E-2</v>
      </c>
      <c r="G1565">
        <f t="shared" si="122"/>
        <v>-0.84410686295943116</v>
      </c>
      <c r="H1565">
        <f t="shared" si="123"/>
        <v>2.9848553977804366</v>
      </c>
    </row>
    <row r="1566" spans="1:8" x14ac:dyDescent="0.25">
      <c r="A1566" s="13">
        <v>42538</v>
      </c>
      <c r="B1566">
        <v>691.71997099999999</v>
      </c>
      <c r="C1566" s="12">
        <v>-2.624023649079843E-2</v>
      </c>
      <c r="D1566" s="12">
        <f t="shared" si="120"/>
        <v>-1.7776009826442105E-4</v>
      </c>
      <c r="E1566" s="11">
        <f t="shared" si="121"/>
        <v>-2.606247639253401E-2</v>
      </c>
      <c r="F1566">
        <f t="shared" si="124"/>
        <v>1.5582384040075926E-2</v>
      </c>
      <c r="G1566">
        <f t="shared" si="122"/>
        <v>-1.6725602658428009</v>
      </c>
      <c r="H1566">
        <f t="shared" si="123"/>
        <v>1.8439467763427153</v>
      </c>
    </row>
    <row r="1567" spans="1:8" x14ac:dyDescent="0.25">
      <c r="A1567" s="13">
        <v>42541</v>
      </c>
      <c r="B1567">
        <v>693.71002199999998</v>
      </c>
      <c r="C1567" s="12">
        <v>2.8769604513847469E-3</v>
      </c>
      <c r="D1567" s="12">
        <f t="shared" si="120"/>
        <v>-4.2747503360159901E-4</v>
      </c>
      <c r="E1567" s="11">
        <f t="shared" si="121"/>
        <v>3.3044354849863459E-3</v>
      </c>
      <c r="F1567">
        <f t="shared" si="124"/>
        <v>1.9358498514887447E-2</v>
      </c>
      <c r="G1567">
        <f t="shared" si="122"/>
        <v>0.17069688966037863</v>
      </c>
      <c r="H1567">
        <f t="shared" si="123"/>
        <v>3.0111165089159977</v>
      </c>
    </row>
    <row r="1568" spans="1:8" x14ac:dyDescent="0.25">
      <c r="A1568" s="13">
        <v>42542</v>
      </c>
      <c r="B1568">
        <v>695.94000200000005</v>
      </c>
      <c r="C1568" s="12">
        <v>3.2145708282704799E-3</v>
      </c>
      <c r="D1568" s="12">
        <f t="shared" si="120"/>
        <v>-2.392355936694688E-5</v>
      </c>
      <c r="E1568" s="11">
        <f t="shared" si="121"/>
        <v>3.2384943876374267E-3</v>
      </c>
      <c r="F1568">
        <f t="shared" si="124"/>
        <v>1.4757712915071136E-2</v>
      </c>
      <c r="G1568">
        <f t="shared" si="122"/>
        <v>0.21944419208278224</v>
      </c>
      <c r="H1568">
        <f t="shared" si="123"/>
        <v>3.2729730134453838</v>
      </c>
    </row>
    <row r="1569" spans="1:8" x14ac:dyDescent="0.25">
      <c r="A1569" s="13">
        <v>42543</v>
      </c>
      <c r="B1569">
        <v>697.46002199999998</v>
      </c>
      <c r="C1569" s="12">
        <v>2.1841250619760721E-3</v>
      </c>
      <c r="D1569" s="12">
        <f t="shared" si="120"/>
        <v>5.6013043107789189E-5</v>
      </c>
      <c r="E1569" s="11">
        <f t="shared" si="121"/>
        <v>2.128112018868283E-3</v>
      </c>
      <c r="F1569">
        <f t="shared" si="124"/>
        <v>1.427809349374062E-2</v>
      </c>
      <c r="G1569">
        <f t="shared" si="122"/>
        <v>0.14904735144094883</v>
      </c>
      <c r="H1569">
        <f t="shared" si="123"/>
        <v>3.3189827501350373</v>
      </c>
    </row>
    <row r="1570" spans="1:8" x14ac:dyDescent="0.25">
      <c r="A1570" s="13">
        <v>42544</v>
      </c>
      <c r="B1570">
        <v>701.86999500000002</v>
      </c>
      <c r="C1570" s="12">
        <v>6.3229043398849161E-3</v>
      </c>
      <c r="D1570" s="12">
        <f t="shared" si="120"/>
        <v>4.1295535099034801E-5</v>
      </c>
      <c r="E1570" s="11">
        <f t="shared" si="121"/>
        <v>6.2816088047858813E-3</v>
      </c>
      <c r="F1570">
        <f t="shared" si="124"/>
        <v>1.4175164550048141E-2</v>
      </c>
      <c r="G1570">
        <f t="shared" si="122"/>
        <v>0.44314186143007051</v>
      </c>
      <c r="H1570">
        <f t="shared" si="123"/>
        <v>3.2391379330861678</v>
      </c>
    </row>
    <row r="1571" spans="1:8" x14ac:dyDescent="0.25">
      <c r="A1571" s="13">
        <v>42545</v>
      </c>
      <c r="B1571">
        <v>675.21997099999999</v>
      </c>
      <c r="C1571" s="12">
        <v>-3.7970028908273834E-2</v>
      </c>
      <c r="D1571" s="12">
        <f t="shared" si="120"/>
        <v>1.0124500913644643E-4</v>
      </c>
      <c r="E1571" s="11">
        <f t="shared" si="121"/>
        <v>-3.8071273917410282E-2</v>
      </c>
      <c r="F1571">
        <f t="shared" si="124"/>
        <v>1.4537073076450958E-2</v>
      </c>
      <c r="G1571">
        <f t="shared" si="122"/>
        <v>-2.6189091653589527</v>
      </c>
      <c r="H1571">
        <f t="shared" si="123"/>
        <v>-0.11722801278255668</v>
      </c>
    </row>
    <row r="1572" spans="1:8" x14ac:dyDescent="0.25">
      <c r="A1572" s="13">
        <v>42548</v>
      </c>
      <c r="B1572">
        <v>668.26000999999997</v>
      </c>
      <c r="C1572" s="12">
        <v>-1.0307694231395881E-2</v>
      </c>
      <c r="D1572" s="12">
        <f t="shared" si="120"/>
        <v>-5.580346509720354E-4</v>
      </c>
      <c r="E1572" s="11">
        <f t="shared" si="121"/>
        <v>-9.7496595804238452E-3</v>
      </c>
      <c r="F1572">
        <f t="shared" si="124"/>
        <v>2.4911906566553919E-2</v>
      </c>
      <c r="G1572">
        <f t="shared" si="122"/>
        <v>-0.39136545227387315</v>
      </c>
      <c r="H1572">
        <f t="shared" si="123"/>
        <v>2.6968874226158315</v>
      </c>
    </row>
    <row r="1573" spans="1:8" x14ac:dyDescent="0.25">
      <c r="A1573" s="13">
        <v>42549</v>
      </c>
      <c r="B1573">
        <v>680.03997800000002</v>
      </c>
      <c r="C1573" s="12">
        <v>1.762782124281248E-2</v>
      </c>
      <c r="D1573" s="12">
        <f t="shared" si="120"/>
        <v>-2.5348239923389027E-4</v>
      </c>
      <c r="E1573" s="11">
        <f t="shared" si="121"/>
        <v>1.7881303642046372E-2</v>
      </c>
      <c r="F1573">
        <f t="shared" si="124"/>
        <v>1.5780656067876729E-2</v>
      </c>
      <c r="G1573">
        <f t="shared" si="122"/>
        <v>1.1331153511700787</v>
      </c>
      <c r="H1573">
        <f t="shared" si="123"/>
        <v>2.5880566557842721</v>
      </c>
    </row>
    <row r="1574" spans="1:8" x14ac:dyDescent="0.25">
      <c r="A1574" s="13">
        <v>42550</v>
      </c>
      <c r="B1574">
        <v>684.10998500000005</v>
      </c>
      <c r="C1574" s="12">
        <v>5.9849525493631539E-3</v>
      </c>
      <c r="D1574" s="12">
        <f t="shared" si="120"/>
        <v>2.4012458401960203E-4</v>
      </c>
      <c r="E1574" s="11">
        <f t="shared" si="121"/>
        <v>5.7448279653435517E-3</v>
      </c>
      <c r="F1574">
        <f t="shared" si="124"/>
        <v>1.6810684004892062E-2</v>
      </c>
      <c r="G1574">
        <f t="shared" si="122"/>
        <v>0.34173671717770404</v>
      </c>
      <c r="H1574">
        <f t="shared" si="123"/>
        <v>3.108410116894615</v>
      </c>
    </row>
    <row r="1575" spans="1:8" x14ac:dyDescent="0.25">
      <c r="A1575" s="13">
        <v>42551</v>
      </c>
      <c r="B1575">
        <v>692.09997599999997</v>
      </c>
      <c r="C1575" s="12">
        <v>1.1679395382600433E-2</v>
      </c>
      <c r="D1575" s="12">
        <f t="shared" si="120"/>
        <v>1.3582345151220618E-4</v>
      </c>
      <c r="E1575" s="11">
        <f t="shared" si="121"/>
        <v>1.1543571931088226E-2</v>
      </c>
      <c r="F1575">
        <f t="shared" si="124"/>
        <v>1.4639019753206502E-2</v>
      </c>
      <c r="G1575">
        <f t="shared" si="122"/>
        <v>0.78854814910402349</v>
      </c>
      <c r="H1575">
        <f t="shared" si="123"/>
        <v>2.9942221045065009</v>
      </c>
    </row>
    <row r="1576" spans="1:8" x14ac:dyDescent="0.25">
      <c r="A1576" s="13">
        <v>42552</v>
      </c>
      <c r="B1576">
        <v>699.21002199999998</v>
      </c>
      <c r="C1576" s="12">
        <v>1.0273148745203908E-2</v>
      </c>
      <c r="D1576" s="12">
        <f t="shared" si="120"/>
        <v>1.9202821015541858E-4</v>
      </c>
      <c r="E1576" s="11">
        <f t="shared" si="121"/>
        <v>1.0081120535048491E-2</v>
      </c>
      <c r="F1576">
        <f t="shared" si="124"/>
        <v>1.5449364078634236E-2</v>
      </c>
      <c r="G1576">
        <f t="shared" si="122"/>
        <v>0.65252656897316696</v>
      </c>
      <c r="H1576">
        <f t="shared" si="123"/>
        <v>3.0383534416318065</v>
      </c>
    </row>
    <row r="1577" spans="1:8" x14ac:dyDescent="0.25">
      <c r="A1577" s="13">
        <v>42556</v>
      </c>
      <c r="B1577">
        <v>694.95001200000002</v>
      </c>
      <c r="C1577" s="12">
        <v>-6.0926043191068535E-3</v>
      </c>
      <c r="D1577" s="12">
        <f t="shared" si="120"/>
        <v>1.853937409824434E-4</v>
      </c>
      <c r="E1577" s="11">
        <f t="shared" si="121"/>
        <v>-6.2779980600892972E-3</v>
      </c>
      <c r="F1577">
        <f t="shared" si="124"/>
        <v>1.5133237445831381E-2</v>
      </c>
      <c r="G1577">
        <f t="shared" si="122"/>
        <v>-0.41484831534303596</v>
      </c>
      <c r="H1577">
        <f t="shared" si="123"/>
        <v>3.1858737032254107</v>
      </c>
    </row>
    <row r="1578" spans="1:8" x14ac:dyDescent="0.25">
      <c r="A1578" s="13">
        <v>42557</v>
      </c>
      <c r="B1578">
        <v>697.77002000000005</v>
      </c>
      <c r="C1578" s="12">
        <v>4.0578573297442855E-3</v>
      </c>
      <c r="D1578" s="12">
        <f t="shared" si="120"/>
        <v>-6.5746962279240832E-5</v>
      </c>
      <c r="E1578" s="11">
        <f t="shared" si="121"/>
        <v>4.1236042920235264E-3</v>
      </c>
      <c r="F1578">
        <f t="shared" si="124"/>
        <v>1.4578705610267454E-2</v>
      </c>
      <c r="G1578">
        <f t="shared" si="122"/>
        <v>0.282851194218461</v>
      </c>
      <c r="H1578">
        <f t="shared" si="123"/>
        <v>3.2692524025478917</v>
      </c>
    </row>
    <row r="1579" spans="1:8" x14ac:dyDescent="0.25">
      <c r="A1579" s="13">
        <v>42558</v>
      </c>
      <c r="B1579">
        <v>695.35998500000005</v>
      </c>
      <c r="C1579" s="12">
        <v>-3.4539102152884027E-3</v>
      </c>
      <c r="D1579" s="12">
        <f t="shared" si="120"/>
        <v>4.5715954592009157E-5</v>
      </c>
      <c r="E1579" s="11">
        <f t="shared" si="121"/>
        <v>-3.4996261698804119E-3</v>
      </c>
      <c r="F1579">
        <f t="shared" si="124"/>
        <v>1.4328670510186324E-2</v>
      </c>
      <c r="G1579">
        <f t="shared" si="122"/>
        <v>-0.24423941965812601</v>
      </c>
      <c r="H1579">
        <f t="shared" si="123"/>
        <v>3.2967278378631888</v>
      </c>
    </row>
    <row r="1580" spans="1:8" x14ac:dyDescent="0.25">
      <c r="A1580" s="13">
        <v>42559</v>
      </c>
      <c r="B1580">
        <v>705.63000499999998</v>
      </c>
      <c r="C1580" s="12">
        <v>1.4769357198487487E-2</v>
      </c>
      <c r="D1580" s="12">
        <f t="shared" si="120"/>
        <v>-4.1810692007064161E-5</v>
      </c>
      <c r="E1580" s="11">
        <f t="shared" si="121"/>
        <v>1.4811167890494551E-2</v>
      </c>
      <c r="F1580">
        <f t="shared" si="124"/>
        <v>1.4260738119802462E-2</v>
      </c>
      <c r="G1580">
        <f t="shared" si="122"/>
        <v>1.0385975652920632</v>
      </c>
      <c r="H1580">
        <f t="shared" si="123"/>
        <v>2.7919641192586218</v>
      </c>
    </row>
    <row r="1581" spans="1:8" x14ac:dyDescent="0.25">
      <c r="A1581" s="13">
        <v>42562</v>
      </c>
      <c r="B1581">
        <v>715.09002699999996</v>
      </c>
      <c r="C1581" s="12">
        <v>1.3406490558745432E-2</v>
      </c>
      <c r="D1581" s="12">
        <f t="shared" si="120"/>
        <v>2.1450527245305519E-4</v>
      </c>
      <c r="E1581" s="11">
        <f t="shared" si="121"/>
        <v>1.3191985286292377E-2</v>
      </c>
      <c r="F1581">
        <f t="shared" si="124"/>
        <v>1.6298156263040497E-2</v>
      </c>
      <c r="G1581">
        <f t="shared" si="122"/>
        <v>0.80941580589750406</v>
      </c>
      <c r="H1581">
        <f t="shared" si="123"/>
        <v>2.8701877836410201</v>
      </c>
    </row>
    <row r="1582" spans="1:8" x14ac:dyDescent="0.25">
      <c r="A1582" s="13">
        <v>42563</v>
      </c>
      <c r="B1582">
        <v>720.64001499999995</v>
      </c>
      <c r="C1582" s="12">
        <v>7.7612437461667128E-3</v>
      </c>
      <c r="D1582" s="12">
        <f t="shared" si="120"/>
        <v>2.407256290290626E-4</v>
      </c>
      <c r="E1582" s="11">
        <f t="shared" si="121"/>
        <v>7.5205181171376497E-3</v>
      </c>
      <c r="F1582">
        <f t="shared" si="124"/>
        <v>1.5673593847079632E-2</v>
      </c>
      <c r="G1582">
        <f t="shared" si="122"/>
        <v>0.47982091347472955</v>
      </c>
      <c r="H1582">
        <f t="shared" si="123"/>
        <v>3.1217253155038889</v>
      </c>
    </row>
    <row r="1583" spans="1:8" x14ac:dyDescent="0.25">
      <c r="A1583" s="13">
        <v>42564</v>
      </c>
      <c r="B1583">
        <v>716.97997999999995</v>
      </c>
      <c r="C1583" s="12">
        <v>-5.0788672899325649E-3</v>
      </c>
      <c r="D1583" s="12">
        <f t="shared" si="120"/>
        <v>1.5184057992805332E-4</v>
      </c>
      <c r="E1583" s="11">
        <f t="shared" si="121"/>
        <v>-5.2307078698606178E-3</v>
      </c>
      <c r="F1583">
        <f t="shared" si="124"/>
        <v>1.4754709474589142E-2</v>
      </c>
      <c r="G1583">
        <f t="shared" si="122"/>
        <v>-0.35451107179501218</v>
      </c>
      <c r="H1583">
        <f t="shared" si="123"/>
        <v>3.2344153775272479</v>
      </c>
    </row>
    <row r="1584" spans="1:8" x14ac:dyDescent="0.25">
      <c r="A1584" s="13">
        <v>42565</v>
      </c>
      <c r="B1584">
        <v>720.95001200000002</v>
      </c>
      <c r="C1584" s="12">
        <v>5.537158792076724E-3</v>
      </c>
      <c r="D1584" s="12">
        <f t="shared" si="120"/>
        <v>-5.687004287843743E-5</v>
      </c>
      <c r="E1584" s="11">
        <f t="shared" si="121"/>
        <v>5.5940288349551615E-3</v>
      </c>
      <c r="F1584">
        <f t="shared" si="124"/>
        <v>1.444320359103702E-2</v>
      </c>
      <c r="G1584">
        <f t="shared" si="122"/>
        <v>0.38731219148822588</v>
      </c>
      <c r="H1584">
        <f t="shared" si="123"/>
        <v>3.2435874147463601</v>
      </c>
    </row>
    <row r="1585" spans="1:8" x14ac:dyDescent="0.25">
      <c r="A1585" s="13">
        <v>42566</v>
      </c>
      <c r="B1585">
        <v>719.84997599999997</v>
      </c>
      <c r="C1585" s="12">
        <v>-1.5258145248495669E-3</v>
      </c>
      <c r="D1585" s="12">
        <f t="shared" si="120"/>
        <v>7.069518276780336E-5</v>
      </c>
      <c r="E1585" s="11">
        <f t="shared" si="121"/>
        <v>-1.5965097076173704E-3</v>
      </c>
      <c r="F1585">
        <f t="shared" si="124"/>
        <v>1.4464534979556114E-2</v>
      </c>
      <c r="G1585">
        <f t="shared" si="122"/>
        <v>-0.11037407769235896</v>
      </c>
      <c r="H1585">
        <f t="shared" si="123"/>
        <v>3.3110257373269021</v>
      </c>
    </row>
    <row r="1586" spans="1:8" x14ac:dyDescent="0.25">
      <c r="A1586" s="13">
        <v>42569</v>
      </c>
      <c r="B1586">
        <v>733.78002900000001</v>
      </c>
      <c r="C1586" s="12">
        <v>1.9351328005045465E-2</v>
      </c>
      <c r="D1586" s="12">
        <f t="shared" si="120"/>
        <v>-8.8471100098769338E-6</v>
      </c>
      <c r="E1586" s="11">
        <f t="shared" si="121"/>
        <v>1.9360175115055341E-2</v>
      </c>
      <c r="F1586">
        <f t="shared" si="124"/>
        <v>1.4171651760559418E-2</v>
      </c>
      <c r="G1586">
        <f t="shared" si="122"/>
        <v>1.3661198738269806</v>
      </c>
      <c r="H1586">
        <f t="shared" si="123"/>
        <v>2.4044313766004222</v>
      </c>
    </row>
    <row r="1587" spans="1:8" x14ac:dyDescent="0.25">
      <c r="A1587" s="13">
        <v>42570</v>
      </c>
      <c r="B1587">
        <v>736.96002199999998</v>
      </c>
      <c r="C1587" s="12">
        <v>4.3337142935515605E-3</v>
      </c>
      <c r="D1587" s="12">
        <f t="shared" si="120"/>
        <v>2.8876124027090762E-4</v>
      </c>
      <c r="E1587" s="11">
        <f t="shared" si="121"/>
        <v>4.0449530532806529E-3</v>
      </c>
      <c r="F1587">
        <f t="shared" si="124"/>
        <v>1.7710214989933932E-2</v>
      </c>
      <c r="G1587">
        <f t="shared" si="122"/>
        <v>0.22839660927773653</v>
      </c>
      <c r="H1587">
        <f t="shared" si="123"/>
        <v>3.088592649026126</v>
      </c>
    </row>
    <row r="1588" spans="1:8" x14ac:dyDescent="0.25">
      <c r="A1588" s="13">
        <v>42571</v>
      </c>
      <c r="B1588">
        <v>741.19000200000005</v>
      </c>
      <c r="C1588" s="12">
        <v>5.7397686085067789E-3</v>
      </c>
      <c r="D1588" s="12">
        <f t="shared" si="120"/>
        <v>1.1527837278523579E-4</v>
      </c>
      <c r="E1588" s="11">
        <f t="shared" si="121"/>
        <v>5.6244902357215432E-3</v>
      </c>
      <c r="F1588">
        <f t="shared" si="124"/>
        <v>1.4605704561037689E-2</v>
      </c>
      <c r="G1588">
        <f t="shared" si="122"/>
        <v>0.38508859413228752</v>
      </c>
      <c r="H1588">
        <f t="shared" si="123"/>
        <v>3.2332579573515314</v>
      </c>
    </row>
    <row r="1589" spans="1:8" x14ac:dyDescent="0.25">
      <c r="A1589" s="13">
        <v>42572</v>
      </c>
      <c r="B1589">
        <v>738.63000499999998</v>
      </c>
      <c r="C1589" s="12">
        <v>-3.453901149627292E-3</v>
      </c>
      <c r="D1589" s="12">
        <f t="shared" si="120"/>
        <v>9.7949653195337263E-5</v>
      </c>
      <c r="E1589" s="11">
        <f t="shared" si="121"/>
        <v>-3.5518508028226292E-3</v>
      </c>
      <c r="F1589">
        <f t="shared" si="124"/>
        <v>1.4476580652323894E-2</v>
      </c>
      <c r="G1589">
        <f t="shared" si="122"/>
        <v>-0.24535150172029457</v>
      </c>
      <c r="H1589">
        <f t="shared" si="123"/>
        <v>3.2861858498031031</v>
      </c>
    </row>
    <row r="1590" spans="1:8" x14ac:dyDescent="0.25">
      <c r="A1590" s="13">
        <v>42573</v>
      </c>
      <c r="B1590">
        <v>742.73999000000003</v>
      </c>
      <c r="C1590" s="12">
        <v>5.5643352858378847E-3</v>
      </c>
      <c r="D1590" s="12">
        <f t="shared" si="120"/>
        <v>-3.7488091471025081E-5</v>
      </c>
      <c r="E1590" s="11">
        <f t="shared" si="121"/>
        <v>5.6018233773089095E-3</v>
      </c>
      <c r="F1590">
        <f t="shared" si="124"/>
        <v>1.4276262360041097E-2</v>
      </c>
      <c r="G1590">
        <f t="shared" si="122"/>
        <v>0.39238725347246867</v>
      </c>
      <c r="H1590">
        <f t="shared" si="123"/>
        <v>3.2532346842748714</v>
      </c>
    </row>
    <row r="1591" spans="1:8" x14ac:dyDescent="0.25">
      <c r="A1591" s="13">
        <v>42576</v>
      </c>
      <c r="B1591">
        <v>739.77002000000005</v>
      </c>
      <c r="C1591" s="12">
        <v>-3.9986671513405625E-3</v>
      </c>
      <c r="D1591" s="12">
        <f t="shared" si="120"/>
        <v>7.5282334452586667E-5</v>
      </c>
      <c r="E1591" s="11">
        <f t="shared" si="121"/>
        <v>-4.0739494857931491E-3</v>
      </c>
      <c r="F1591">
        <f t="shared" si="124"/>
        <v>1.4456980472810695E-2</v>
      </c>
      <c r="G1591">
        <f t="shared" si="122"/>
        <v>-0.28179809009599505</v>
      </c>
      <c r="H1591">
        <f t="shared" si="123"/>
        <v>3.2779342883694551</v>
      </c>
    </row>
    <row r="1592" spans="1:8" x14ac:dyDescent="0.25">
      <c r="A1592" s="13">
        <v>42577</v>
      </c>
      <c r="B1592">
        <v>738.419983</v>
      </c>
      <c r="C1592" s="12">
        <v>-1.8249414865447733E-3</v>
      </c>
      <c r="D1592" s="12">
        <f t="shared" si="120"/>
        <v>-4.6178358564569757E-5</v>
      </c>
      <c r="E1592" s="11">
        <f t="shared" si="121"/>
        <v>-1.7787631279802035E-3</v>
      </c>
      <c r="F1592">
        <f t="shared" si="124"/>
        <v>1.4315534691578412E-2</v>
      </c>
      <c r="G1592">
        <f t="shared" si="122"/>
        <v>-0.12425404752968255</v>
      </c>
      <c r="H1592">
        <f t="shared" si="123"/>
        <v>3.3197519219219753</v>
      </c>
    </row>
    <row r="1593" spans="1:8" x14ac:dyDescent="0.25">
      <c r="A1593" s="13">
        <v>42578</v>
      </c>
      <c r="B1593">
        <v>741.77002000000005</v>
      </c>
      <c r="C1593" s="12">
        <v>4.5367637349003065E-3</v>
      </c>
      <c r="D1593" s="12">
        <f t="shared" si="120"/>
        <v>-3.787810530111967E-5</v>
      </c>
      <c r="E1593" s="11">
        <f t="shared" si="121"/>
        <v>4.5746418402014257E-3</v>
      </c>
      <c r="F1593">
        <f t="shared" si="124"/>
        <v>1.4164144076208291E-2</v>
      </c>
      <c r="G1593">
        <f t="shared" si="122"/>
        <v>0.3229734049292477</v>
      </c>
      <c r="H1593">
        <f t="shared" si="123"/>
        <v>3.2859471294337248</v>
      </c>
    </row>
    <row r="1594" spans="1:8" x14ac:dyDescent="0.25">
      <c r="A1594" s="13">
        <v>42579</v>
      </c>
      <c r="B1594">
        <v>745.90997300000004</v>
      </c>
      <c r="C1594" s="12">
        <v>5.5811813478252592E-3</v>
      </c>
      <c r="D1594" s="12">
        <f t="shared" si="120"/>
        <v>6.392702839342559E-5</v>
      </c>
      <c r="E1594" s="11">
        <f t="shared" si="121"/>
        <v>5.5172543194318335E-3</v>
      </c>
      <c r="F1594">
        <f t="shared" si="124"/>
        <v>1.4340665880069504E-2</v>
      </c>
      <c r="G1594">
        <f t="shared" si="122"/>
        <v>0.38472790354174918</v>
      </c>
      <c r="H1594">
        <f t="shared" si="123"/>
        <v>3.2517096966509635</v>
      </c>
    </row>
    <row r="1595" spans="1:8" x14ac:dyDescent="0.25">
      <c r="A1595" s="13">
        <v>42580</v>
      </c>
      <c r="B1595">
        <v>768.78997800000002</v>
      </c>
      <c r="C1595" s="12">
        <v>3.0673949710014137E-2</v>
      </c>
      <c r="D1595" s="12">
        <f t="shared" si="120"/>
        <v>9.6072903679818772E-5</v>
      </c>
      <c r="E1595" s="11">
        <f t="shared" si="121"/>
        <v>3.0577876806334319E-2</v>
      </c>
      <c r="F1595">
        <f t="shared" si="124"/>
        <v>1.445049233148951E-2</v>
      </c>
      <c r="G1595">
        <f t="shared" si="122"/>
        <v>2.1160439454163877</v>
      </c>
      <c r="H1595">
        <f t="shared" si="123"/>
        <v>1.0792672709494062</v>
      </c>
    </row>
    <row r="1596" spans="1:8" x14ac:dyDescent="0.25">
      <c r="A1596" s="13">
        <v>42583</v>
      </c>
      <c r="B1596">
        <v>772.88000499999998</v>
      </c>
      <c r="C1596" s="12">
        <v>5.3200836600915125E-3</v>
      </c>
      <c r="D1596" s="12">
        <f t="shared" si="120"/>
        <v>4.7827698358082413E-4</v>
      </c>
      <c r="E1596" s="11">
        <f t="shared" si="121"/>
        <v>4.8418066765106883E-3</v>
      </c>
      <c r="F1596">
        <f t="shared" si="124"/>
        <v>2.1781815328690148E-2</v>
      </c>
      <c r="G1596">
        <f t="shared" si="122"/>
        <v>0.22228664615172142</v>
      </c>
      <c r="H1596">
        <f t="shared" si="123"/>
        <v>2.883035606792538</v>
      </c>
    </row>
    <row r="1597" spans="1:8" x14ac:dyDescent="0.25">
      <c r="A1597" s="13">
        <v>42584</v>
      </c>
      <c r="B1597">
        <v>771.07000700000003</v>
      </c>
      <c r="C1597" s="12">
        <v>-2.3418874706170323E-3</v>
      </c>
      <c r="D1597" s="12">
        <f t="shared" si="120"/>
        <v>1.5929569934790329E-4</v>
      </c>
      <c r="E1597" s="11">
        <f t="shared" si="121"/>
        <v>-2.5011831699649355E-3</v>
      </c>
      <c r="F1597">
        <f t="shared" si="124"/>
        <v>1.5120123656941672E-2</v>
      </c>
      <c r="G1597">
        <f t="shared" si="122"/>
        <v>-0.1654208144532362</v>
      </c>
      <c r="H1597">
        <f t="shared" si="123"/>
        <v>3.2591081737631757</v>
      </c>
    </row>
    <row r="1598" spans="1:8" x14ac:dyDescent="0.25">
      <c r="A1598" s="13">
        <v>42585</v>
      </c>
      <c r="B1598">
        <v>773.17999299999997</v>
      </c>
      <c r="C1598" s="12">
        <v>2.7364389495698749E-3</v>
      </c>
      <c r="D1598" s="12">
        <f t="shared" si="120"/>
        <v>-2.1747824601919191E-5</v>
      </c>
      <c r="E1598" s="11">
        <f t="shared" si="121"/>
        <v>2.7581867741717941E-3</v>
      </c>
      <c r="F1598">
        <f t="shared" si="124"/>
        <v>1.4269930087641292E-2</v>
      </c>
      <c r="G1598">
        <f t="shared" si="122"/>
        <v>0.19328663540969743</v>
      </c>
      <c r="H1598">
        <f t="shared" si="123"/>
        <v>3.3119823518410092</v>
      </c>
    </row>
    <row r="1599" spans="1:8" x14ac:dyDescent="0.25">
      <c r="A1599" s="13">
        <v>42586</v>
      </c>
      <c r="B1599">
        <v>771.60998500000005</v>
      </c>
      <c r="C1599" s="12">
        <v>-2.0305853930702167E-3</v>
      </c>
      <c r="D1599" s="12">
        <f t="shared" si="120"/>
        <v>3.5369165552812425E-5</v>
      </c>
      <c r="E1599" s="11">
        <f t="shared" si="121"/>
        <v>-2.065954558623029E-3</v>
      </c>
      <c r="F1599">
        <f t="shared" si="124"/>
        <v>1.4207074634204233E-2</v>
      </c>
      <c r="G1599">
        <f t="shared" si="122"/>
        <v>-0.14541730875750744</v>
      </c>
      <c r="H1599">
        <f t="shared" si="123"/>
        <v>3.3245035947179842</v>
      </c>
    </row>
    <row r="1600" spans="1:8" x14ac:dyDescent="0.25">
      <c r="A1600" s="13">
        <v>42587</v>
      </c>
      <c r="B1600">
        <v>782.21997099999999</v>
      </c>
      <c r="C1600" s="12">
        <v>1.3750451920344187E-2</v>
      </c>
      <c r="D1600" s="12">
        <f t="shared" si="120"/>
        <v>-2.3679374273224207E-5</v>
      </c>
      <c r="E1600" s="11">
        <f t="shared" si="121"/>
        <v>1.3774131294617411E-2</v>
      </c>
      <c r="F1600">
        <f t="shared" si="124"/>
        <v>1.4165990181969403E-2</v>
      </c>
      <c r="G1600">
        <f t="shared" si="122"/>
        <v>0.97233805174799892</v>
      </c>
      <c r="H1600">
        <f t="shared" si="123"/>
        <v>2.8652520680777958</v>
      </c>
    </row>
    <row r="1601" spans="1:8" x14ac:dyDescent="0.25">
      <c r="A1601" s="13">
        <v>42590</v>
      </c>
      <c r="B1601">
        <v>781.76000999999997</v>
      </c>
      <c r="C1601" s="12">
        <v>-5.8802001617519473E-4</v>
      </c>
      <c r="D1601" s="12">
        <f t="shared" si="120"/>
        <v>2.0275256534680542E-4</v>
      </c>
      <c r="E1601" s="11">
        <f t="shared" si="121"/>
        <v>-7.9077258152200017E-4</v>
      </c>
      <c r="F1601">
        <f t="shared" si="124"/>
        <v>1.6037628958322874E-2</v>
      </c>
      <c r="G1601">
        <f t="shared" si="122"/>
        <v>-4.9307324890542598E-2</v>
      </c>
      <c r="H1601">
        <f t="shared" si="123"/>
        <v>3.2126633686751371</v>
      </c>
    </row>
    <row r="1602" spans="1:8" x14ac:dyDescent="0.25">
      <c r="A1602" s="13">
        <v>42591</v>
      </c>
      <c r="B1602">
        <v>784.26000999999997</v>
      </c>
      <c r="C1602" s="12">
        <v>3.1979123618768313E-3</v>
      </c>
      <c r="D1602" s="12">
        <f t="shared" si="120"/>
        <v>2.6444652973278847E-5</v>
      </c>
      <c r="E1602" s="11">
        <f t="shared" si="121"/>
        <v>3.1714677089035525E-3</v>
      </c>
      <c r="F1602">
        <f t="shared" si="124"/>
        <v>1.4312638365204444E-2</v>
      </c>
      <c r="G1602">
        <f t="shared" si="122"/>
        <v>0.22158512134378591</v>
      </c>
      <c r="H1602">
        <f t="shared" si="123"/>
        <v>3.3031238140713999</v>
      </c>
    </row>
    <row r="1603" spans="1:8" x14ac:dyDescent="0.25">
      <c r="A1603" s="13">
        <v>42592</v>
      </c>
      <c r="B1603">
        <v>784.67999299999997</v>
      </c>
      <c r="C1603" s="12">
        <v>5.3551500094983773E-4</v>
      </c>
      <c r="D1603" s="12">
        <f t="shared" si="120"/>
        <v>4.68561894743545E-5</v>
      </c>
      <c r="E1603" s="11">
        <f t="shared" si="121"/>
        <v>4.8865881147548327E-4</v>
      </c>
      <c r="F1603">
        <f t="shared" si="124"/>
        <v>1.423649539167784E-2</v>
      </c>
      <c r="G1603">
        <f t="shared" si="122"/>
        <v>3.4324375348805031E-2</v>
      </c>
      <c r="H1603">
        <f t="shared" si="123"/>
        <v>3.3324188988471444</v>
      </c>
    </row>
    <row r="1604" spans="1:8" x14ac:dyDescent="0.25">
      <c r="A1604" s="13">
        <v>42593</v>
      </c>
      <c r="B1604">
        <v>784.84997599999997</v>
      </c>
      <c r="C1604" s="12">
        <v>2.1662716204873256E-4</v>
      </c>
      <c r="D1604" s="12">
        <f t="shared" si="120"/>
        <v>1.6318032573111091E-5</v>
      </c>
      <c r="E1604" s="11">
        <f t="shared" si="121"/>
        <v>2.0030912947562146E-4</v>
      </c>
      <c r="F1604">
        <f t="shared" si="124"/>
        <v>1.4125581890509347E-2</v>
      </c>
      <c r="G1604">
        <f t="shared" si="122"/>
        <v>1.4180593127296552E-2</v>
      </c>
      <c r="H1604">
        <f t="shared" si="123"/>
        <v>3.3407287291944892</v>
      </c>
    </row>
    <row r="1605" spans="1:8" x14ac:dyDescent="0.25">
      <c r="A1605" s="13">
        <v>42594</v>
      </c>
      <c r="B1605">
        <v>783.21997099999999</v>
      </c>
      <c r="C1605" s="12">
        <v>-2.0768364016615637E-3</v>
      </c>
      <c r="D1605" s="12">
        <f t="shared" si="120"/>
        <v>4.6526734291734914E-6</v>
      </c>
      <c r="E1605" s="11">
        <f t="shared" si="121"/>
        <v>-2.0814890750907372E-3</v>
      </c>
      <c r="F1605">
        <f t="shared" si="124"/>
        <v>1.4112750579367644E-2</v>
      </c>
      <c r="G1605">
        <f t="shared" si="122"/>
        <v>-0.14748996401408826</v>
      </c>
      <c r="H1605">
        <f t="shared" si="123"/>
        <v>3.3308614158715186</v>
      </c>
    </row>
    <row r="1606" spans="1:8" x14ac:dyDescent="0.25">
      <c r="A1606" s="13">
        <v>42597</v>
      </c>
      <c r="B1606">
        <v>782.44000200000005</v>
      </c>
      <c r="C1606" s="12">
        <v>-9.9584922356366068E-4</v>
      </c>
      <c r="D1606" s="12">
        <f t="shared" ref="D1606:D1659" si="125">+C1605*$K$11+C1604*$K$10</f>
        <v>-3.08547492628303E-5</v>
      </c>
      <c r="E1606" s="11">
        <f t="shared" ref="E1606:E1659" si="126">C1606-D1606</f>
        <v>-9.6499447430083043E-4</v>
      </c>
      <c r="F1606">
        <f t="shared" si="124"/>
        <v>1.4158235967313033E-2</v>
      </c>
      <c r="G1606">
        <f t="shared" ref="G1606:G1659" si="127">E1606/F1606</f>
        <v>-6.81578182853219E-2</v>
      </c>
      <c r="H1606">
        <f t="shared" ref="H1606:H1659" si="128">1/2*(-LN(PI()*2)-2*LN(F1606)-(E1606/F1606)^2)</f>
        <v>3.3361974997553276</v>
      </c>
    </row>
    <row r="1607" spans="1:8" x14ac:dyDescent="0.25">
      <c r="A1607" s="13">
        <v>42598</v>
      </c>
      <c r="B1607">
        <v>777.14001499999995</v>
      </c>
      <c r="C1607" s="12">
        <v>-6.7736656950727614E-3</v>
      </c>
      <c r="D1607" s="12">
        <f t="shared" si="125"/>
        <v>-2.0399305060163483E-5</v>
      </c>
      <c r="E1607" s="11">
        <f t="shared" si="126"/>
        <v>-6.7532663900125977E-3</v>
      </c>
      <c r="F1607">
        <f t="shared" ref="F1607:F1659" si="129">SQRT($K$6+$K$7*G1606^2+$K$8*F1606^2)</f>
        <v>1.4125540349924625E-2</v>
      </c>
      <c r="G1607">
        <f t="shared" si="127"/>
        <v>-0.47808906581394134</v>
      </c>
      <c r="H1607">
        <f t="shared" si="128"/>
        <v>3.2265476371893143</v>
      </c>
    </row>
    <row r="1608" spans="1:8" x14ac:dyDescent="0.25">
      <c r="A1608" s="13">
        <v>42599</v>
      </c>
      <c r="B1608">
        <v>779.90997300000004</v>
      </c>
      <c r="C1608" s="12">
        <v>3.5642972264142703E-3</v>
      </c>
      <c r="D1608" s="12">
        <f t="shared" si="125"/>
        <v>-1.0500879337194481E-4</v>
      </c>
      <c r="E1608" s="11">
        <f t="shared" si="126"/>
        <v>3.669306019786215E-3</v>
      </c>
      <c r="F1608">
        <f t="shared" si="129"/>
        <v>1.4600150406543153E-2</v>
      </c>
      <c r="G1608">
        <f t="shared" si="127"/>
        <v>0.25131974107210509</v>
      </c>
      <c r="H1608">
        <f t="shared" si="128"/>
        <v>3.2762041091719376</v>
      </c>
    </row>
    <row r="1609" spans="1:8" x14ac:dyDescent="0.25">
      <c r="A1609" s="13">
        <v>42600</v>
      </c>
      <c r="B1609">
        <v>777.5</v>
      </c>
      <c r="C1609" s="12">
        <v>-3.0900656273568083E-3</v>
      </c>
      <c r="D1609" s="12">
        <f t="shared" si="125"/>
        <v>3.6500710553283902E-5</v>
      </c>
      <c r="E1609" s="11">
        <f t="shared" si="126"/>
        <v>-3.1265663379100922E-3</v>
      </c>
      <c r="F1609">
        <f t="shared" si="129"/>
        <v>1.4294711734348235E-2</v>
      </c>
      <c r="G1609">
        <f t="shared" si="127"/>
        <v>-0.21872188792708436</v>
      </c>
      <c r="H1609">
        <f t="shared" si="128"/>
        <v>3.305007453565378</v>
      </c>
    </row>
    <row r="1610" spans="1:8" x14ac:dyDescent="0.25">
      <c r="A1610" s="13">
        <v>42601</v>
      </c>
      <c r="B1610">
        <v>775.419983</v>
      </c>
      <c r="C1610" s="12">
        <v>-2.6752630225080898E-3</v>
      </c>
      <c r="D1610" s="12">
        <f t="shared" si="125"/>
        <v>-3.7576096216246973E-5</v>
      </c>
      <c r="E1610" s="11">
        <f t="shared" si="126"/>
        <v>-2.6376869262918429E-3</v>
      </c>
      <c r="F1610">
        <f t="shared" si="129"/>
        <v>1.4232049569021242E-2</v>
      </c>
      <c r="G1610">
        <f t="shared" si="127"/>
        <v>-0.18533429872484911</v>
      </c>
      <c r="H1610">
        <f t="shared" si="128"/>
        <v>3.3161459113507861</v>
      </c>
    </row>
    <row r="1611" spans="1:8" x14ac:dyDescent="0.25">
      <c r="A1611" s="13">
        <v>42604</v>
      </c>
      <c r="B1611">
        <v>772.15002400000003</v>
      </c>
      <c r="C1611" s="12">
        <v>-4.217016677012797E-3</v>
      </c>
      <c r="D1611" s="12">
        <f t="shared" si="125"/>
        <v>-4.8403862174387233E-5</v>
      </c>
      <c r="E1611" s="11">
        <f t="shared" si="126"/>
        <v>-4.1686128148384098E-3</v>
      </c>
      <c r="F1611">
        <f t="shared" si="129"/>
        <v>1.4196923846094134E-2</v>
      </c>
      <c r="G1611">
        <f t="shared" si="127"/>
        <v>-0.29362789150871449</v>
      </c>
      <c r="H1611">
        <f t="shared" si="128"/>
        <v>3.2926827658588618</v>
      </c>
    </row>
    <row r="1612" spans="1:8" x14ac:dyDescent="0.25">
      <c r="A1612" s="13">
        <v>42605</v>
      </c>
      <c r="B1612">
        <v>772.080017</v>
      </c>
      <c r="C1612" s="12">
        <v>-9.0665023407487944E-5</v>
      </c>
      <c r="D1612" s="12">
        <f t="shared" si="125"/>
        <v>-7.0656353826048182E-5</v>
      </c>
      <c r="E1612" s="11">
        <f t="shared" si="126"/>
        <v>-2.0008669581439762E-5</v>
      </c>
      <c r="F1612">
        <f t="shared" si="129"/>
        <v>1.430507686982092E-2</v>
      </c>
      <c r="G1612">
        <f t="shared" si="127"/>
        <v>-1.3987110844298624E-3</v>
      </c>
      <c r="H1612">
        <f t="shared" si="128"/>
        <v>3.3282012674604204</v>
      </c>
    </row>
    <row r="1613" spans="1:8" x14ac:dyDescent="0.25">
      <c r="A1613" s="13">
        <v>42606</v>
      </c>
      <c r="B1613">
        <v>769.64001499999995</v>
      </c>
      <c r="C1613" s="12">
        <v>-3.1602967908441748E-3</v>
      </c>
      <c r="D1613" s="12">
        <f t="shared" si="125"/>
        <v>-1.2208890071101028E-5</v>
      </c>
      <c r="E1613" s="11">
        <f t="shared" si="126"/>
        <v>-3.1480879007730737E-3</v>
      </c>
      <c r="F1613">
        <f t="shared" si="129"/>
        <v>1.4129691691543869E-2</v>
      </c>
      <c r="G1613">
        <f t="shared" si="127"/>
        <v>-0.22279947570668476</v>
      </c>
      <c r="H1613">
        <f t="shared" si="128"/>
        <v>3.3157185655551356</v>
      </c>
    </row>
    <row r="1614" spans="1:8" x14ac:dyDescent="0.25">
      <c r="A1614" s="13">
        <v>42607</v>
      </c>
      <c r="B1614">
        <v>769.40997300000004</v>
      </c>
      <c r="C1614" s="12">
        <v>-2.9889558172191411E-4</v>
      </c>
      <c r="D1614" s="12">
        <f t="shared" si="125"/>
        <v>-4.8031467156388363E-5</v>
      </c>
      <c r="E1614" s="11">
        <f t="shared" si="126"/>
        <v>-2.5086411456552574E-4</v>
      </c>
      <c r="F1614">
        <f t="shared" si="129"/>
        <v>1.4220076258154312E-2</v>
      </c>
      <c r="G1614">
        <f t="shared" si="127"/>
        <v>-1.7641544954561765E-2</v>
      </c>
      <c r="H1614">
        <f t="shared" si="128"/>
        <v>3.3340063466231538</v>
      </c>
    </row>
    <row r="1615" spans="1:8" x14ac:dyDescent="0.25">
      <c r="A1615" s="13">
        <v>42608</v>
      </c>
      <c r="B1615">
        <v>769.53997800000002</v>
      </c>
      <c r="C1615" s="12">
        <v>1.6896713658787199E-4</v>
      </c>
      <c r="D1615" s="12">
        <f t="shared" si="125"/>
        <v>-1.264256991711514E-5</v>
      </c>
      <c r="E1615" s="11">
        <f t="shared" si="126"/>
        <v>1.8160970650498714E-4</v>
      </c>
      <c r="F1615">
        <f t="shared" si="129"/>
        <v>1.4122110769600054E-2</v>
      </c>
      <c r="G1615">
        <f t="shared" si="127"/>
        <v>1.2859954823179058E-2</v>
      </c>
      <c r="H1615">
        <f t="shared" si="128"/>
        <v>3.3409923477335335</v>
      </c>
    </row>
    <row r="1616" spans="1:8" x14ac:dyDescent="0.25">
      <c r="A1616" s="13">
        <v>42611</v>
      </c>
      <c r="B1616">
        <v>772.15002400000003</v>
      </c>
      <c r="C1616" s="12">
        <v>3.3916964350355627E-3</v>
      </c>
      <c r="D1616" s="12">
        <f t="shared" si="125"/>
        <v>1.7874199480174061E-6</v>
      </c>
      <c r="E1616" s="11">
        <f t="shared" si="126"/>
        <v>3.3899090150875453E-3</v>
      </c>
      <c r="F1616">
        <f t="shared" si="129"/>
        <v>1.4112339034362986E-2</v>
      </c>
      <c r="G1616">
        <f t="shared" si="127"/>
        <v>0.24020887018326667</v>
      </c>
      <c r="H1616">
        <f t="shared" si="128"/>
        <v>3.3129170716003906</v>
      </c>
    </row>
    <row r="1617" spans="1:8" x14ac:dyDescent="0.25">
      <c r="A1617" s="13">
        <v>42612</v>
      </c>
      <c r="B1617">
        <v>769.09002699999996</v>
      </c>
      <c r="C1617" s="12">
        <v>-3.9629565562249169E-3</v>
      </c>
      <c r="D1617" s="12">
        <f t="shared" si="125"/>
        <v>5.1732545651853899E-5</v>
      </c>
      <c r="E1617" s="11">
        <f t="shared" si="126"/>
        <v>-4.014689101876771E-3</v>
      </c>
      <c r="F1617">
        <f t="shared" si="129"/>
        <v>1.4235779629972032E-2</v>
      </c>
      <c r="G1617">
        <f t="shared" si="127"/>
        <v>-0.28201399615826017</v>
      </c>
      <c r="H1617">
        <f t="shared" si="128"/>
        <v>3.2932923110063186</v>
      </c>
    </row>
    <row r="1618" spans="1:8" x14ac:dyDescent="0.25">
      <c r="A1618" s="13">
        <v>42613</v>
      </c>
      <c r="B1618">
        <v>767.04998799999998</v>
      </c>
      <c r="C1618" s="12">
        <v>-2.6525360209878057E-3</v>
      </c>
      <c r="D1618" s="12">
        <f t="shared" si="125"/>
        <v>-5.1221866544099676E-5</v>
      </c>
      <c r="E1618" s="11">
        <f t="shared" si="126"/>
        <v>-2.6013141544437061E-3</v>
      </c>
      <c r="F1618">
        <f t="shared" si="129"/>
        <v>1.4294465767897013E-2</v>
      </c>
      <c r="G1618">
        <f t="shared" si="127"/>
        <v>-0.18198050886839184</v>
      </c>
      <c r="H1618">
        <f t="shared" si="128"/>
        <v>3.3123858398529769</v>
      </c>
    </row>
    <row r="1619" spans="1:8" x14ac:dyDescent="0.25">
      <c r="A1619" s="13">
        <v>42614</v>
      </c>
      <c r="B1619">
        <v>768.78002900000001</v>
      </c>
      <c r="C1619" s="12">
        <v>2.2554475289295883E-3</v>
      </c>
      <c r="D1619" s="12">
        <f t="shared" si="125"/>
        <v>-5.0303428153579366E-5</v>
      </c>
      <c r="E1619" s="11">
        <f t="shared" si="126"/>
        <v>2.3057509570831676E-3</v>
      </c>
      <c r="F1619">
        <f t="shared" si="129"/>
        <v>1.4200293945409418E-2</v>
      </c>
      <c r="G1619">
        <f t="shared" si="127"/>
        <v>0.16237346677098582</v>
      </c>
      <c r="H1619">
        <f t="shared" si="128"/>
        <v>3.3223715096479403</v>
      </c>
    </row>
    <row r="1620" spans="1:8" x14ac:dyDescent="0.25">
      <c r="A1620" s="13">
        <v>42615</v>
      </c>
      <c r="B1620">
        <v>771.46002199999998</v>
      </c>
      <c r="C1620" s="12">
        <v>3.4860335842568091E-3</v>
      </c>
      <c r="D1620" s="12">
        <f t="shared" si="125"/>
        <v>2.7295969016199918E-5</v>
      </c>
      <c r="E1620" s="11">
        <f t="shared" si="126"/>
        <v>3.4587376152406092E-3</v>
      </c>
      <c r="F1620">
        <f t="shared" si="129"/>
        <v>1.4176621016641987E-2</v>
      </c>
      <c r="G1620">
        <f t="shared" si="127"/>
        <v>0.24397475330548687</v>
      </c>
      <c r="H1620">
        <f t="shared" si="128"/>
        <v>3.3074607051416645</v>
      </c>
    </row>
    <row r="1621" spans="1:8" x14ac:dyDescent="0.25">
      <c r="A1621" s="13">
        <v>42619</v>
      </c>
      <c r="B1621">
        <v>780.080017</v>
      </c>
      <c r="C1621" s="12">
        <v>1.117361205270595E-2</v>
      </c>
      <c r="D1621" s="12">
        <f t="shared" si="125"/>
        <v>5.852155869914705E-5</v>
      </c>
      <c r="E1621" s="11">
        <f t="shared" si="126"/>
        <v>1.1115090494006804E-2</v>
      </c>
      <c r="F1621">
        <f t="shared" si="129"/>
        <v>1.4245841663512625E-2</v>
      </c>
      <c r="G1621">
        <f t="shared" si="127"/>
        <v>0.78023403295822769</v>
      </c>
      <c r="H1621">
        <f t="shared" si="128"/>
        <v>3.027969121642232</v>
      </c>
    </row>
    <row r="1622" spans="1:8" x14ac:dyDescent="0.25">
      <c r="A1622" s="13">
        <v>42620</v>
      </c>
      <c r="B1622">
        <v>780.34997599999997</v>
      </c>
      <c r="C1622" s="12">
        <v>3.4606578058249404E-4</v>
      </c>
      <c r="D1622" s="12">
        <f t="shared" si="125"/>
        <v>1.7795625227904249E-4</v>
      </c>
      <c r="E1622" s="11">
        <f t="shared" si="126"/>
        <v>1.6810952830345155E-4</v>
      </c>
      <c r="F1622">
        <f t="shared" si="129"/>
        <v>1.5388034384197719E-2</v>
      </c>
      <c r="G1622">
        <f t="shared" si="127"/>
        <v>1.0924691491207389E-2</v>
      </c>
      <c r="H1622">
        <f t="shared" si="128"/>
        <v>3.2551668519665573</v>
      </c>
    </row>
    <row r="1623" spans="1:8" x14ac:dyDescent="0.25">
      <c r="A1623" s="13">
        <v>42621</v>
      </c>
      <c r="B1623">
        <v>775.32000700000003</v>
      </c>
      <c r="C1623" s="12">
        <v>-6.4457860635597219E-3</v>
      </c>
      <c r="D1623" s="12">
        <f t="shared" si="125"/>
        <v>3.3949992663401608E-5</v>
      </c>
      <c r="E1623" s="11">
        <f t="shared" si="126"/>
        <v>-6.4797360562231232E-3</v>
      </c>
      <c r="F1623">
        <f t="shared" si="129"/>
        <v>1.4238931525752329E-2</v>
      </c>
      <c r="G1623">
        <f t="shared" si="127"/>
        <v>-0.45507178993760627</v>
      </c>
      <c r="H1623">
        <f t="shared" si="128"/>
        <v>3.2292917089141753</v>
      </c>
    </row>
    <row r="1624" spans="1:8" x14ac:dyDescent="0.25">
      <c r="A1624" s="13">
        <v>42622</v>
      </c>
      <c r="B1624">
        <v>759.65997300000004</v>
      </c>
      <c r="C1624" s="12">
        <v>-2.0198155417908592E-2</v>
      </c>
      <c r="D1624" s="12">
        <f t="shared" si="125"/>
        <v>-9.6601037818211716E-5</v>
      </c>
      <c r="E1624" s="11">
        <f t="shared" si="126"/>
        <v>-2.010155438009038E-2</v>
      </c>
      <c r="F1624">
        <f t="shared" si="129"/>
        <v>1.456562304658268E-2</v>
      </c>
      <c r="G1624">
        <f t="shared" si="127"/>
        <v>-1.3800682824073573</v>
      </c>
      <c r="H1624">
        <f t="shared" si="128"/>
        <v>2.3578583472565739</v>
      </c>
    </row>
    <row r="1625" spans="1:8" x14ac:dyDescent="0.25">
      <c r="A1625" s="13">
        <v>42625</v>
      </c>
      <c r="B1625">
        <v>769.02002000000005</v>
      </c>
      <c r="C1625" s="12">
        <v>1.2321363942654484E-2</v>
      </c>
      <c r="D1625" s="12">
        <f t="shared" si="125"/>
        <v>-3.2205601268027971E-4</v>
      </c>
      <c r="E1625" s="11">
        <f t="shared" si="126"/>
        <v>1.2643419955334764E-2</v>
      </c>
      <c r="F1625">
        <f t="shared" si="129"/>
        <v>1.7806955606310532E-2</v>
      </c>
      <c r="G1625">
        <f t="shared" si="127"/>
        <v>0.71002703858340144</v>
      </c>
      <c r="H1625">
        <f t="shared" si="128"/>
        <v>2.8571584026487238</v>
      </c>
    </row>
    <row r="1626" spans="1:8" x14ac:dyDescent="0.25">
      <c r="A1626" s="13">
        <v>42626</v>
      </c>
      <c r="B1626">
        <v>759.69000200000005</v>
      </c>
      <c r="C1626" s="12">
        <v>-1.2132347347732275E-2</v>
      </c>
      <c r="D1626" s="12">
        <f t="shared" si="125"/>
        <v>1.3444794430958256E-4</v>
      </c>
      <c r="E1626" s="11">
        <f t="shared" si="126"/>
        <v>-1.2266795292041858E-2</v>
      </c>
      <c r="F1626">
        <f t="shared" si="129"/>
        <v>1.5535593012292234E-2</v>
      </c>
      <c r="G1626">
        <f t="shared" si="127"/>
        <v>-0.78959298704182046</v>
      </c>
      <c r="H1626">
        <f t="shared" si="128"/>
        <v>2.9339544884069673</v>
      </c>
    </row>
    <row r="1627" spans="1:8" x14ac:dyDescent="0.25">
      <c r="A1627" s="13">
        <v>42627</v>
      </c>
      <c r="B1627">
        <v>762.48999000000003</v>
      </c>
      <c r="C1627" s="12">
        <v>3.6856981040009895E-3</v>
      </c>
      <c r="D1627" s="12">
        <f t="shared" si="125"/>
        <v>-1.5183225646093159E-4</v>
      </c>
      <c r="E1627" s="11">
        <f t="shared" si="126"/>
        <v>3.8375303604619212E-3</v>
      </c>
      <c r="F1627">
        <f t="shared" si="129"/>
        <v>1.5536572250258817E-2</v>
      </c>
      <c r="G1627">
        <f t="shared" si="127"/>
        <v>0.2469998078500226</v>
      </c>
      <c r="H1627">
        <f t="shared" si="128"/>
        <v>3.2151155485458554</v>
      </c>
    </row>
    <row r="1628" spans="1:8" x14ac:dyDescent="0.25">
      <c r="A1628" s="13">
        <v>42628</v>
      </c>
      <c r="B1628">
        <v>771.76000999999997</v>
      </c>
      <c r="C1628" s="12">
        <v>1.2157562881579542E-2</v>
      </c>
      <c r="D1628" s="12">
        <f t="shared" si="125"/>
        <v>2.4565202211134223E-5</v>
      </c>
      <c r="E1628" s="11">
        <f t="shared" si="126"/>
        <v>1.2132997679368408E-2</v>
      </c>
      <c r="F1628">
        <f t="shared" si="129"/>
        <v>1.4384722471044128E-2</v>
      </c>
      <c r="G1628">
        <f t="shared" si="127"/>
        <v>0.84346414772976319</v>
      </c>
      <c r="H1628">
        <f t="shared" si="128"/>
        <v>2.9669341576482875</v>
      </c>
    </row>
    <row r="1629" spans="1:8" x14ac:dyDescent="0.25">
      <c r="A1629" s="13">
        <v>42629</v>
      </c>
      <c r="B1629">
        <v>768.88000499999998</v>
      </c>
      <c r="C1629" s="12">
        <v>-3.7317365018693094E-3</v>
      </c>
      <c r="D1629" s="12">
        <f t="shared" si="125"/>
        <v>1.9335132045823802E-4</v>
      </c>
      <c r="E1629" s="11">
        <f t="shared" si="126"/>
        <v>-3.925087822327547E-3</v>
      </c>
      <c r="F1629">
        <f t="shared" si="129"/>
        <v>1.5603380831831134E-2</v>
      </c>
      <c r="G1629">
        <f t="shared" si="127"/>
        <v>-0.25155367702878267</v>
      </c>
      <c r="H1629">
        <f t="shared" si="128"/>
        <v>3.2096895087998312</v>
      </c>
    </row>
    <row r="1630" spans="1:8" x14ac:dyDescent="0.25">
      <c r="A1630" s="13">
        <v>42632</v>
      </c>
      <c r="B1630">
        <v>765.70001200000002</v>
      </c>
      <c r="C1630" s="12">
        <v>-4.1358768329525786E-3</v>
      </c>
      <c r="D1630" s="12">
        <f t="shared" si="125"/>
        <v>-2.5196714805036031E-5</v>
      </c>
      <c r="E1630" s="11">
        <f t="shared" si="126"/>
        <v>-4.1106801181475423E-3</v>
      </c>
      <c r="F1630">
        <f t="shared" si="129"/>
        <v>1.4396506529989195E-2</v>
      </c>
      <c r="G1630">
        <f t="shared" si="127"/>
        <v>-0.28553316803521972</v>
      </c>
      <c r="H1630">
        <f t="shared" si="128"/>
        <v>3.2810665756881243</v>
      </c>
    </row>
    <row r="1631" spans="1:8" x14ac:dyDescent="0.25">
      <c r="A1631" s="13">
        <v>42633</v>
      </c>
      <c r="B1631">
        <v>771.40997300000004</v>
      </c>
      <c r="C1631" s="12">
        <v>7.4571776289851233E-3</v>
      </c>
      <c r="D1631" s="12">
        <f t="shared" si="125"/>
        <v>-7.2144246421974601E-5</v>
      </c>
      <c r="E1631" s="11">
        <f t="shared" si="126"/>
        <v>7.5293218754070978E-3</v>
      </c>
      <c r="F1631">
        <f t="shared" si="129"/>
        <v>1.431421052210244E-2</v>
      </c>
      <c r="G1631">
        <f t="shared" si="127"/>
        <v>0.52600329328544815</v>
      </c>
      <c r="H1631">
        <f t="shared" si="128"/>
        <v>3.1892242268691771</v>
      </c>
    </row>
    <row r="1632" spans="1:8" x14ac:dyDescent="0.25">
      <c r="A1632" s="13">
        <v>42634</v>
      </c>
      <c r="B1632">
        <v>776.21997099999999</v>
      </c>
      <c r="C1632" s="12">
        <v>6.2353329206958907E-3</v>
      </c>
      <c r="D1632" s="12">
        <f t="shared" si="125"/>
        <v>1.0215830118573065E-4</v>
      </c>
      <c r="E1632" s="11">
        <f t="shared" si="126"/>
        <v>6.1331746195101601E-3</v>
      </c>
      <c r="F1632">
        <f t="shared" si="129"/>
        <v>1.471830762687797E-2</v>
      </c>
      <c r="G1632">
        <f t="shared" si="127"/>
        <v>0.41670379332947277</v>
      </c>
      <c r="H1632">
        <f t="shared" si="128"/>
        <v>3.212903584398958</v>
      </c>
    </row>
    <row r="1633" spans="1:8" x14ac:dyDescent="0.25">
      <c r="A1633" s="13">
        <v>42635</v>
      </c>
      <c r="B1633">
        <v>787.21002199999998</v>
      </c>
      <c r="C1633" s="12">
        <v>1.4158423398771269E-2</v>
      </c>
      <c r="D1633" s="12">
        <f t="shared" si="125"/>
        <v>1.1347211275186947E-4</v>
      </c>
      <c r="E1633" s="11">
        <f t="shared" si="126"/>
        <v>1.4044951286019399E-2</v>
      </c>
      <c r="F1633">
        <f t="shared" si="129"/>
        <v>1.4541055179969091E-2</v>
      </c>
      <c r="G1633">
        <f t="shared" si="127"/>
        <v>0.96588253824708026</v>
      </c>
      <c r="H1633">
        <f t="shared" si="128"/>
        <v>2.8453761666229767</v>
      </c>
    </row>
    <row r="1634" spans="1:8" x14ac:dyDescent="0.25">
      <c r="A1634" s="13">
        <v>42636</v>
      </c>
      <c r="B1634">
        <v>786.90002400000003</v>
      </c>
      <c r="C1634" s="12">
        <v>-3.9379325889721262E-4</v>
      </c>
      <c r="D1634" s="12">
        <f t="shared" si="125"/>
        <v>2.3016617259844711E-4</v>
      </c>
      <c r="E1634" s="11">
        <f t="shared" si="126"/>
        <v>-6.2395943149565973E-4</v>
      </c>
      <c r="F1634">
        <f t="shared" si="129"/>
        <v>1.6045996570974882E-2</v>
      </c>
      <c r="G1634">
        <f t="shared" si="127"/>
        <v>-3.8885676482339593E-2</v>
      </c>
      <c r="H1634">
        <f t="shared" si="128"/>
        <v>3.2126013142279617</v>
      </c>
    </row>
    <row r="1635" spans="1:8" x14ac:dyDescent="0.25">
      <c r="A1635" s="13">
        <v>42639</v>
      </c>
      <c r="B1635">
        <v>774.21002199999998</v>
      </c>
      <c r="C1635" s="12">
        <v>-1.6126574676531003E-2</v>
      </c>
      <c r="D1635" s="12">
        <f t="shared" si="125"/>
        <v>3.0430744398901605E-5</v>
      </c>
      <c r="E1635" s="11">
        <f t="shared" si="126"/>
        <v>-1.6157005420929904E-2</v>
      </c>
      <c r="F1635">
        <f t="shared" si="129"/>
        <v>1.4311572392690423E-2</v>
      </c>
      <c r="G1635">
        <f t="shared" si="127"/>
        <v>-1.1289469093683953</v>
      </c>
      <c r="H1635">
        <f t="shared" si="128"/>
        <v>2.6904877154681652</v>
      </c>
    </row>
    <row r="1636" spans="1:8" x14ac:dyDescent="0.25">
      <c r="A1636" s="13">
        <v>42640</v>
      </c>
      <c r="B1636">
        <v>783.01000999999997</v>
      </c>
      <c r="C1636" s="12">
        <v>1.1366409307473457E-2</v>
      </c>
      <c r="D1636" s="12">
        <f t="shared" si="125"/>
        <v>-2.4492123202244395E-4</v>
      </c>
      <c r="E1636" s="11">
        <f t="shared" si="126"/>
        <v>1.1611330539495901E-2</v>
      </c>
      <c r="F1636">
        <f t="shared" si="129"/>
        <v>1.6666454901524221E-2</v>
      </c>
      <c r="G1636">
        <f t="shared" si="127"/>
        <v>0.69668868443246401</v>
      </c>
      <c r="H1636">
        <f t="shared" si="128"/>
        <v>2.9327311734985768</v>
      </c>
    </row>
    <row r="1637" spans="1:8" x14ac:dyDescent="0.25">
      <c r="A1637" s="13">
        <v>42641</v>
      </c>
      <c r="B1637">
        <v>781.55999799999995</v>
      </c>
      <c r="C1637" s="12">
        <v>-1.8518435032522929E-3</v>
      </c>
      <c r="D1637" s="12">
        <f t="shared" si="125"/>
        <v>1.3046841111315048E-4</v>
      </c>
      <c r="E1637" s="11">
        <f t="shared" si="126"/>
        <v>-1.9823119143654432E-3</v>
      </c>
      <c r="F1637">
        <f t="shared" si="129"/>
        <v>1.5376102798902775E-2</v>
      </c>
      <c r="G1637">
        <f t="shared" si="127"/>
        <v>-0.12892160908984682</v>
      </c>
      <c r="H1637">
        <f t="shared" si="128"/>
        <v>3.2476918172540619</v>
      </c>
    </row>
    <row r="1638" spans="1:8" x14ac:dyDescent="0.25">
      <c r="A1638" s="13">
        <v>42642</v>
      </c>
      <c r="B1638">
        <v>775.01000999999997</v>
      </c>
      <c r="C1638" s="12">
        <v>-8.3806592158776061E-3</v>
      </c>
      <c r="D1638" s="12">
        <f t="shared" si="125"/>
        <v>1.2028132787746165E-6</v>
      </c>
      <c r="E1638" s="11">
        <f t="shared" si="126"/>
        <v>-8.3818620291563808E-3</v>
      </c>
      <c r="F1638">
        <f t="shared" si="129"/>
        <v>1.4273160600174381E-2</v>
      </c>
      <c r="G1638">
        <f t="shared" si="127"/>
        <v>-0.58724638949651953</v>
      </c>
      <c r="H1638">
        <f t="shared" si="128"/>
        <v>3.1580066921782772</v>
      </c>
    </row>
    <row r="1639" spans="1:8" x14ac:dyDescent="0.25">
      <c r="A1639" s="13">
        <v>42643</v>
      </c>
      <c r="B1639">
        <v>777.28997800000002</v>
      </c>
      <c r="C1639" s="12">
        <v>2.94185619615428E-3</v>
      </c>
      <c r="D1639" s="12">
        <f t="shared" si="125"/>
        <v>-1.3151392807237255E-4</v>
      </c>
      <c r="E1639" s="11">
        <f t="shared" si="126"/>
        <v>3.0733701242266526E-3</v>
      </c>
      <c r="F1639">
        <f t="shared" si="129"/>
        <v>1.4855768651006438E-2</v>
      </c>
      <c r="G1639">
        <f t="shared" si="127"/>
        <v>0.2068805860152137</v>
      </c>
      <c r="H1639">
        <f t="shared" si="128"/>
        <v>3.2690287061780969</v>
      </c>
    </row>
    <row r="1640" spans="1:8" x14ac:dyDescent="0.25">
      <c r="A1640" s="13">
        <v>42646</v>
      </c>
      <c r="B1640">
        <v>772.55999799999995</v>
      </c>
      <c r="C1640" s="12">
        <v>-6.0852193311053959E-3</v>
      </c>
      <c r="D1640" s="12">
        <f t="shared" si="125"/>
        <v>2.295656555427311E-5</v>
      </c>
      <c r="E1640" s="11">
        <f t="shared" si="126"/>
        <v>-6.1081758966596688E-3</v>
      </c>
      <c r="F1640">
        <f t="shared" si="129"/>
        <v>1.4276376006494621E-2</v>
      </c>
      <c r="G1640">
        <f t="shared" si="127"/>
        <v>-0.4278519908610513</v>
      </c>
      <c r="H1640">
        <f t="shared" si="128"/>
        <v>3.2386819390898047</v>
      </c>
    </row>
    <row r="1641" spans="1:8" x14ac:dyDescent="0.25">
      <c r="A1641" s="13">
        <v>42647</v>
      </c>
      <c r="B1641">
        <v>776.42999299999997</v>
      </c>
      <c r="C1641" s="12">
        <v>5.0093132054709333E-3</v>
      </c>
      <c r="D1641" s="12">
        <f t="shared" si="125"/>
        <v>-8.4476476897032114E-5</v>
      </c>
      <c r="E1641" s="11">
        <f t="shared" si="126"/>
        <v>5.0937896823679656E-3</v>
      </c>
      <c r="F1641">
        <f t="shared" si="129"/>
        <v>1.451851416975357E-2</v>
      </c>
      <c r="G1641">
        <f t="shared" si="127"/>
        <v>0.35084786382478866</v>
      </c>
      <c r="H1641">
        <f t="shared" si="128"/>
        <v>3.2518449597484467</v>
      </c>
    </row>
    <row r="1642" spans="1:8" x14ac:dyDescent="0.25">
      <c r="A1642" s="13">
        <v>42648</v>
      </c>
      <c r="B1642">
        <v>776.46997099999999</v>
      </c>
      <c r="C1642" s="12">
        <v>5.1489510143110095E-5</v>
      </c>
      <c r="D1642" s="12">
        <f t="shared" si="125"/>
        <v>6.0125394333599056E-5</v>
      </c>
      <c r="E1642" s="11">
        <f t="shared" si="126"/>
        <v>-8.635884190488961E-6</v>
      </c>
      <c r="F1642">
        <f t="shared" si="129"/>
        <v>1.4414679860461089E-2</v>
      </c>
      <c r="G1642">
        <f t="shared" si="127"/>
        <v>-5.9910343303404593E-4</v>
      </c>
      <c r="H1642">
        <f t="shared" si="128"/>
        <v>3.3205694442495362</v>
      </c>
    </row>
    <row r="1643" spans="1:8" x14ac:dyDescent="0.25">
      <c r="A1643" s="13">
        <v>42649</v>
      </c>
      <c r="B1643">
        <v>776.85998500000005</v>
      </c>
      <c r="C1643" s="12">
        <v>5.0229115685929138E-4</v>
      </c>
      <c r="D1643" s="12">
        <f t="shared" si="125"/>
        <v>1.3652552380307469E-5</v>
      </c>
      <c r="E1643" s="11">
        <f t="shared" si="126"/>
        <v>4.8863860447898391E-4</v>
      </c>
      <c r="F1643">
        <f t="shared" si="129"/>
        <v>1.4140394022029313E-2</v>
      </c>
      <c r="G1643">
        <f t="shared" si="127"/>
        <v>3.4556222670862925E-2</v>
      </c>
      <c r="H1643">
        <f t="shared" si="128"/>
        <v>3.339184153661706</v>
      </c>
    </row>
    <row r="1644" spans="1:8" x14ac:dyDescent="0.25">
      <c r="A1644" s="13">
        <v>42650</v>
      </c>
      <c r="B1644">
        <v>775.080017</v>
      </c>
      <c r="C1644" s="12">
        <v>-2.2912339860059472E-3</v>
      </c>
      <c r="D1644" s="12">
        <f t="shared" si="125"/>
        <v>7.729316866305877E-6</v>
      </c>
      <c r="E1644" s="11">
        <f t="shared" si="126"/>
        <v>-2.2989633028722531E-3</v>
      </c>
      <c r="F1644">
        <f t="shared" si="129"/>
        <v>1.4116332373706596E-2</v>
      </c>
      <c r="G1644">
        <f t="shared" si="127"/>
        <v>-0.16285839990239637</v>
      </c>
      <c r="H1644">
        <f t="shared" si="128"/>
        <v>3.3282228651476857</v>
      </c>
    </row>
    <row r="1645" spans="1:8" x14ac:dyDescent="0.25">
      <c r="A1645" s="13">
        <v>42653</v>
      </c>
      <c r="B1645">
        <v>785.94000200000005</v>
      </c>
      <c r="C1645" s="12">
        <v>1.4011437221713496E-2</v>
      </c>
      <c r="D1645" s="12">
        <f t="shared" si="125"/>
        <v>-3.3363294747303874E-5</v>
      </c>
      <c r="E1645" s="11">
        <f t="shared" si="126"/>
        <v>1.4044800516460801E-2</v>
      </c>
      <c r="F1645">
        <f t="shared" si="129"/>
        <v>1.4168897434108168E-2</v>
      </c>
      <c r="G1645">
        <f t="shared" si="127"/>
        <v>0.99124159672801115</v>
      </c>
      <c r="H1645">
        <f t="shared" si="128"/>
        <v>2.8464875534326666</v>
      </c>
    </row>
    <row r="1646" spans="1:8" x14ac:dyDescent="0.25">
      <c r="A1646" s="13">
        <v>42654</v>
      </c>
      <c r="B1646">
        <v>783.07000700000003</v>
      </c>
      <c r="C1646" s="12">
        <v>-3.6516718740573495E-3</v>
      </c>
      <c r="D1646" s="12">
        <f t="shared" si="125"/>
        <v>2.0603002375306357E-4</v>
      </c>
      <c r="E1646" s="11">
        <f t="shared" si="126"/>
        <v>-3.8577018978104131E-3</v>
      </c>
      <c r="F1646">
        <f t="shared" si="129"/>
        <v>1.6108635997229313E-2</v>
      </c>
      <c r="G1646">
        <f t="shared" si="127"/>
        <v>-0.23948035690135019</v>
      </c>
      <c r="H1646">
        <f t="shared" si="128"/>
        <v>3.180785799582444</v>
      </c>
    </row>
    <row r="1647" spans="1:8" x14ac:dyDescent="0.25">
      <c r="A1647" s="13">
        <v>42655</v>
      </c>
      <c r="B1647">
        <v>786.14001499999995</v>
      </c>
      <c r="C1647" s="12">
        <v>3.9204770615099971E-3</v>
      </c>
      <c r="D1647" s="12">
        <f t="shared" si="125"/>
        <v>-1.9221359837689022E-5</v>
      </c>
      <c r="E1647" s="11">
        <f t="shared" si="126"/>
        <v>3.9396984213476861E-3</v>
      </c>
      <c r="F1647">
        <f t="shared" si="129"/>
        <v>1.4437335391093519E-2</v>
      </c>
      <c r="G1647">
        <f t="shared" si="127"/>
        <v>0.27288265560264741</v>
      </c>
      <c r="H1647">
        <f t="shared" si="128"/>
        <v>3.2817666871787732</v>
      </c>
    </row>
    <row r="1648" spans="1:8" x14ac:dyDescent="0.25">
      <c r="A1648" s="13">
        <v>42656</v>
      </c>
      <c r="B1648">
        <v>778.19000200000005</v>
      </c>
      <c r="C1648" s="12">
        <v>-1.0112718915599173E-2</v>
      </c>
      <c r="D1648" s="12">
        <f t="shared" si="125"/>
        <v>4.9911248637075281E-5</v>
      </c>
      <c r="E1648" s="11">
        <f t="shared" si="126"/>
        <v>-1.0162630164236248E-2</v>
      </c>
      <c r="F1648">
        <f t="shared" si="129"/>
        <v>1.4303038322731007E-2</v>
      </c>
      <c r="G1648">
        <f t="shared" si="127"/>
        <v>-0.71052247326257645</v>
      </c>
      <c r="H1648">
        <f t="shared" si="128"/>
        <v>3.0759236684535489</v>
      </c>
    </row>
    <row r="1649" spans="1:8" x14ac:dyDescent="0.25">
      <c r="A1649" s="13">
        <v>42657</v>
      </c>
      <c r="B1649">
        <v>778.53002900000001</v>
      </c>
      <c r="C1649" s="12">
        <v>4.3694598893084802E-4</v>
      </c>
      <c r="D1649" s="12">
        <f t="shared" si="125"/>
        <v>-1.4287607027868267E-4</v>
      </c>
      <c r="E1649" s="11">
        <f t="shared" si="126"/>
        <v>5.7982205920953074E-4</v>
      </c>
      <c r="F1649">
        <f t="shared" si="129"/>
        <v>1.5184861900266276E-2</v>
      </c>
      <c r="G1649">
        <f t="shared" si="127"/>
        <v>3.8184216821844343E-2</v>
      </c>
      <c r="H1649">
        <f t="shared" si="128"/>
        <v>3.2677887245975752</v>
      </c>
    </row>
    <row r="1650" spans="1:8" x14ac:dyDescent="0.25">
      <c r="A1650" s="13">
        <v>42660</v>
      </c>
      <c r="B1650">
        <v>779.96002199999998</v>
      </c>
      <c r="C1650" s="12">
        <v>1.8367859256973595E-3</v>
      </c>
      <c r="D1650" s="12">
        <f t="shared" si="125"/>
        <v>-1.9380729697024546E-5</v>
      </c>
      <c r="E1650" s="11">
        <f t="shared" si="126"/>
        <v>1.8561666553943842E-3</v>
      </c>
      <c r="F1650">
        <f t="shared" si="129"/>
        <v>1.4220828885597373E-2</v>
      </c>
      <c r="G1650">
        <f t="shared" si="127"/>
        <v>0.13052450531025517</v>
      </c>
      <c r="H1650">
        <f t="shared" si="128"/>
        <v>3.3255907097315318</v>
      </c>
    </row>
    <row r="1651" spans="1:8" x14ac:dyDescent="0.25">
      <c r="A1651" s="13">
        <v>42661</v>
      </c>
      <c r="B1651">
        <v>795.26000999999997</v>
      </c>
      <c r="C1651" s="12">
        <v>1.9616374645417434E-2</v>
      </c>
      <c r="D1651" s="12">
        <f t="shared" si="125"/>
        <v>2.8903728047441627E-5</v>
      </c>
      <c r="E1651" s="11">
        <f t="shared" si="126"/>
        <v>1.9587470917369992E-2</v>
      </c>
      <c r="F1651">
        <f t="shared" si="129"/>
        <v>1.4158426199872662E-2</v>
      </c>
      <c r="G1651">
        <f t="shared" si="127"/>
        <v>1.3834497309839533</v>
      </c>
      <c r="H1651">
        <f t="shared" si="128"/>
        <v>2.381540228685854</v>
      </c>
    </row>
    <row r="1652" spans="1:8" x14ac:dyDescent="0.25">
      <c r="A1652" s="13">
        <v>42662</v>
      </c>
      <c r="B1652">
        <v>801.5</v>
      </c>
      <c r="C1652" s="12">
        <v>7.8464777827820242E-3</v>
      </c>
      <c r="D1652" s="12">
        <f t="shared" si="125"/>
        <v>3.0141177052774655E-4</v>
      </c>
      <c r="E1652" s="11">
        <f t="shared" si="126"/>
        <v>7.5450660122542779E-3</v>
      </c>
      <c r="F1652">
        <f t="shared" si="129"/>
        <v>1.7791451313404354E-2</v>
      </c>
      <c r="G1652">
        <f t="shared" si="127"/>
        <v>0.42408378492257731</v>
      </c>
      <c r="H1652">
        <f t="shared" si="128"/>
        <v>3.0201751388175384</v>
      </c>
    </row>
    <row r="1653" spans="1:8" x14ac:dyDescent="0.25">
      <c r="A1653" s="13">
        <v>42663</v>
      </c>
      <c r="B1653">
        <v>796.96997099999999</v>
      </c>
      <c r="C1653" s="12">
        <v>-5.6519388646288915E-3</v>
      </c>
      <c r="D1653" s="12">
        <f t="shared" si="125"/>
        <v>1.690889397894001E-4</v>
      </c>
      <c r="E1653" s="11">
        <f t="shared" si="126"/>
        <v>-5.8210278044182918E-3</v>
      </c>
      <c r="F1653">
        <f t="shared" si="129"/>
        <v>1.4880472748315367E-2</v>
      </c>
      <c r="G1653">
        <f t="shared" si="127"/>
        <v>-0.39118567688498312</v>
      </c>
      <c r="H1653">
        <f t="shared" si="128"/>
        <v>3.2122538292570972</v>
      </c>
    </row>
    <row r="1654" spans="1:8" x14ac:dyDescent="0.25">
      <c r="A1654" s="13">
        <v>42664</v>
      </c>
      <c r="B1654">
        <v>799.36999500000002</v>
      </c>
      <c r="C1654" s="12">
        <v>3.0114359227217946E-3</v>
      </c>
      <c r="D1654" s="12">
        <f t="shared" si="125"/>
        <v>-6.5318514966750436E-5</v>
      </c>
      <c r="E1654" s="11">
        <f t="shared" si="126"/>
        <v>3.0767544376885453E-3</v>
      </c>
      <c r="F1654">
        <f t="shared" si="129"/>
        <v>1.4513456397607044E-2</v>
      </c>
      <c r="G1654">
        <f t="shared" si="127"/>
        <v>0.2119932256933528</v>
      </c>
      <c r="H1654">
        <f t="shared" si="128"/>
        <v>3.29126993541104</v>
      </c>
    </row>
    <row r="1655" spans="1:8" x14ac:dyDescent="0.25">
      <c r="A1655" s="13">
        <v>42667</v>
      </c>
      <c r="B1655">
        <v>813.10998500000005</v>
      </c>
      <c r="C1655" s="12">
        <v>1.7188523569739544E-2</v>
      </c>
      <c r="D1655" s="12">
        <f t="shared" si="125"/>
        <v>3.1021668789070409E-5</v>
      </c>
      <c r="E1655" s="11">
        <f t="shared" si="126"/>
        <v>1.7157501900950473E-2</v>
      </c>
      <c r="F1655">
        <f t="shared" si="129"/>
        <v>1.4247088309165089E-2</v>
      </c>
      <c r="G1655">
        <f t="shared" si="127"/>
        <v>1.2042812909296792</v>
      </c>
      <c r="H1655">
        <f t="shared" si="128"/>
        <v>2.6071174752806265</v>
      </c>
    </row>
    <row r="1656" spans="1:8" x14ac:dyDescent="0.25">
      <c r="A1656" s="13">
        <v>42668</v>
      </c>
      <c r="B1656">
        <v>807.669983</v>
      </c>
      <c r="C1656" s="12">
        <v>-6.6903642807929486E-3</v>
      </c>
      <c r="D1656" s="12">
        <f t="shared" si="125"/>
        <v>2.6771012955633706E-4</v>
      </c>
      <c r="E1656" s="11">
        <f t="shared" si="126"/>
        <v>-6.9580744103492857E-3</v>
      </c>
      <c r="F1656">
        <f t="shared" si="129"/>
        <v>1.6981321315366872E-2</v>
      </c>
      <c r="G1656">
        <f t="shared" si="127"/>
        <v>-0.409748704540013</v>
      </c>
      <c r="H1656">
        <f t="shared" si="128"/>
        <v>3.0727557515041006</v>
      </c>
    </row>
    <row r="1657" spans="1:8" x14ac:dyDescent="0.25">
      <c r="A1657" s="13">
        <v>42669</v>
      </c>
      <c r="B1657">
        <v>799.07000700000003</v>
      </c>
      <c r="C1657" s="12">
        <v>-1.0647883641851208E-2</v>
      </c>
      <c r="D1657" s="12">
        <f t="shared" si="125"/>
        <v>-5.7015573584516996E-5</v>
      </c>
      <c r="E1657" s="11">
        <f t="shared" si="126"/>
        <v>-1.0590868068266691E-2</v>
      </c>
      <c r="F1657">
        <f t="shared" si="129"/>
        <v>1.4764396907527328E-2</v>
      </c>
      <c r="G1657">
        <f t="shared" si="127"/>
        <v>-0.71732480064032633</v>
      </c>
      <c r="H1657">
        <f t="shared" si="128"/>
        <v>3.0393206426958335</v>
      </c>
    </row>
    <row r="1658" spans="1:8" x14ac:dyDescent="0.25">
      <c r="A1658" s="13">
        <v>42670</v>
      </c>
      <c r="B1658">
        <v>795.34997599999997</v>
      </c>
      <c r="C1658" s="12">
        <v>-4.6554506706695253E-3</v>
      </c>
      <c r="D1658" s="12">
        <f t="shared" si="125"/>
        <v>-1.7823981849071575E-4</v>
      </c>
      <c r="E1658" s="11">
        <f t="shared" si="126"/>
        <v>-4.4772108521788099E-3</v>
      </c>
      <c r="F1658">
        <f t="shared" si="129"/>
        <v>1.5246791198241001E-2</v>
      </c>
      <c r="G1658">
        <f t="shared" si="127"/>
        <v>-0.29364938457971007</v>
      </c>
      <c r="H1658">
        <f t="shared" si="128"/>
        <v>3.2213326975620902</v>
      </c>
    </row>
    <row r="1659" spans="1:8" x14ac:dyDescent="0.25">
      <c r="A1659" s="13">
        <v>42671</v>
      </c>
      <c r="B1659">
        <v>795.36999500000002</v>
      </c>
      <c r="C1659" s="12">
        <v>2.5170051680456496E-5</v>
      </c>
      <c r="D1659" s="12">
        <f t="shared" si="125"/>
        <v>-9.7776930103013414E-5</v>
      </c>
      <c r="E1659" s="11">
        <f t="shared" si="126"/>
        <v>1.2294698178346992E-4</v>
      </c>
      <c r="F1659">
        <f t="shared" si="129"/>
        <v>1.440861345991732E-2</v>
      </c>
      <c r="G1659">
        <f t="shared" si="127"/>
        <v>8.5328808441902243E-3</v>
      </c>
      <c r="H1659">
        <f t="shared" si="128"/>
        <v>3.3209541560536109</v>
      </c>
    </row>
    <row r="1660" spans="1:8" x14ac:dyDescent="0.25">
      <c r="A1660" s="13"/>
      <c r="C1660" s="12"/>
      <c r="D1660" s="12"/>
      <c r="E1660" s="11"/>
    </row>
    <row r="1661" spans="1:8" x14ac:dyDescent="0.25">
      <c r="A1661" s="13"/>
      <c r="C1661" s="12"/>
      <c r="D1661" s="12"/>
      <c r="E1661" s="11"/>
    </row>
    <row r="1662" spans="1:8" x14ac:dyDescent="0.25">
      <c r="A1662" s="13"/>
      <c r="C1662" s="12"/>
      <c r="D1662" s="12"/>
      <c r="E1662" s="11"/>
    </row>
    <row r="1663" spans="1:8" x14ac:dyDescent="0.25">
      <c r="A1663" s="13"/>
      <c r="C1663" s="12"/>
      <c r="D1663" s="12"/>
      <c r="E1663" s="11"/>
    </row>
    <row r="1664" spans="1:8" x14ac:dyDescent="0.25">
      <c r="A1664" s="13"/>
      <c r="C1664" s="12"/>
      <c r="D1664" s="12"/>
      <c r="E1664" s="11"/>
    </row>
    <row r="1665" spans="1:5" x14ac:dyDescent="0.25">
      <c r="A1665" s="13"/>
      <c r="C1665" s="12"/>
      <c r="D1665" s="12"/>
      <c r="E1665" s="11"/>
    </row>
    <row r="1666" spans="1:5" x14ac:dyDescent="0.25">
      <c r="A1666" s="13"/>
      <c r="C1666" s="12"/>
      <c r="D1666" s="12"/>
      <c r="E1666" s="11"/>
    </row>
    <row r="1667" spans="1:5" x14ac:dyDescent="0.25">
      <c r="A1667" s="13"/>
      <c r="C1667" s="12"/>
      <c r="D1667" s="12"/>
      <c r="E1667" s="11"/>
    </row>
    <row r="1668" spans="1:5" x14ac:dyDescent="0.25">
      <c r="A1668" s="13"/>
      <c r="C1668" s="12"/>
      <c r="D1668" s="12"/>
      <c r="E1668" s="11"/>
    </row>
    <row r="1669" spans="1:5" x14ac:dyDescent="0.25">
      <c r="A1669" s="13"/>
      <c r="C1669" s="12"/>
      <c r="D1669" s="12"/>
      <c r="E1669" s="11"/>
    </row>
    <row r="1670" spans="1:5" x14ac:dyDescent="0.25">
      <c r="A1670" s="13"/>
      <c r="C1670" s="12"/>
      <c r="D1670" s="12"/>
      <c r="E1670" s="11"/>
    </row>
    <row r="1671" spans="1:5" x14ac:dyDescent="0.25">
      <c r="A1671" s="13"/>
      <c r="C1671" s="12"/>
      <c r="D1671" s="12"/>
      <c r="E1671" s="11"/>
    </row>
    <row r="1672" spans="1:5" x14ac:dyDescent="0.25">
      <c r="A1672" s="13"/>
      <c r="C1672" s="12"/>
      <c r="D1672" s="12"/>
      <c r="E1672" s="11"/>
    </row>
    <row r="1673" spans="1:5" x14ac:dyDescent="0.25">
      <c r="A1673" s="13"/>
      <c r="C1673" s="12"/>
      <c r="D1673" s="12"/>
      <c r="E1673" s="11"/>
    </row>
    <row r="1674" spans="1:5" x14ac:dyDescent="0.25">
      <c r="A1674" s="13"/>
      <c r="C1674" s="12"/>
      <c r="D1674" s="12"/>
      <c r="E1674" s="11"/>
    </row>
    <row r="1675" spans="1:5" x14ac:dyDescent="0.25">
      <c r="A1675" s="13"/>
      <c r="C1675" s="12"/>
      <c r="D1675" s="12"/>
      <c r="E1675" s="11"/>
    </row>
    <row r="1676" spans="1:5" x14ac:dyDescent="0.25">
      <c r="A1676" s="13"/>
      <c r="C1676" s="12"/>
      <c r="D1676" s="12"/>
      <c r="E1676" s="11"/>
    </row>
    <row r="1677" spans="1:5" x14ac:dyDescent="0.25">
      <c r="A1677" s="13"/>
      <c r="C1677" s="12"/>
      <c r="D1677" s="12"/>
      <c r="E1677" s="11"/>
    </row>
    <row r="1678" spans="1:5" x14ac:dyDescent="0.25">
      <c r="A1678" s="13"/>
      <c r="C1678" s="12"/>
      <c r="D1678" s="12"/>
      <c r="E1678" s="11"/>
    </row>
    <row r="1679" spans="1:5" x14ac:dyDescent="0.25">
      <c r="A1679" s="13"/>
      <c r="C1679" s="12"/>
      <c r="D1679" s="12"/>
      <c r="E1679" s="11"/>
    </row>
    <row r="1680" spans="1:5" x14ac:dyDescent="0.25">
      <c r="A1680" s="13"/>
      <c r="C1680" s="12"/>
      <c r="D1680" s="12"/>
      <c r="E1680" s="11"/>
    </row>
    <row r="1681" spans="1:5" x14ac:dyDescent="0.25">
      <c r="A1681" s="13"/>
      <c r="C1681" s="12"/>
      <c r="D1681" s="12"/>
      <c r="E1681" s="11"/>
    </row>
    <row r="1682" spans="1:5" x14ac:dyDescent="0.25">
      <c r="A1682" s="13"/>
      <c r="C1682" s="12"/>
      <c r="D1682" s="12"/>
      <c r="E1682" s="11"/>
    </row>
    <row r="1683" spans="1:5" x14ac:dyDescent="0.25">
      <c r="A1683" s="13"/>
      <c r="C1683" s="12"/>
      <c r="D1683" s="12"/>
      <c r="E1683" s="11"/>
    </row>
    <row r="1684" spans="1:5" x14ac:dyDescent="0.25">
      <c r="A1684" s="13"/>
      <c r="C1684" s="12"/>
      <c r="D1684" s="12"/>
      <c r="E1684" s="11"/>
    </row>
    <row r="1685" spans="1:5" x14ac:dyDescent="0.25">
      <c r="A1685" s="13"/>
      <c r="C1685" s="12"/>
      <c r="D1685" s="12"/>
      <c r="E1685" s="11"/>
    </row>
    <row r="1686" spans="1:5" x14ac:dyDescent="0.25">
      <c r="A1686" s="13"/>
      <c r="C1686" s="12"/>
      <c r="D1686" s="12"/>
      <c r="E1686" s="11"/>
    </row>
    <row r="1687" spans="1:5" x14ac:dyDescent="0.25">
      <c r="A1687" s="13"/>
      <c r="C1687" s="12"/>
      <c r="D1687" s="12"/>
      <c r="E1687" s="11"/>
    </row>
    <row r="1688" spans="1:5" x14ac:dyDescent="0.25">
      <c r="A1688" s="13"/>
      <c r="C1688" s="12"/>
      <c r="D1688" s="12"/>
      <c r="E1688" s="11"/>
    </row>
    <row r="1689" spans="1:5" x14ac:dyDescent="0.25">
      <c r="A1689" s="13"/>
      <c r="C1689" s="12"/>
      <c r="D1689" s="12"/>
      <c r="E1689" s="11"/>
    </row>
    <row r="1690" spans="1:5" x14ac:dyDescent="0.25">
      <c r="A1690" s="13"/>
      <c r="C1690" s="12"/>
      <c r="D1690" s="12"/>
      <c r="E1690" s="11"/>
    </row>
    <row r="1691" spans="1:5" x14ac:dyDescent="0.25">
      <c r="A1691" s="13"/>
      <c r="C1691" s="12"/>
      <c r="D1691" s="12"/>
      <c r="E1691" s="11"/>
    </row>
    <row r="1692" spans="1:5" x14ac:dyDescent="0.25">
      <c r="A1692" s="13"/>
      <c r="C1692" s="12"/>
      <c r="D1692" s="12"/>
      <c r="E1692" s="11"/>
    </row>
    <row r="1693" spans="1:5" x14ac:dyDescent="0.25">
      <c r="A1693" s="13"/>
      <c r="C1693" s="12"/>
      <c r="D1693" s="12"/>
      <c r="E1693" s="11"/>
    </row>
    <row r="1694" spans="1:5" x14ac:dyDescent="0.25">
      <c r="A1694" s="13"/>
      <c r="C1694" s="12"/>
      <c r="D1694" s="12"/>
      <c r="E1694" s="11"/>
    </row>
    <row r="1695" spans="1:5" x14ac:dyDescent="0.25">
      <c r="A1695" s="13"/>
      <c r="C1695" s="12"/>
      <c r="D1695" s="12"/>
      <c r="E1695" s="11"/>
    </row>
    <row r="1696" spans="1:5" x14ac:dyDescent="0.25">
      <c r="A1696" s="13"/>
      <c r="C1696" s="12"/>
      <c r="D1696" s="12"/>
      <c r="E1696" s="11"/>
    </row>
    <row r="1697" spans="1:5" x14ac:dyDescent="0.25">
      <c r="A1697" s="13"/>
      <c r="C1697" s="12"/>
      <c r="D1697" s="12"/>
      <c r="E1697" s="11"/>
    </row>
    <row r="1698" spans="1:5" x14ac:dyDescent="0.25">
      <c r="A1698" s="13"/>
      <c r="C1698" s="12"/>
      <c r="D1698" s="12"/>
      <c r="E1698" s="11"/>
    </row>
    <row r="1699" spans="1:5" x14ac:dyDescent="0.25">
      <c r="A1699" s="13"/>
      <c r="C1699" s="12"/>
      <c r="D1699" s="12"/>
      <c r="E1699" s="11"/>
    </row>
    <row r="1700" spans="1:5" x14ac:dyDescent="0.25">
      <c r="A1700" s="13"/>
      <c r="C1700" s="12"/>
      <c r="D1700" s="12"/>
      <c r="E1700" s="11"/>
    </row>
    <row r="1701" spans="1:5" x14ac:dyDescent="0.25">
      <c r="A1701" s="13"/>
      <c r="C1701" s="12"/>
      <c r="D1701" s="12"/>
      <c r="E1701" s="11"/>
    </row>
    <row r="1702" spans="1:5" x14ac:dyDescent="0.25">
      <c r="A1702" s="13"/>
      <c r="C1702" s="12"/>
      <c r="D1702" s="12"/>
      <c r="E1702" s="11"/>
    </row>
    <row r="1703" spans="1:5" x14ac:dyDescent="0.25">
      <c r="A1703" s="13"/>
      <c r="C1703" s="12"/>
      <c r="D1703" s="12"/>
      <c r="E1703" s="11"/>
    </row>
    <row r="1704" spans="1:5" x14ac:dyDescent="0.25">
      <c r="A1704" s="13"/>
      <c r="C1704" s="12"/>
      <c r="D1704" s="12"/>
      <c r="E1704" s="11"/>
    </row>
    <row r="1705" spans="1:5" x14ac:dyDescent="0.25">
      <c r="A1705" s="13"/>
      <c r="C1705" s="12"/>
      <c r="D1705" s="12"/>
      <c r="E1705" s="11"/>
    </row>
    <row r="1706" spans="1:5" x14ac:dyDescent="0.25">
      <c r="A1706" s="13"/>
      <c r="C1706" s="12"/>
      <c r="D1706" s="12"/>
      <c r="E1706" s="11"/>
    </row>
    <row r="1707" spans="1:5" x14ac:dyDescent="0.25">
      <c r="A1707" s="13"/>
      <c r="C1707" s="12"/>
      <c r="D1707" s="12"/>
      <c r="E1707" s="11"/>
    </row>
    <row r="1708" spans="1:5" x14ac:dyDescent="0.25">
      <c r="A1708" s="13"/>
      <c r="C1708" s="12"/>
      <c r="D1708" s="12"/>
      <c r="E1708" s="11"/>
    </row>
    <row r="1709" spans="1:5" x14ac:dyDescent="0.25">
      <c r="A1709" s="13"/>
      <c r="C1709" s="12"/>
      <c r="D1709" s="12"/>
      <c r="E1709" s="11"/>
    </row>
    <row r="1710" spans="1:5" x14ac:dyDescent="0.25">
      <c r="A1710" s="13"/>
      <c r="C1710" s="12"/>
      <c r="D1710" s="12"/>
      <c r="E1710" s="11"/>
    </row>
    <row r="1711" spans="1:5" x14ac:dyDescent="0.25">
      <c r="A1711" s="13"/>
      <c r="C1711" s="12"/>
      <c r="D1711" s="12"/>
      <c r="E1711" s="11"/>
    </row>
    <row r="1712" spans="1:5" x14ac:dyDescent="0.25">
      <c r="A1712" s="13"/>
      <c r="C1712" s="12"/>
      <c r="D1712" s="12"/>
      <c r="E1712" s="11"/>
    </row>
    <row r="1713" spans="1:5" x14ac:dyDescent="0.25">
      <c r="A1713" s="13"/>
      <c r="C1713" s="12"/>
      <c r="D1713" s="12"/>
      <c r="E1713" s="11"/>
    </row>
    <row r="1714" spans="1:5" x14ac:dyDescent="0.25">
      <c r="A1714" s="13"/>
      <c r="C1714" s="12"/>
      <c r="D1714" s="12"/>
      <c r="E1714" s="11"/>
    </row>
    <row r="1715" spans="1:5" x14ac:dyDescent="0.25">
      <c r="A1715" s="13"/>
      <c r="C1715" s="12"/>
      <c r="D1715" s="12"/>
      <c r="E1715" s="11"/>
    </row>
    <row r="1716" spans="1:5" x14ac:dyDescent="0.25">
      <c r="A1716" s="13"/>
      <c r="C1716" s="12"/>
      <c r="D1716" s="12"/>
      <c r="E1716" s="11"/>
    </row>
    <row r="1717" spans="1:5" x14ac:dyDescent="0.25">
      <c r="A1717" s="13"/>
      <c r="C1717" s="12"/>
      <c r="D1717" s="12"/>
      <c r="E1717" s="11"/>
    </row>
    <row r="1718" spans="1:5" x14ac:dyDescent="0.25">
      <c r="A1718" s="13"/>
      <c r="C1718" s="12"/>
      <c r="D1718" s="12"/>
      <c r="E1718" s="11"/>
    </row>
    <row r="1719" spans="1:5" x14ac:dyDescent="0.25">
      <c r="A1719" s="13"/>
      <c r="C1719" s="12"/>
      <c r="D1719" s="12"/>
      <c r="E1719" s="11"/>
    </row>
    <row r="1720" spans="1:5" x14ac:dyDescent="0.25">
      <c r="A1720" s="13"/>
      <c r="C1720" s="12"/>
      <c r="D1720" s="12"/>
      <c r="E1720" s="11"/>
    </row>
    <row r="1721" spans="1:5" x14ac:dyDescent="0.25">
      <c r="A1721" s="13"/>
      <c r="C1721" s="12"/>
      <c r="D1721" s="12"/>
      <c r="E1721" s="11"/>
    </row>
    <row r="1722" spans="1:5" x14ac:dyDescent="0.25">
      <c r="A1722" s="13"/>
      <c r="C1722" s="12"/>
      <c r="D1722" s="12"/>
      <c r="E1722" s="11"/>
    </row>
    <row r="1723" spans="1:5" x14ac:dyDescent="0.25">
      <c r="A1723" s="13"/>
      <c r="C1723" s="12"/>
      <c r="D1723" s="12"/>
      <c r="E1723" s="11"/>
    </row>
    <row r="1724" spans="1:5" x14ac:dyDescent="0.25">
      <c r="A1724" s="13"/>
      <c r="C1724" s="12"/>
      <c r="D1724" s="12"/>
      <c r="E1724" s="11"/>
    </row>
    <row r="1725" spans="1:5" x14ac:dyDescent="0.25">
      <c r="A1725" s="13"/>
      <c r="C1725" s="12"/>
      <c r="D1725" s="12"/>
      <c r="E1725" s="11"/>
    </row>
    <row r="1726" spans="1:5" x14ac:dyDescent="0.25">
      <c r="A1726" s="13"/>
      <c r="C1726" s="12"/>
      <c r="D1726" s="12"/>
      <c r="E1726" s="11"/>
    </row>
    <row r="1727" spans="1:5" x14ac:dyDescent="0.25">
      <c r="A1727" s="13"/>
      <c r="C1727" s="12"/>
      <c r="D1727" s="12"/>
      <c r="E1727" s="11"/>
    </row>
    <row r="1728" spans="1:5" x14ac:dyDescent="0.25">
      <c r="A1728" s="13"/>
      <c r="C1728" s="12"/>
      <c r="D1728" s="12"/>
      <c r="E1728" s="11"/>
    </row>
    <row r="1729" spans="1:5" x14ac:dyDescent="0.25">
      <c r="A1729" s="13"/>
      <c r="C1729" s="12"/>
      <c r="D1729" s="12"/>
      <c r="E1729" s="11"/>
    </row>
    <row r="1730" spans="1:5" x14ac:dyDescent="0.25">
      <c r="A1730" s="13"/>
      <c r="C1730" s="12"/>
      <c r="D1730" s="12"/>
      <c r="E1730" s="11"/>
    </row>
    <row r="1731" spans="1:5" x14ac:dyDescent="0.25">
      <c r="A1731" s="13"/>
      <c r="C1731" s="12"/>
      <c r="D1731" s="12"/>
      <c r="E1731" s="11"/>
    </row>
    <row r="1732" spans="1:5" x14ac:dyDescent="0.25">
      <c r="A1732" s="13"/>
      <c r="C1732" s="12"/>
      <c r="D1732" s="12"/>
      <c r="E1732" s="11"/>
    </row>
    <row r="1733" spans="1:5" x14ac:dyDescent="0.25">
      <c r="A1733" s="13"/>
      <c r="C1733" s="12"/>
      <c r="D1733" s="12"/>
      <c r="E1733" s="11"/>
    </row>
    <row r="1734" spans="1:5" x14ac:dyDescent="0.25">
      <c r="A1734" s="13"/>
      <c r="C1734" s="12"/>
      <c r="D1734" s="12"/>
      <c r="E1734" s="11"/>
    </row>
    <row r="1735" spans="1:5" x14ac:dyDescent="0.25">
      <c r="A1735" s="13"/>
      <c r="C1735" s="12"/>
      <c r="D1735" s="12"/>
      <c r="E1735" s="11"/>
    </row>
    <row r="1736" spans="1:5" x14ac:dyDescent="0.25">
      <c r="A1736" s="13"/>
      <c r="C1736" s="12"/>
      <c r="D1736" s="12"/>
      <c r="E1736" s="11"/>
    </row>
    <row r="1737" spans="1:5" x14ac:dyDescent="0.25">
      <c r="A1737" s="13"/>
      <c r="C1737" s="12"/>
      <c r="D1737" s="12"/>
      <c r="E1737" s="11"/>
    </row>
    <row r="1738" spans="1:5" x14ac:dyDescent="0.25">
      <c r="A1738" s="13"/>
      <c r="C1738" s="12"/>
      <c r="D1738" s="12"/>
      <c r="E1738" s="11"/>
    </row>
    <row r="1739" spans="1:5" x14ac:dyDescent="0.25">
      <c r="A1739" s="13"/>
      <c r="C1739" s="12"/>
      <c r="D1739" s="12"/>
      <c r="E1739" s="11"/>
    </row>
    <row r="1740" spans="1:5" x14ac:dyDescent="0.25">
      <c r="A1740" s="13"/>
      <c r="C1740" s="12"/>
      <c r="D1740" s="12"/>
      <c r="E1740" s="11"/>
    </row>
    <row r="1741" spans="1:5" x14ac:dyDescent="0.25">
      <c r="A1741" s="13"/>
      <c r="C1741" s="12"/>
      <c r="D1741" s="12"/>
      <c r="E1741" s="11"/>
    </row>
    <row r="1742" spans="1:5" x14ac:dyDescent="0.25">
      <c r="A1742" s="13"/>
      <c r="C1742" s="12"/>
      <c r="D1742" s="12"/>
      <c r="E1742" s="11"/>
    </row>
    <row r="1743" spans="1:5" x14ac:dyDescent="0.25">
      <c r="A1743" s="13"/>
      <c r="C1743" s="12"/>
      <c r="D1743" s="12"/>
      <c r="E1743" s="11"/>
    </row>
    <row r="1744" spans="1:5" x14ac:dyDescent="0.25">
      <c r="A1744" s="13"/>
      <c r="C1744" s="12"/>
      <c r="D1744" s="12"/>
      <c r="E1744" s="11"/>
    </row>
    <row r="1745" spans="1:5" x14ac:dyDescent="0.25">
      <c r="A1745" s="13"/>
      <c r="C1745" s="12"/>
      <c r="D1745" s="12"/>
      <c r="E1745" s="11"/>
    </row>
    <row r="1746" spans="1:5" x14ac:dyDescent="0.25">
      <c r="A1746" s="13"/>
      <c r="C1746" s="12"/>
      <c r="D1746" s="12"/>
      <c r="E1746" s="11"/>
    </row>
    <row r="1747" spans="1:5" x14ac:dyDescent="0.25">
      <c r="A1747" s="13"/>
      <c r="C1747" s="12"/>
      <c r="D1747" s="12"/>
      <c r="E1747" s="11"/>
    </row>
    <row r="1748" spans="1:5" x14ac:dyDescent="0.25">
      <c r="A1748" s="13"/>
      <c r="C1748" s="12"/>
      <c r="D1748" s="12"/>
      <c r="E1748" s="11"/>
    </row>
    <row r="1749" spans="1:5" x14ac:dyDescent="0.25">
      <c r="A1749" s="13"/>
      <c r="C1749" s="12"/>
      <c r="D1749" s="12"/>
      <c r="E1749" s="11"/>
    </row>
    <row r="1750" spans="1:5" x14ac:dyDescent="0.25">
      <c r="A1750" s="13"/>
      <c r="C1750" s="12"/>
      <c r="D1750" s="12"/>
      <c r="E1750" s="11"/>
    </row>
    <row r="1751" spans="1:5" x14ac:dyDescent="0.25">
      <c r="A1751" s="13"/>
      <c r="C1751" s="12"/>
      <c r="D1751" s="12"/>
      <c r="E1751" s="11"/>
    </row>
    <row r="1752" spans="1:5" x14ac:dyDescent="0.25">
      <c r="A1752" s="13"/>
      <c r="C1752" s="12"/>
      <c r="D1752" s="12"/>
      <c r="E1752" s="11"/>
    </row>
    <row r="1753" spans="1:5" x14ac:dyDescent="0.25">
      <c r="A1753" s="13"/>
      <c r="C1753" s="12"/>
      <c r="D1753" s="12"/>
      <c r="E1753" s="11"/>
    </row>
    <row r="1754" spans="1:5" x14ac:dyDescent="0.25">
      <c r="A1754" s="13"/>
      <c r="C1754" s="12"/>
      <c r="D1754" s="12"/>
      <c r="E1754" s="11"/>
    </row>
    <row r="1755" spans="1:5" x14ac:dyDescent="0.25">
      <c r="A1755" s="13"/>
      <c r="C1755" s="12"/>
      <c r="D1755" s="12"/>
      <c r="E1755" s="11"/>
    </row>
    <row r="1756" spans="1:5" x14ac:dyDescent="0.25">
      <c r="A1756" s="13"/>
      <c r="C1756" s="12"/>
      <c r="D1756" s="12"/>
      <c r="E1756" s="11"/>
    </row>
    <row r="1757" spans="1:5" x14ac:dyDescent="0.25">
      <c r="A1757" s="13"/>
      <c r="C1757" s="12"/>
      <c r="D1757" s="12"/>
      <c r="E1757" s="11"/>
    </row>
    <row r="1758" spans="1:5" x14ac:dyDescent="0.25">
      <c r="A1758" s="13"/>
      <c r="C1758" s="12"/>
      <c r="D1758" s="12"/>
      <c r="E1758" s="11"/>
    </row>
    <row r="1759" spans="1:5" x14ac:dyDescent="0.25">
      <c r="A1759" s="13"/>
      <c r="C1759" s="12"/>
      <c r="D1759" s="12"/>
      <c r="E1759" s="11"/>
    </row>
    <row r="1760" spans="1:5" x14ac:dyDescent="0.25">
      <c r="A1760" s="13"/>
      <c r="C1760" s="12"/>
      <c r="D1760" s="12"/>
      <c r="E1760" s="11"/>
    </row>
    <row r="1761" spans="1:5" x14ac:dyDescent="0.25">
      <c r="A1761" s="13"/>
      <c r="C1761" s="12"/>
      <c r="D1761" s="12"/>
      <c r="E1761" s="11"/>
    </row>
    <row r="1762" spans="1:5" x14ac:dyDescent="0.25">
      <c r="A1762" s="13"/>
      <c r="C1762" s="12"/>
      <c r="D1762" s="12"/>
      <c r="E1762" s="11"/>
    </row>
    <row r="1763" spans="1:5" x14ac:dyDescent="0.25">
      <c r="A1763" s="13"/>
      <c r="C1763" s="12"/>
      <c r="D1763" s="12"/>
      <c r="E1763" s="11"/>
    </row>
  </sheetData>
  <dataValidations count="1">
    <dataValidation type="whole" operator="greaterThanOrEqual" allowBlank="1" showInputMessage="1" showErrorMessage="1" sqref="K2" xr:uid="{753EEDAB-00C0-4FBA-8543-DFF2C57056CE}">
      <formula1>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ARCHMain">
                <anchor moveWithCells="1" sizeWithCells="1">
                  <from>
                    <xdr:col>9</xdr:col>
                    <xdr:colOff>38100</xdr:colOff>
                    <xdr:row>0</xdr:row>
                    <xdr:rowOff>0</xdr:rowOff>
                  </from>
                  <to>
                    <xdr:col>10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ctivateMenuSheet">
                <anchor moveWithCells="1" sizeWithCells="1">
                  <from>
                    <xdr:col>10</xdr:col>
                    <xdr:colOff>571500</xdr:colOff>
                    <xdr:row>0</xdr:row>
                    <xdr:rowOff>0</xdr:rowOff>
                  </from>
                  <to>
                    <xdr:col>12</xdr:col>
                    <xdr:colOff>38100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CDB58-BAB3-4369-AE5F-A5A7C0C24611}">
  <sheetPr codeName="Feuil9"/>
  <dimension ref="A1:P50"/>
  <sheetViews>
    <sheetView zoomScale="69" workbookViewId="0">
      <selection activeCell="C8" sqref="C8"/>
    </sheetView>
  </sheetViews>
  <sheetFormatPr baseColWidth="10" defaultRowHeight="15" x14ac:dyDescent="0.25"/>
  <cols>
    <col min="3" max="3" width="12.7109375" bestFit="1" customWidth="1"/>
  </cols>
  <sheetData>
    <row r="1" spans="1:16" ht="15.75" x14ac:dyDescent="0.25">
      <c r="B1" t="s">
        <v>29</v>
      </c>
      <c r="C1" t="s">
        <v>30</v>
      </c>
      <c r="D1" t="s">
        <v>29</v>
      </c>
      <c r="E1" t="s">
        <v>30</v>
      </c>
      <c r="M1" s="34" t="s">
        <v>11</v>
      </c>
      <c r="N1" s="34"/>
      <c r="O1" s="34"/>
      <c r="P1" s="34"/>
    </row>
    <row r="2" spans="1:16" x14ac:dyDescent="0.25">
      <c r="A2" s="13">
        <v>42674</v>
      </c>
      <c r="B2">
        <v>-1.3616325820789865E-2</v>
      </c>
      <c r="O2" s="35" t="s">
        <v>12</v>
      </c>
      <c r="P2" s="35"/>
    </row>
    <row r="3" spans="1:16" x14ac:dyDescent="0.25">
      <c r="A3" s="13">
        <v>42675</v>
      </c>
      <c r="B3">
        <v>-1.1853991206041137E-3</v>
      </c>
      <c r="O3" s="10">
        <v>1</v>
      </c>
      <c r="P3" s="10">
        <v>0</v>
      </c>
    </row>
    <row r="4" spans="1:16" x14ac:dyDescent="0.25">
      <c r="A4" s="13">
        <v>42676</v>
      </c>
      <c r="B4">
        <v>-1.9027288173210311E-2</v>
      </c>
      <c r="C4">
        <f>'AR-GARCH'!$K$11*'AR-GARCH Confuse'!B3+'AR-GARCH'!$K$10*'AR-GARCH Confuse'!B2</f>
        <v>-5.2922340179043862E-5</v>
      </c>
      <c r="D4">
        <f>IF(B4&lt;0,0,1)</f>
        <v>0</v>
      </c>
      <c r="E4">
        <f>IF(C4&lt;0,0,1)</f>
        <v>0</v>
      </c>
      <c r="F4">
        <f>IF(AND(D4=1,E4=1),1,0)</f>
        <v>0</v>
      </c>
      <c r="G4">
        <f>IF(AND(D4=1,E4=0),1,0)</f>
        <v>0</v>
      </c>
      <c r="H4">
        <f>IF(AND(D4=0,E4=1),1,0)</f>
        <v>0</v>
      </c>
      <c r="I4">
        <f>IF(AND(D4=0,E4=0),1,0)</f>
        <v>1</v>
      </c>
      <c r="M4" s="36" t="s">
        <v>13</v>
      </c>
      <c r="N4" s="10">
        <v>1</v>
      </c>
      <c r="O4">
        <f>SUM(F4:F44)</f>
        <v>11</v>
      </c>
      <c r="P4">
        <f>SUM(G4:G44)</f>
        <v>9</v>
      </c>
    </row>
    <row r="5" spans="1:16" x14ac:dyDescent="0.25">
      <c r="A5" s="13">
        <v>42677</v>
      </c>
      <c r="B5">
        <v>-8.5469063320373628E-3</v>
      </c>
      <c r="C5">
        <f>'AR-GARCH'!$K$11*'AR-GARCH Confuse'!B4+'AR-GARCH'!$K$10*'AR-GARCH Confuse'!B3</f>
        <v>-2.908279840324063E-4</v>
      </c>
      <c r="D5">
        <f t="shared" ref="D5:E44" si="0">IF(B5&lt;0,0,1)</f>
        <v>0</v>
      </c>
      <c r="E5">
        <f t="shared" si="0"/>
        <v>0</v>
      </c>
      <c r="F5">
        <f t="shared" ref="F5:F44" si="1">IF(AND(D5=1,E5=1),1,0)</f>
        <v>0</v>
      </c>
      <c r="G5">
        <f t="shared" ref="G5:G44" si="2">IF(AND(D5=1,E5=0),1,0)</f>
        <v>0</v>
      </c>
      <c r="H5">
        <f t="shared" ref="H5:H44" si="3">IF(AND(D5=0,E5=1),1,0)</f>
        <v>0</v>
      </c>
      <c r="I5">
        <f t="shared" ref="I5:I44" si="4">IF(AND(D5=0,E5=0),1,0)</f>
        <v>1</v>
      </c>
      <c r="M5" s="36"/>
      <c r="N5" s="10">
        <v>0</v>
      </c>
      <c r="O5">
        <f>SUM(H4:H44)</f>
        <v>10</v>
      </c>
      <c r="P5">
        <f>SUM(I4:I44)</f>
        <v>11</v>
      </c>
    </row>
    <row r="6" spans="1:16" x14ac:dyDescent="0.25">
      <c r="A6" s="13">
        <v>42678</v>
      </c>
      <c r="B6">
        <v>-1.4431264912595498E-4</v>
      </c>
      <c r="C6">
        <f>'AR-GARCH'!$K$11*'AR-GARCH Confuse'!B5+'AR-GARCH'!$K$10*'AR-GARCH Confuse'!B4</f>
        <v>-1.7816875846788602E-4</v>
      </c>
      <c r="D6">
        <f t="shared" si="0"/>
        <v>0</v>
      </c>
      <c r="E6">
        <f t="shared" si="0"/>
        <v>0</v>
      </c>
      <c r="F6">
        <f t="shared" si="1"/>
        <v>0</v>
      </c>
      <c r="G6">
        <f t="shared" si="2"/>
        <v>0</v>
      </c>
      <c r="H6">
        <f t="shared" si="3"/>
        <v>0</v>
      </c>
      <c r="I6">
        <f t="shared" si="4"/>
        <v>1</v>
      </c>
    </row>
    <row r="7" spans="1:16" x14ac:dyDescent="0.25">
      <c r="A7" s="13">
        <v>42681</v>
      </c>
      <c r="B7">
        <v>2.6902180339041459E-2</v>
      </c>
      <c r="C7">
        <f>'AR-GARCH'!$K$11*'AR-GARCH Confuse'!B6+'AR-GARCH'!$K$10*'AR-GARCH Confuse'!B5</f>
        <v>-2.4147984341134211E-5</v>
      </c>
      <c r="D7">
        <f t="shared" si="0"/>
        <v>1</v>
      </c>
      <c r="E7">
        <f t="shared" si="0"/>
        <v>0</v>
      </c>
      <c r="F7">
        <f t="shared" si="1"/>
        <v>0</v>
      </c>
      <c r="G7">
        <f t="shared" si="2"/>
        <v>1</v>
      </c>
      <c r="H7">
        <f t="shared" si="3"/>
        <v>0</v>
      </c>
      <c r="I7">
        <f t="shared" si="4"/>
        <v>0</v>
      </c>
    </row>
    <row r="8" spans="1:16" x14ac:dyDescent="0.25">
      <c r="A8" s="13">
        <v>42682</v>
      </c>
      <c r="B8">
        <v>1.0210588605771287E-2</v>
      </c>
      <c r="C8">
        <f>'AR-GARCH'!$K$11*'AR-GARCH Confuse'!B7+'AR-GARCH'!$K$10*'AR-GARCH Confuse'!B6</f>
        <v>4.0651584485583794E-4</v>
      </c>
      <c r="D8">
        <f t="shared" si="0"/>
        <v>1</v>
      </c>
      <c r="E8">
        <f t="shared" si="0"/>
        <v>1</v>
      </c>
      <c r="F8">
        <f t="shared" si="1"/>
        <v>1</v>
      </c>
      <c r="G8">
        <f t="shared" si="2"/>
        <v>0</v>
      </c>
      <c r="H8">
        <f t="shared" si="3"/>
        <v>0</v>
      </c>
      <c r="I8">
        <f t="shared" si="4"/>
        <v>0</v>
      </c>
      <c r="L8" s="13">
        <v>42674</v>
      </c>
      <c r="M8" t="s">
        <v>31</v>
      </c>
      <c r="N8">
        <v>784.53997800000002</v>
      </c>
      <c r="O8">
        <v>-1.3616325820789865E-2</v>
      </c>
    </row>
    <row r="9" spans="1:16" x14ac:dyDescent="0.25">
      <c r="A9" s="13">
        <v>42683</v>
      </c>
      <c r="B9">
        <v>-6.5780470003157232E-3</v>
      </c>
      <c r="C9">
        <f>'AR-GARCH'!$K$11*'AR-GARCH Confuse'!B8+'AR-GARCH'!$K$10*'AR-GARCH Confuse'!B7</f>
        <v>2.2356965700615945E-4</v>
      </c>
      <c r="D9">
        <f t="shared" si="0"/>
        <v>0</v>
      </c>
      <c r="E9">
        <f t="shared" si="0"/>
        <v>1</v>
      </c>
      <c r="F9">
        <f t="shared" si="1"/>
        <v>0</v>
      </c>
      <c r="G9">
        <f t="shared" si="2"/>
        <v>0</v>
      </c>
      <c r="H9">
        <f t="shared" si="3"/>
        <v>1</v>
      </c>
      <c r="I9">
        <f t="shared" si="4"/>
        <v>0</v>
      </c>
      <c r="L9" s="13">
        <v>42675</v>
      </c>
      <c r="M9" t="s">
        <v>31</v>
      </c>
      <c r="N9">
        <v>783.60998500000005</v>
      </c>
      <c r="O9">
        <v>-1.1853991206041137E-3</v>
      </c>
    </row>
    <row r="10" spans="1:16" x14ac:dyDescent="0.25">
      <c r="A10" s="13">
        <v>42684</v>
      </c>
      <c r="B10">
        <v>-2.8969451627941734E-2</v>
      </c>
      <c r="C10">
        <f>'AR-GARCH'!$K$11*'AR-GARCH Confuse'!B9+'AR-GARCH'!$K$10*'AR-GARCH Confuse'!B8</f>
        <v>-7.3249902631098001E-5</v>
      </c>
      <c r="D10">
        <f t="shared" si="0"/>
        <v>0</v>
      </c>
      <c r="E10">
        <f t="shared" si="0"/>
        <v>0</v>
      </c>
      <c r="F10">
        <f t="shared" si="1"/>
        <v>0</v>
      </c>
      <c r="G10">
        <f t="shared" si="2"/>
        <v>0</v>
      </c>
      <c r="H10">
        <f t="shared" si="3"/>
        <v>0</v>
      </c>
      <c r="I10">
        <f t="shared" si="4"/>
        <v>1</v>
      </c>
      <c r="L10" s="13">
        <v>42676</v>
      </c>
      <c r="M10" t="s">
        <v>31</v>
      </c>
      <c r="N10">
        <v>768.70001200000002</v>
      </c>
      <c r="O10">
        <v>-1.9027288173210311E-2</v>
      </c>
    </row>
    <row r="11" spans="1:16" x14ac:dyDescent="0.25">
      <c r="A11" s="13">
        <v>42685</v>
      </c>
      <c r="B11">
        <v>-1.1199089937051654E-2</v>
      </c>
      <c r="C11">
        <f>'AR-GARCH'!$K$11*'AR-GARCH Confuse'!B10+'AR-GARCH'!$K$10*'AR-GARCH Confuse'!B9</f>
        <v>-4.5505892064122259E-4</v>
      </c>
      <c r="D11">
        <f t="shared" si="0"/>
        <v>0</v>
      </c>
      <c r="E11">
        <f t="shared" si="0"/>
        <v>0</v>
      </c>
      <c r="F11">
        <f t="shared" si="1"/>
        <v>0</v>
      </c>
      <c r="G11">
        <f t="shared" si="2"/>
        <v>0</v>
      </c>
      <c r="H11">
        <f t="shared" si="3"/>
        <v>0</v>
      </c>
      <c r="I11">
        <f t="shared" si="4"/>
        <v>1</v>
      </c>
      <c r="L11" s="13">
        <v>42677</v>
      </c>
      <c r="M11" t="s">
        <v>31</v>
      </c>
      <c r="N11">
        <v>762.13000499999998</v>
      </c>
      <c r="O11">
        <v>-8.5469063320373628E-3</v>
      </c>
    </row>
    <row r="12" spans="1:16" x14ac:dyDescent="0.25">
      <c r="A12" s="13">
        <v>42688</v>
      </c>
      <c r="B12">
        <v>-2.379247569580456E-2</v>
      </c>
      <c r="C12">
        <f>'AR-GARCH'!$K$11*'AR-GARCH Confuse'!B11+'AR-GARCH'!$K$10*'AR-GARCH Confuse'!B10</f>
        <v>-2.4383324552279339E-4</v>
      </c>
      <c r="D12">
        <f t="shared" si="0"/>
        <v>0</v>
      </c>
      <c r="E12">
        <f t="shared" si="0"/>
        <v>0</v>
      </c>
      <c r="F12">
        <f t="shared" si="1"/>
        <v>0</v>
      </c>
      <c r="G12">
        <f t="shared" si="2"/>
        <v>0</v>
      </c>
      <c r="H12">
        <f t="shared" si="3"/>
        <v>0</v>
      </c>
      <c r="I12">
        <f t="shared" si="4"/>
        <v>1</v>
      </c>
      <c r="L12" s="13">
        <v>42678</v>
      </c>
      <c r="M12" t="s">
        <v>31</v>
      </c>
      <c r="N12">
        <v>762.02002000000005</v>
      </c>
      <c r="O12">
        <v>-1.4431264912595498E-4</v>
      </c>
    </row>
    <row r="13" spans="1:16" x14ac:dyDescent="0.25">
      <c r="A13" s="13">
        <v>42689</v>
      </c>
      <c r="B13">
        <v>3.0445022935597477E-2</v>
      </c>
      <c r="C13">
        <f>'AR-GARCH'!$K$11*'AR-GARCH Confuse'!B12+'AR-GARCH'!$K$10*'AR-GARCH Confuse'!B11</f>
        <v>-3.8863479106577496E-4</v>
      </c>
      <c r="D13">
        <f t="shared" si="0"/>
        <v>1</v>
      </c>
      <c r="E13">
        <f t="shared" si="0"/>
        <v>0</v>
      </c>
      <c r="F13">
        <f t="shared" si="1"/>
        <v>0</v>
      </c>
      <c r="G13">
        <f t="shared" si="2"/>
        <v>1</v>
      </c>
      <c r="H13">
        <f t="shared" si="3"/>
        <v>0</v>
      </c>
      <c r="I13">
        <f t="shared" si="4"/>
        <v>0</v>
      </c>
      <c r="L13" s="13">
        <v>42681</v>
      </c>
      <c r="M13" t="s">
        <v>31</v>
      </c>
      <c r="N13">
        <v>782.52002000000005</v>
      </c>
      <c r="O13">
        <v>2.6902180339041459E-2</v>
      </c>
    </row>
    <row r="14" spans="1:16" x14ac:dyDescent="0.25">
      <c r="A14" s="13">
        <v>42690</v>
      </c>
      <c r="B14">
        <v>7.8972564951054203E-3</v>
      </c>
      <c r="C14">
        <f>'AR-GARCH'!$K$11*'AR-GARCH Confuse'!B13+'AR-GARCH'!$K$10*'AR-GARCH Confuse'!B12</f>
        <v>3.9932509017458759E-4</v>
      </c>
      <c r="D14">
        <f t="shared" si="0"/>
        <v>1</v>
      </c>
      <c r="E14">
        <f t="shared" si="0"/>
        <v>1</v>
      </c>
      <c r="F14">
        <f t="shared" si="1"/>
        <v>1</v>
      </c>
      <c r="G14">
        <f t="shared" si="2"/>
        <v>0</v>
      </c>
      <c r="H14">
        <f t="shared" si="3"/>
        <v>0</v>
      </c>
      <c r="I14">
        <f t="shared" si="4"/>
        <v>0</v>
      </c>
      <c r="L14" s="13">
        <v>42682</v>
      </c>
      <c r="M14" t="s">
        <v>31</v>
      </c>
      <c r="N14">
        <v>790.51000999999997</v>
      </c>
      <c r="O14">
        <v>1.0210588605771287E-2</v>
      </c>
    </row>
    <row r="15" spans="1:16" x14ac:dyDescent="0.25">
      <c r="A15" s="13">
        <v>42691</v>
      </c>
      <c r="B15">
        <v>8.829531415590397E-3</v>
      </c>
      <c r="C15">
        <f>'AR-GARCH'!$K$11*'AR-GARCH Confuse'!B14+'AR-GARCH'!$K$10*'AR-GARCH Confuse'!B13</f>
        <v>1.9768626471709626E-4</v>
      </c>
      <c r="D15">
        <f t="shared" si="0"/>
        <v>1</v>
      </c>
      <c r="E15">
        <f t="shared" si="0"/>
        <v>1</v>
      </c>
      <c r="F15">
        <f t="shared" si="1"/>
        <v>1</v>
      </c>
      <c r="G15">
        <f t="shared" si="2"/>
        <v>0</v>
      </c>
      <c r="H15">
        <f t="shared" si="3"/>
        <v>0</v>
      </c>
      <c r="I15">
        <f t="shared" si="4"/>
        <v>0</v>
      </c>
      <c r="L15" s="13">
        <v>42683</v>
      </c>
      <c r="M15" t="s">
        <v>31</v>
      </c>
      <c r="N15">
        <v>785.30999799999995</v>
      </c>
      <c r="O15">
        <v>-6.5780470003157232E-3</v>
      </c>
    </row>
    <row r="16" spans="1:16" x14ac:dyDescent="0.25">
      <c r="A16" s="13">
        <v>42692</v>
      </c>
      <c r="B16">
        <v>-1.3860978277841274E-2</v>
      </c>
      <c r="C16">
        <f>'AR-GARCH'!$K$11*'AR-GARCH Confuse'!B15+'AR-GARCH'!$K$10*'AR-GARCH Confuse'!B14</f>
        <v>1.5383951086544374E-4</v>
      </c>
      <c r="D16">
        <f t="shared" si="0"/>
        <v>0</v>
      </c>
      <c r="E16">
        <f t="shared" si="0"/>
        <v>1</v>
      </c>
      <c r="F16">
        <f t="shared" si="1"/>
        <v>0</v>
      </c>
      <c r="G16">
        <f t="shared" si="2"/>
        <v>0</v>
      </c>
      <c r="H16">
        <f t="shared" si="3"/>
        <v>1</v>
      </c>
      <c r="I16">
        <f t="shared" si="4"/>
        <v>0</v>
      </c>
      <c r="L16" s="13">
        <v>42684</v>
      </c>
      <c r="M16" t="s">
        <v>31</v>
      </c>
      <c r="N16">
        <v>762.55999799999995</v>
      </c>
      <c r="O16">
        <v>-2.8969451627941734E-2</v>
      </c>
    </row>
    <row r="17" spans="1:15" x14ac:dyDescent="0.25">
      <c r="A17" s="13">
        <v>42695</v>
      </c>
      <c r="B17">
        <v>1.1386691364697832E-2</v>
      </c>
      <c r="C17">
        <f>'AR-GARCH'!$K$11*'AR-GARCH Confuse'!B16+'AR-GARCH'!$K$10*'AR-GARCH Confuse'!B15</f>
        <v>-1.8695114558405713E-4</v>
      </c>
      <c r="D17">
        <f t="shared" si="0"/>
        <v>1</v>
      </c>
      <c r="E17">
        <f t="shared" si="0"/>
        <v>0</v>
      </c>
      <c r="F17">
        <f t="shared" si="1"/>
        <v>0</v>
      </c>
      <c r="G17">
        <f t="shared" si="2"/>
        <v>1</v>
      </c>
      <c r="H17">
        <f t="shared" si="3"/>
        <v>0</v>
      </c>
      <c r="I17">
        <f t="shared" si="4"/>
        <v>0</v>
      </c>
      <c r="L17" s="13">
        <v>42685</v>
      </c>
      <c r="M17" t="s">
        <v>31</v>
      </c>
      <c r="N17">
        <v>754.02002000000005</v>
      </c>
      <c r="O17">
        <v>-1.1199089937051654E-2</v>
      </c>
    </row>
    <row r="18" spans="1:15" x14ac:dyDescent="0.25">
      <c r="A18" s="13">
        <v>42696</v>
      </c>
      <c r="B18">
        <v>-1.2090379426566988E-3</v>
      </c>
      <c r="C18">
        <f>'AR-GARCH'!$K$11*'AR-GARCH Confuse'!B17+'AR-GARCH'!$K$10*'AR-GARCH Confuse'!B16</f>
        <v>1.365976879543361E-4</v>
      </c>
      <c r="D18">
        <f t="shared" si="0"/>
        <v>0</v>
      </c>
      <c r="E18">
        <f t="shared" si="0"/>
        <v>1</v>
      </c>
      <c r="F18">
        <f t="shared" si="1"/>
        <v>0</v>
      </c>
      <c r="G18">
        <f t="shared" si="2"/>
        <v>0</v>
      </c>
      <c r="H18">
        <f t="shared" si="3"/>
        <v>1</v>
      </c>
      <c r="I18">
        <f t="shared" si="4"/>
        <v>0</v>
      </c>
      <c r="L18" s="13">
        <v>42688</v>
      </c>
      <c r="M18" t="s">
        <v>31</v>
      </c>
      <c r="N18">
        <v>736.080017</v>
      </c>
      <c r="O18">
        <v>-2.379247569580456E-2</v>
      </c>
    </row>
    <row r="19" spans="1:15" x14ac:dyDescent="0.25">
      <c r="A19" s="13">
        <v>42697</v>
      </c>
      <c r="B19">
        <v>-9.4758741204036268E-3</v>
      </c>
      <c r="C19">
        <f>'AR-GARCH'!$K$11*'AR-GARCH Confuse'!B18+'AR-GARCH'!$K$10*'AR-GARCH Confuse'!B17</f>
        <v>1.0977162528138693E-5</v>
      </c>
      <c r="D19">
        <f t="shared" si="0"/>
        <v>0</v>
      </c>
      <c r="E19">
        <f t="shared" si="0"/>
        <v>1</v>
      </c>
      <c r="F19">
        <f t="shared" si="1"/>
        <v>0</v>
      </c>
      <c r="G19">
        <f t="shared" si="2"/>
        <v>0</v>
      </c>
      <c r="H19">
        <f t="shared" si="3"/>
        <v>1</v>
      </c>
      <c r="I19">
        <f t="shared" si="4"/>
        <v>0</v>
      </c>
      <c r="L19" s="13">
        <v>42689</v>
      </c>
      <c r="M19" t="s">
        <v>31</v>
      </c>
      <c r="N19">
        <v>758.48999000000003</v>
      </c>
      <c r="O19">
        <v>3.0445022935597477E-2</v>
      </c>
    </row>
    <row r="20" spans="1:15" x14ac:dyDescent="0.25">
      <c r="A20" s="13">
        <v>42699</v>
      </c>
      <c r="B20">
        <v>9.0671757719174018E-4</v>
      </c>
      <c r="C20">
        <f>'AR-GARCH'!$K$11*'AR-GARCH Confuse'!B19+'AR-GARCH'!$K$10*'AR-GARCH Confuse'!B18</f>
        <v>-1.464267054127422E-4</v>
      </c>
      <c r="D20">
        <f t="shared" si="0"/>
        <v>1</v>
      </c>
      <c r="E20">
        <f t="shared" si="0"/>
        <v>0</v>
      </c>
      <c r="F20">
        <f t="shared" si="1"/>
        <v>0</v>
      </c>
      <c r="G20">
        <f t="shared" si="2"/>
        <v>1</v>
      </c>
      <c r="H20">
        <f t="shared" si="3"/>
        <v>0</v>
      </c>
      <c r="I20">
        <f t="shared" si="4"/>
        <v>0</v>
      </c>
      <c r="L20" s="13">
        <v>42690</v>
      </c>
      <c r="M20" t="s">
        <v>31</v>
      </c>
      <c r="N20">
        <v>764.47997999999995</v>
      </c>
      <c r="O20">
        <v>7.8972564951054203E-3</v>
      </c>
    </row>
    <row r="21" spans="1:15" x14ac:dyDescent="0.25">
      <c r="A21" s="13">
        <v>42702</v>
      </c>
      <c r="B21">
        <v>8.6125368399956326E-3</v>
      </c>
      <c r="C21">
        <f>'AR-GARCH'!$K$11*'AR-GARCH Confuse'!B20+'AR-GARCH'!$K$10*'AR-GARCH Confuse'!B19</f>
        <v>-1.0638914544229567E-5</v>
      </c>
      <c r="D21">
        <f t="shared" si="0"/>
        <v>1</v>
      </c>
      <c r="E21">
        <f t="shared" si="0"/>
        <v>0</v>
      </c>
      <c r="F21">
        <f t="shared" si="1"/>
        <v>0</v>
      </c>
      <c r="G21">
        <f t="shared" si="2"/>
        <v>1</v>
      </c>
      <c r="H21">
        <f t="shared" si="3"/>
        <v>0</v>
      </c>
      <c r="I21">
        <f t="shared" si="4"/>
        <v>0</v>
      </c>
      <c r="L21" s="13">
        <v>42691</v>
      </c>
      <c r="M21" t="s">
        <v>31</v>
      </c>
      <c r="N21">
        <v>771.22997999999995</v>
      </c>
      <c r="O21">
        <v>8.829531415590397E-3</v>
      </c>
    </row>
    <row r="22" spans="1:15" x14ac:dyDescent="0.25">
      <c r="A22" s="13">
        <v>42703</v>
      </c>
      <c r="B22">
        <v>3.384407260548894E-3</v>
      </c>
      <c r="C22">
        <f>'AR-GARCH'!$K$11*'AR-GARCH Confuse'!B21+'AR-GARCH'!$K$10*'AR-GARCH Confuse'!B20</f>
        <v>1.3259205534956207E-4</v>
      </c>
      <c r="D22">
        <f t="shared" si="0"/>
        <v>1</v>
      </c>
      <c r="E22">
        <f t="shared" si="0"/>
        <v>1</v>
      </c>
      <c r="F22">
        <f t="shared" si="1"/>
        <v>1</v>
      </c>
      <c r="G22">
        <f t="shared" si="2"/>
        <v>0</v>
      </c>
      <c r="H22">
        <f t="shared" si="3"/>
        <v>0</v>
      </c>
      <c r="I22">
        <f t="shared" si="4"/>
        <v>0</v>
      </c>
      <c r="L22" s="13">
        <v>42692</v>
      </c>
      <c r="M22" t="s">
        <v>31</v>
      </c>
      <c r="N22">
        <v>760.53997800000002</v>
      </c>
      <c r="O22">
        <v>-1.3860978277841274E-2</v>
      </c>
    </row>
    <row r="23" spans="1:15" x14ac:dyDescent="0.25">
      <c r="A23" s="13">
        <v>42704</v>
      </c>
      <c r="B23">
        <v>-1.6605324777718034E-2</v>
      </c>
      <c r="C23">
        <f>'AR-GARCH'!$K$11*'AR-GARCH Confuse'!B22+'AR-GARCH'!$K$10*'AR-GARCH Confuse'!B21</f>
        <v>7.3322029587335512E-5</v>
      </c>
      <c r="D23">
        <f t="shared" si="0"/>
        <v>0</v>
      </c>
      <c r="E23">
        <f t="shared" si="0"/>
        <v>1</v>
      </c>
      <c r="F23">
        <f t="shared" si="1"/>
        <v>0</v>
      </c>
      <c r="G23">
        <f t="shared" si="2"/>
        <v>0</v>
      </c>
      <c r="H23">
        <f t="shared" si="3"/>
        <v>1</v>
      </c>
      <c r="I23">
        <f t="shared" si="4"/>
        <v>0</v>
      </c>
      <c r="L23" s="13">
        <v>42695</v>
      </c>
      <c r="M23" t="s">
        <v>31</v>
      </c>
      <c r="N23">
        <v>769.20001200000002</v>
      </c>
      <c r="O23">
        <v>1.1386691364697832E-2</v>
      </c>
    </row>
    <row r="24" spans="1:15" x14ac:dyDescent="0.25">
      <c r="A24" s="13">
        <v>42705</v>
      </c>
      <c r="B24">
        <v>-1.3350212777300308E-2</v>
      </c>
      <c r="C24">
        <f>'AR-GARCH'!$K$11*'AR-GARCH Confuse'!B23+'AR-GARCH'!$K$10*'AR-GARCH Confuse'!B22</f>
        <v>-2.4245230528858582E-4</v>
      </c>
      <c r="D24">
        <f t="shared" si="0"/>
        <v>0</v>
      </c>
      <c r="E24">
        <f t="shared" si="0"/>
        <v>0</v>
      </c>
      <c r="F24">
        <f t="shared" si="1"/>
        <v>0</v>
      </c>
      <c r="G24">
        <f t="shared" si="2"/>
        <v>0</v>
      </c>
      <c r="H24">
        <f t="shared" si="3"/>
        <v>0</v>
      </c>
      <c r="I24">
        <f t="shared" si="4"/>
        <v>1</v>
      </c>
      <c r="L24" s="13">
        <v>42696</v>
      </c>
      <c r="M24" t="s">
        <v>31</v>
      </c>
      <c r="N24">
        <v>768.27002000000005</v>
      </c>
      <c r="O24">
        <v>-1.2090379426566988E-3</v>
      </c>
    </row>
    <row r="25" spans="1:15" x14ac:dyDescent="0.25">
      <c r="A25" s="13">
        <v>42706</v>
      </c>
      <c r="B25">
        <v>3.4495896066999432E-3</v>
      </c>
      <c r="C25">
        <f>'AR-GARCH'!$K$11*'AR-GARCH Confuse'!B24+'AR-GARCH'!$K$10*'AR-GARCH Confuse'!B23</f>
        <v>-2.4459282956102682E-4</v>
      </c>
      <c r="D25">
        <f t="shared" si="0"/>
        <v>1</v>
      </c>
      <c r="E25">
        <f t="shared" si="0"/>
        <v>0</v>
      </c>
      <c r="F25">
        <f t="shared" si="1"/>
        <v>0</v>
      </c>
      <c r="G25">
        <f t="shared" si="2"/>
        <v>1</v>
      </c>
      <c r="H25">
        <f t="shared" si="3"/>
        <v>0</v>
      </c>
      <c r="I25">
        <f t="shared" si="4"/>
        <v>0</v>
      </c>
      <c r="L25" s="13">
        <v>42697</v>
      </c>
      <c r="M25" t="s">
        <v>31</v>
      </c>
      <c r="N25">
        <v>760.98999000000003</v>
      </c>
      <c r="O25">
        <v>-9.4758741204036268E-3</v>
      </c>
    </row>
    <row r="26" spans="1:15" x14ac:dyDescent="0.25">
      <c r="A26" s="13">
        <v>42709</v>
      </c>
      <c r="B26">
        <v>1.6016015989340548E-2</v>
      </c>
      <c r="C26">
        <f>'AR-GARCH'!$K$11*'AR-GARCH Confuse'!B25+'AR-GARCH'!$K$10*'AR-GARCH Confuse'!B24</f>
        <v>1.7864259026574716E-5</v>
      </c>
      <c r="D26">
        <f t="shared" si="0"/>
        <v>1</v>
      </c>
      <c r="E26">
        <f t="shared" si="0"/>
        <v>1</v>
      </c>
      <c r="F26">
        <f t="shared" si="1"/>
        <v>1</v>
      </c>
      <c r="G26">
        <f t="shared" si="2"/>
        <v>0</v>
      </c>
      <c r="H26">
        <f t="shared" si="3"/>
        <v>0</v>
      </c>
      <c r="I26">
        <f t="shared" si="4"/>
        <v>0</v>
      </c>
      <c r="L26" s="13">
        <v>42699</v>
      </c>
      <c r="M26" t="s">
        <v>31</v>
      </c>
      <c r="N26">
        <v>761.67999299999997</v>
      </c>
      <c r="O26">
        <v>9.0671757719174018E-4</v>
      </c>
    </row>
    <row r="27" spans="1:15" x14ac:dyDescent="0.25">
      <c r="A27" s="13">
        <v>42710</v>
      </c>
      <c r="B27">
        <v>-4.4720596319556272E-3</v>
      </c>
      <c r="C27">
        <f>'AR-GARCH'!$K$11*'AR-GARCH Confuse'!B26+'AR-GARCH'!$K$10*'AR-GARCH Confuse'!B25</f>
        <v>2.5110237622933898E-4</v>
      </c>
      <c r="D27">
        <f t="shared" si="0"/>
        <v>0</v>
      </c>
      <c r="E27">
        <f t="shared" si="0"/>
        <v>1</v>
      </c>
      <c r="F27">
        <f t="shared" si="1"/>
        <v>0</v>
      </c>
      <c r="G27">
        <f t="shared" si="2"/>
        <v>0</v>
      </c>
      <c r="H27">
        <f t="shared" si="3"/>
        <v>1</v>
      </c>
      <c r="I27">
        <f t="shared" si="4"/>
        <v>0</v>
      </c>
      <c r="L27" s="13">
        <v>42702</v>
      </c>
      <c r="M27" t="s">
        <v>31</v>
      </c>
      <c r="N27">
        <v>768.23999000000003</v>
      </c>
      <c r="O27">
        <v>8.6125368399956326E-3</v>
      </c>
    </row>
    <row r="28" spans="1:15" x14ac:dyDescent="0.25">
      <c r="A28" s="13">
        <v>42711</v>
      </c>
      <c r="B28">
        <v>1.5913394947637327E-2</v>
      </c>
      <c r="C28">
        <f>'AR-GARCH'!$K$11*'AR-GARCH Confuse'!B27+'AR-GARCH'!$K$10*'AR-GARCH Confuse'!B26</f>
        <v>-2.6477748187993749E-5</v>
      </c>
      <c r="D28">
        <f t="shared" si="0"/>
        <v>1</v>
      </c>
      <c r="E28">
        <f t="shared" si="0"/>
        <v>0</v>
      </c>
      <c r="F28">
        <f t="shared" si="1"/>
        <v>0</v>
      </c>
      <c r="G28">
        <f t="shared" si="2"/>
        <v>1</v>
      </c>
      <c r="H28">
        <f t="shared" si="3"/>
        <v>0</v>
      </c>
      <c r="I28">
        <f t="shared" si="4"/>
        <v>0</v>
      </c>
      <c r="L28" s="13">
        <v>42703</v>
      </c>
      <c r="M28" t="s">
        <v>31</v>
      </c>
      <c r="N28">
        <v>770.84002699999996</v>
      </c>
      <c r="O28">
        <v>3.384407260548894E-3</v>
      </c>
    </row>
    <row r="29" spans="1:15" x14ac:dyDescent="0.25">
      <c r="A29" s="13">
        <v>42712</v>
      </c>
      <c r="B29">
        <v>6.7817022866434318E-3</v>
      </c>
      <c r="C29">
        <f>'AR-GARCH'!$K$11*'AR-GARCH Confuse'!B28+'AR-GARCH'!$K$10*'AR-GARCH Confuse'!B27</f>
        <v>2.2919185656041535E-4</v>
      </c>
      <c r="D29">
        <f t="shared" si="0"/>
        <v>1</v>
      </c>
      <c r="E29">
        <f t="shared" si="0"/>
        <v>1</v>
      </c>
      <c r="F29">
        <f t="shared" si="1"/>
        <v>1</v>
      </c>
      <c r="G29">
        <f t="shared" si="2"/>
        <v>0</v>
      </c>
      <c r="H29">
        <f t="shared" si="3"/>
        <v>0</v>
      </c>
      <c r="I29">
        <f t="shared" si="4"/>
        <v>0</v>
      </c>
      <c r="L29" s="13">
        <v>42704</v>
      </c>
      <c r="M29" t="s">
        <v>31</v>
      </c>
      <c r="N29">
        <v>758.03997800000002</v>
      </c>
      <c r="O29">
        <v>-1.6605324777718034E-2</v>
      </c>
    </row>
    <row r="30" spans="1:15" x14ac:dyDescent="0.25">
      <c r="A30" s="13">
        <v>42713</v>
      </c>
      <c r="B30">
        <v>1.6576073879850162E-2</v>
      </c>
      <c r="C30">
        <f>'AR-GARCH'!$K$11*'AR-GARCH Confuse'!B29+'AR-GARCH'!$K$10*'AR-GARCH Confuse'!B28</f>
        <v>1.4346800596798785E-4</v>
      </c>
      <c r="D30">
        <f t="shared" si="0"/>
        <v>1</v>
      </c>
      <c r="E30">
        <f t="shared" si="0"/>
        <v>1</v>
      </c>
      <c r="F30">
        <f t="shared" si="1"/>
        <v>1</v>
      </c>
      <c r="G30">
        <f t="shared" si="2"/>
        <v>0</v>
      </c>
      <c r="H30">
        <f t="shared" si="3"/>
        <v>0</v>
      </c>
      <c r="I30">
        <f t="shared" si="4"/>
        <v>0</v>
      </c>
      <c r="L30" s="13">
        <v>42705</v>
      </c>
      <c r="M30" t="s">
        <v>31</v>
      </c>
      <c r="N30">
        <v>747.919983</v>
      </c>
      <c r="O30">
        <v>-1.3350212777300308E-2</v>
      </c>
    </row>
    <row r="31" spans="1:15" x14ac:dyDescent="0.25">
      <c r="A31" s="13">
        <v>42716</v>
      </c>
      <c r="B31">
        <v>-2.5286017251269222E-5</v>
      </c>
      <c r="C31">
        <f>'AR-GARCH'!$K$11*'AR-GARCH Confuse'!B30+'AR-GARCH'!$K$10*'AR-GARCH Confuse'!B29</f>
        <v>2.6813650296364456E-4</v>
      </c>
      <c r="D31">
        <f t="shared" si="0"/>
        <v>0</v>
      </c>
      <c r="E31">
        <f t="shared" si="0"/>
        <v>1</v>
      </c>
      <c r="F31">
        <f t="shared" si="1"/>
        <v>0</v>
      </c>
      <c r="G31">
        <f t="shared" si="2"/>
        <v>0</v>
      </c>
      <c r="H31">
        <f t="shared" si="3"/>
        <v>1</v>
      </c>
      <c r="I31">
        <f t="shared" si="4"/>
        <v>0</v>
      </c>
      <c r="L31" s="13">
        <v>42706</v>
      </c>
      <c r="M31" t="s">
        <v>31</v>
      </c>
      <c r="N31">
        <v>750.5</v>
      </c>
      <c r="O31">
        <v>3.4495896066999432E-3</v>
      </c>
    </row>
    <row r="32" spans="1:15" x14ac:dyDescent="0.25">
      <c r="A32" s="13">
        <v>42717</v>
      </c>
      <c r="B32">
        <v>8.6535099863540577E-3</v>
      </c>
      <c r="C32">
        <f>'AR-GARCH'!$K$11*'AR-GARCH Confuse'!B31+'AR-GARCH'!$K$10*'AR-GARCH Confuse'!B30</f>
        <v>4.2217588450104398E-5</v>
      </c>
      <c r="D32">
        <f t="shared" si="0"/>
        <v>1</v>
      </c>
      <c r="E32">
        <f t="shared" si="0"/>
        <v>1</v>
      </c>
      <c r="F32">
        <f t="shared" si="1"/>
        <v>1</v>
      </c>
      <c r="G32">
        <f t="shared" si="2"/>
        <v>0</v>
      </c>
      <c r="H32">
        <f t="shared" si="3"/>
        <v>0</v>
      </c>
      <c r="I32">
        <f t="shared" si="4"/>
        <v>0</v>
      </c>
      <c r="L32" s="13">
        <v>42709</v>
      </c>
      <c r="M32" t="s">
        <v>31</v>
      </c>
      <c r="N32">
        <v>762.52002000000005</v>
      </c>
      <c r="O32">
        <v>1.6016015989340548E-2</v>
      </c>
    </row>
    <row r="33" spans="1:15" x14ac:dyDescent="0.25">
      <c r="A33" s="13">
        <v>42718</v>
      </c>
      <c r="B33">
        <v>1.2184788710507544E-3</v>
      </c>
      <c r="C33">
        <f>'AR-GARCH'!$K$11*'AR-GARCH Confuse'!B32+'AR-GARCH'!$K$10*'AR-GARCH Confuse'!B31</f>
        <v>1.3081653853048015E-4</v>
      </c>
      <c r="D33">
        <f t="shared" si="0"/>
        <v>1</v>
      </c>
      <c r="E33">
        <f t="shared" si="0"/>
        <v>1</v>
      </c>
      <c r="F33">
        <f t="shared" si="1"/>
        <v>1</v>
      </c>
      <c r="G33">
        <f t="shared" si="2"/>
        <v>0</v>
      </c>
      <c r="H33">
        <f t="shared" si="3"/>
        <v>0</v>
      </c>
      <c r="I33">
        <f t="shared" si="4"/>
        <v>0</v>
      </c>
      <c r="L33" s="13">
        <v>42710</v>
      </c>
      <c r="M33" t="s">
        <v>31</v>
      </c>
      <c r="N33">
        <v>759.10998500000005</v>
      </c>
      <c r="O33">
        <v>-4.4720596319556272E-3</v>
      </c>
    </row>
    <row r="34" spans="1:15" x14ac:dyDescent="0.25">
      <c r="A34" s="13">
        <v>42719</v>
      </c>
      <c r="B34">
        <v>9.785451630974773E-4</v>
      </c>
      <c r="C34">
        <f>'AR-GARCH'!$K$11*'AR-GARCH Confuse'!B33+'AR-GARCH'!$K$10*'AR-GARCH Confuse'!B32</f>
        <v>4.0668367248950378E-5</v>
      </c>
      <c r="D34">
        <f t="shared" si="0"/>
        <v>1</v>
      </c>
      <c r="E34">
        <f t="shared" si="0"/>
        <v>1</v>
      </c>
      <c r="F34">
        <f t="shared" si="1"/>
        <v>1</v>
      </c>
      <c r="G34">
        <f t="shared" si="2"/>
        <v>0</v>
      </c>
      <c r="H34">
        <f t="shared" si="3"/>
        <v>0</v>
      </c>
      <c r="I34">
        <f t="shared" si="4"/>
        <v>0</v>
      </c>
      <c r="L34" s="13">
        <v>42711</v>
      </c>
      <c r="M34" t="s">
        <v>31</v>
      </c>
      <c r="N34">
        <v>771.19000200000005</v>
      </c>
      <c r="O34">
        <v>1.5913394947637327E-2</v>
      </c>
    </row>
    <row r="35" spans="1:15" x14ac:dyDescent="0.25">
      <c r="A35" s="13">
        <v>42720</v>
      </c>
      <c r="B35">
        <v>-8.8362326403077507E-3</v>
      </c>
      <c r="C35">
        <f>'AR-GARCH'!$K$11*'AR-GARCH Confuse'!B34+'AR-GARCH'!$K$10*'AR-GARCH Confuse'!B33</f>
        <v>1.7931632707598497E-5</v>
      </c>
      <c r="D35">
        <f t="shared" si="0"/>
        <v>0</v>
      </c>
      <c r="E35">
        <f t="shared" si="0"/>
        <v>1</v>
      </c>
      <c r="F35">
        <f t="shared" si="1"/>
        <v>0</v>
      </c>
      <c r="G35">
        <f t="shared" si="2"/>
        <v>0</v>
      </c>
      <c r="H35">
        <f t="shared" si="3"/>
        <v>1</v>
      </c>
      <c r="I35">
        <f t="shared" si="4"/>
        <v>0</v>
      </c>
      <c r="L35" s="13">
        <v>42712</v>
      </c>
      <c r="M35" t="s">
        <v>31</v>
      </c>
      <c r="N35">
        <v>776.419983</v>
      </c>
      <c r="O35">
        <v>6.7817022866434318E-3</v>
      </c>
    </row>
    <row r="36" spans="1:15" x14ac:dyDescent="0.25">
      <c r="A36" s="13">
        <v>42723</v>
      </c>
      <c r="B36">
        <v>4.2994740156723221E-3</v>
      </c>
      <c r="C36">
        <f>'AR-GARCH'!$K$11*'AR-GARCH Confuse'!B35+'AR-GARCH'!$K$10*'AR-GARCH Confuse'!B34</f>
        <v>-1.311303107379768E-4</v>
      </c>
      <c r="D36">
        <f t="shared" si="0"/>
        <v>1</v>
      </c>
      <c r="E36">
        <f t="shared" si="0"/>
        <v>0</v>
      </c>
      <c r="F36">
        <f t="shared" si="1"/>
        <v>0</v>
      </c>
      <c r="G36">
        <f t="shared" si="2"/>
        <v>1</v>
      </c>
      <c r="H36">
        <f t="shared" si="3"/>
        <v>0</v>
      </c>
      <c r="I36">
        <f t="shared" si="4"/>
        <v>0</v>
      </c>
      <c r="L36" s="13">
        <v>42713</v>
      </c>
      <c r="M36" t="s">
        <v>31</v>
      </c>
      <c r="N36">
        <v>789.28997800000002</v>
      </c>
      <c r="O36">
        <v>1.6576073879850162E-2</v>
      </c>
    </row>
    <row r="37" spans="1:15" x14ac:dyDescent="0.25">
      <c r="A37" s="13">
        <v>42724</v>
      </c>
      <c r="B37">
        <v>2.795229119185727E-3</v>
      </c>
      <c r="C37">
        <f>'AR-GARCH'!$K$11*'AR-GARCH Confuse'!B36+'AR-GARCH'!$K$10*'AR-GARCH Confuse'!B35</f>
        <v>4.2319282786817582E-5</v>
      </c>
      <c r="D37">
        <f t="shared" si="0"/>
        <v>1</v>
      </c>
      <c r="E37">
        <f t="shared" si="0"/>
        <v>1</v>
      </c>
      <c r="F37">
        <f t="shared" si="1"/>
        <v>1</v>
      </c>
      <c r="G37">
        <f t="shared" si="2"/>
        <v>0</v>
      </c>
      <c r="H37">
        <f t="shared" si="3"/>
        <v>0</v>
      </c>
      <c r="I37">
        <f t="shared" si="4"/>
        <v>0</v>
      </c>
      <c r="L37" s="13">
        <v>42716</v>
      </c>
      <c r="M37" t="s">
        <v>31</v>
      </c>
      <c r="N37">
        <v>789.27002000000005</v>
      </c>
      <c r="O37">
        <v>-2.5286017251269222E-5</v>
      </c>
    </row>
    <row r="38" spans="1:15" x14ac:dyDescent="0.25">
      <c r="A38" s="13">
        <v>42725</v>
      </c>
      <c r="B38">
        <v>-2.3354323594364512E-3</v>
      </c>
      <c r="C38">
        <f>'AR-GARCH'!$K$11*'AR-GARCH Confuse'!B37+'AR-GARCH'!$K$10*'AR-GARCH Confuse'!B36</f>
        <v>5.3326454988109909E-5</v>
      </c>
      <c r="D38">
        <f t="shared" si="0"/>
        <v>0</v>
      </c>
      <c r="E38">
        <f t="shared" si="0"/>
        <v>1</v>
      </c>
      <c r="F38">
        <f t="shared" si="1"/>
        <v>0</v>
      </c>
      <c r="G38">
        <f t="shared" si="2"/>
        <v>0</v>
      </c>
      <c r="H38">
        <f t="shared" si="3"/>
        <v>1</v>
      </c>
      <c r="I38">
        <f t="shared" si="4"/>
        <v>0</v>
      </c>
      <c r="L38" s="13">
        <v>42717</v>
      </c>
      <c r="M38" t="s">
        <v>31</v>
      </c>
      <c r="N38">
        <v>796.09997599999997</v>
      </c>
      <c r="O38">
        <v>8.6535099863540577E-3</v>
      </c>
    </row>
    <row r="39" spans="1:15" x14ac:dyDescent="0.25">
      <c r="A39" s="13">
        <v>42726</v>
      </c>
      <c r="B39">
        <v>-4.1532269536680433E-3</v>
      </c>
      <c r="C39">
        <f>'AR-GARCH'!$K$11*'AR-GARCH Confuse'!B38+'AR-GARCH'!$K$10*'AR-GARCH Confuse'!B37</f>
        <v>-2.8138996410079135E-5</v>
      </c>
      <c r="D39">
        <f t="shared" si="0"/>
        <v>0</v>
      </c>
      <c r="E39">
        <f t="shared" si="0"/>
        <v>0</v>
      </c>
      <c r="F39">
        <f t="shared" si="1"/>
        <v>0</v>
      </c>
      <c r="G39">
        <f t="shared" si="2"/>
        <v>0</v>
      </c>
      <c r="H39">
        <f t="shared" si="3"/>
        <v>0</v>
      </c>
      <c r="I39">
        <f t="shared" si="4"/>
        <v>1</v>
      </c>
      <c r="L39" s="13">
        <v>42718</v>
      </c>
      <c r="M39" t="s">
        <v>31</v>
      </c>
      <c r="N39">
        <v>797.07000700000003</v>
      </c>
      <c r="O39">
        <v>1.2184788710507544E-3</v>
      </c>
    </row>
    <row r="40" spans="1:15" x14ac:dyDescent="0.25">
      <c r="A40" s="13">
        <v>42727</v>
      </c>
      <c r="B40">
        <v>-1.7061863141547562E-3</v>
      </c>
      <c r="C40">
        <f>'AR-GARCH'!$K$11*'AR-GARCH Confuse'!B39+'AR-GARCH'!$K$10*'AR-GARCH Confuse'!B38</f>
        <v>-6.8818200024948269E-5</v>
      </c>
      <c r="D40">
        <f t="shared" si="0"/>
        <v>0</v>
      </c>
      <c r="E40">
        <f t="shared" si="0"/>
        <v>0</v>
      </c>
      <c r="F40">
        <f t="shared" si="1"/>
        <v>0</v>
      </c>
      <c r="G40">
        <f t="shared" si="2"/>
        <v>0</v>
      </c>
      <c r="H40">
        <f t="shared" si="3"/>
        <v>0</v>
      </c>
      <c r="I40">
        <f t="shared" si="4"/>
        <v>1</v>
      </c>
      <c r="L40" s="13">
        <v>42719</v>
      </c>
      <c r="M40" t="s">
        <v>31</v>
      </c>
      <c r="N40">
        <v>797.84997599999997</v>
      </c>
      <c r="O40">
        <v>9.785451630974773E-4</v>
      </c>
    </row>
    <row r="41" spans="1:15" x14ac:dyDescent="0.25">
      <c r="A41" s="13">
        <v>42731</v>
      </c>
      <c r="B41">
        <v>2.076204955067551E-3</v>
      </c>
      <c r="C41">
        <f>'AR-GARCH'!$K$11*'AR-GARCH Confuse'!B40+'AR-GARCH'!$K$10*'AR-GARCH Confuse'!B39</f>
        <v>-3.6479186188310199E-5</v>
      </c>
      <c r="D41">
        <f t="shared" si="0"/>
        <v>1</v>
      </c>
      <c r="E41">
        <f t="shared" si="0"/>
        <v>0</v>
      </c>
      <c r="F41">
        <f t="shared" si="1"/>
        <v>0</v>
      </c>
      <c r="G41">
        <f t="shared" si="2"/>
        <v>1</v>
      </c>
      <c r="H41">
        <f t="shared" si="3"/>
        <v>0</v>
      </c>
      <c r="I41">
        <f t="shared" si="4"/>
        <v>0</v>
      </c>
      <c r="L41" s="13">
        <v>42720</v>
      </c>
      <c r="M41" t="s">
        <v>31</v>
      </c>
      <c r="N41">
        <v>790.79998799999998</v>
      </c>
      <c r="O41">
        <v>-8.8362326403077507E-3</v>
      </c>
    </row>
    <row r="42" spans="1:15" x14ac:dyDescent="0.25">
      <c r="A42" s="13">
        <v>42732</v>
      </c>
      <c r="B42">
        <v>-8.2117365909175621E-3</v>
      </c>
      <c r="C42">
        <f>'AR-GARCH'!$K$11*'AR-GARCH Confuse'!B41+'AR-GARCH'!$K$10*'AR-GARCH Confuse'!B40</f>
        <v>2.7017074828988887E-5</v>
      </c>
      <c r="D42">
        <f t="shared" si="0"/>
        <v>0</v>
      </c>
      <c r="E42">
        <f t="shared" si="0"/>
        <v>1</v>
      </c>
      <c r="F42">
        <f t="shared" si="1"/>
        <v>0</v>
      </c>
      <c r="G42">
        <f t="shared" si="2"/>
        <v>0</v>
      </c>
      <c r="H42">
        <f t="shared" si="3"/>
        <v>1</v>
      </c>
      <c r="I42">
        <f t="shared" si="4"/>
        <v>0</v>
      </c>
      <c r="L42" s="13">
        <v>42723</v>
      </c>
      <c r="M42" t="s">
        <v>31</v>
      </c>
      <c r="N42">
        <v>794.20001200000002</v>
      </c>
      <c r="O42">
        <v>4.2994740156723221E-3</v>
      </c>
    </row>
    <row r="43" spans="1:15" x14ac:dyDescent="0.25">
      <c r="A43" s="13">
        <v>42733</v>
      </c>
      <c r="B43">
        <v>-2.8788103108664531E-3</v>
      </c>
      <c r="C43">
        <f>'AR-GARCH'!$K$11*'AR-GARCH Confuse'!B42+'AR-GARCH'!$K$10*'AR-GARCH Confuse'!B41</f>
        <v>-1.188640572192667E-4</v>
      </c>
      <c r="D43">
        <f t="shared" si="0"/>
        <v>0</v>
      </c>
      <c r="E43">
        <f t="shared" si="0"/>
        <v>0</v>
      </c>
      <c r="F43">
        <f t="shared" si="1"/>
        <v>0</v>
      </c>
      <c r="G43">
        <f t="shared" si="2"/>
        <v>0</v>
      </c>
      <c r="H43">
        <f t="shared" si="3"/>
        <v>0</v>
      </c>
      <c r="I43">
        <f t="shared" si="4"/>
        <v>1</v>
      </c>
      <c r="L43" s="13">
        <v>42724</v>
      </c>
      <c r="M43" t="s">
        <v>31</v>
      </c>
      <c r="N43">
        <v>796.419983</v>
      </c>
      <c r="O43">
        <v>2.795229119185727E-3</v>
      </c>
    </row>
    <row r="44" spans="1:15" x14ac:dyDescent="0.25">
      <c r="A44" s="13">
        <v>42734</v>
      </c>
      <c r="B44">
        <v>-1.4013938998079456E-2</v>
      </c>
      <c r="C44">
        <f>'AR-GARCH'!$K$11*'AR-GARCH Confuse'!B43+'AR-GARCH'!$K$10*'AR-GARCH Confuse'!B42</f>
        <v>-6.4644995167579243E-5</v>
      </c>
      <c r="D44">
        <f t="shared" si="0"/>
        <v>0</v>
      </c>
      <c r="E44">
        <f t="shared" si="0"/>
        <v>0</v>
      </c>
      <c r="F44">
        <f t="shared" si="1"/>
        <v>0</v>
      </c>
      <c r="G44">
        <f t="shared" si="2"/>
        <v>0</v>
      </c>
      <c r="H44">
        <f t="shared" si="3"/>
        <v>0</v>
      </c>
      <c r="I44">
        <f t="shared" si="4"/>
        <v>1</v>
      </c>
      <c r="L44" s="13">
        <v>42725</v>
      </c>
      <c r="M44" t="s">
        <v>31</v>
      </c>
      <c r="N44">
        <v>794.55999799999995</v>
      </c>
      <c r="O44">
        <v>-2.3354323594364512E-3</v>
      </c>
    </row>
    <row r="45" spans="1:15" x14ac:dyDescent="0.25">
      <c r="L45" s="13">
        <v>42726</v>
      </c>
      <c r="M45" t="s">
        <v>31</v>
      </c>
      <c r="N45">
        <v>791.26000999999997</v>
      </c>
      <c r="O45">
        <v>-4.1532269536680433E-3</v>
      </c>
    </row>
    <row r="46" spans="1:15" x14ac:dyDescent="0.25">
      <c r="L46" s="13">
        <v>42727</v>
      </c>
      <c r="M46" t="s">
        <v>31</v>
      </c>
      <c r="N46">
        <v>789.90997300000004</v>
      </c>
      <c r="O46">
        <v>-1.7061863141547562E-3</v>
      </c>
    </row>
    <row r="47" spans="1:15" x14ac:dyDescent="0.25">
      <c r="L47" s="13">
        <v>42731</v>
      </c>
      <c r="M47" t="s">
        <v>31</v>
      </c>
      <c r="N47">
        <v>791.54998799999998</v>
      </c>
      <c r="O47">
        <v>2.076204955067551E-3</v>
      </c>
    </row>
    <row r="48" spans="1:15" x14ac:dyDescent="0.25">
      <c r="L48" s="13">
        <v>42732</v>
      </c>
      <c r="M48" t="s">
        <v>31</v>
      </c>
      <c r="N48">
        <v>785.04998799999998</v>
      </c>
      <c r="O48">
        <v>-8.2117365909175621E-3</v>
      </c>
    </row>
    <row r="49" spans="12:15" x14ac:dyDescent="0.25">
      <c r="L49" s="13">
        <v>42733</v>
      </c>
      <c r="M49" t="s">
        <v>31</v>
      </c>
      <c r="N49">
        <v>782.78997800000002</v>
      </c>
      <c r="O49">
        <v>-2.8788103108664531E-3</v>
      </c>
    </row>
    <row r="50" spans="12:15" x14ac:dyDescent="0.25">
      <c r="L50" s="13">
        <v>42734</v>
      </c>
      <c r="M50" t="s">
        <v>31</v>
      </c>
      <c r="N50">
        <v>771.82000700000003</v>
      </c>
      <c r="O50">
        <v>-1.4013938998079456E-2</v>
      </c>
    </row>
  </sheetData>
  <mergeCells count="3">
    <mergeCell ref="M1:P1"/>
    <mergeCell ref="O2:P2"/>
    <mergeCell ref="M4:M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5F433-A3C5-416A-BB7C-677E00CA382D}">
  <sheetPr codeName="Feuil5"/>
  <dimension ref="A1:B10"/>
  <sheetViews>
    <sheetView workbookViewId="0">
      <selection activeCell="D14" sqref="D14"/>
    </sheetView>
  </sheetViews>
  <sheetFormatPr baseColWidth="10" defaultRowHeight="15" x14ac:dyDescent="0.25"/>
  <cols>
    <col min="1" max="1" width="31.5703125" customWidth="1"/>
    <col min="2" max="2" width="16.42578125" customWidth="1"/>
  </cols>
  <sheetData>
    <row r="1" spans="1:2" ht="15.75" x14ac:dyDescent="0.25">
      <c r="A1" s="37" t="s">
        <v>32</v>
      </c>
      <c r="B1" s="38"/>
    </row>
    <row r="2" spans="1:2" x14ac:dyDescent="0.25">
      <c r="A2" s="23" t="s">
        <v>33</v>
      </c>
      <c r="B2" s="24">
        <v>0.05</v>
      </c>
    </row>
    <row r="3" spans="1:2" ht="15.75" thickBot="1" x14ac:dyDescent="0.3">
      <c r="A3" s="25" t="s">
        <v>34</v>
      </c>
      <c r="B3" s="26">
        <v>20</v>
      </c>
    </row>
    <row r="4" spans="1:2" ht="15.75" thickBot="1" x14ac:dyDescent="0.3"/>
    <row r="5" spans="1:2" ht="15.75" x14ac:dyDescent="0.25">
      <c r="A5" s="37" t="s">
        <v>35</v>
      </c>
      <c r="B5" s="38"/>
    </row>
    <row r="6" spans="1:2" ht="15.75" thickBot="1" x14ac:dyDescent="0.3">
      <c r="A6" s="25" t="s">
        <v>36</v>
      </c>
      <c r="B6" s="26">
        <v>2</v>
      </c>
    </row>
    <row r="7" spans="1:2" ht="15.75" thickBot="1" x14ac:dyDescent="0.3"/>
    <row r="8" spans="1:2" ht="15.75" x14ac:dyDescent="0.25">
      <c r="A8" s="37" t="s">
        <v>37</v>
      </c>
      <c r="B8" s="38"/>
    </row>
    <row r="9" spans="1:2" x14ac:dyDescent="0.25">
      <c r="A9" s="23" t="s">
        <v>38</v>
      </c>
      <c r="B9" s="27">
        <v>40269</v>
      </c>
    </row>
    <row r="10" spans="1:2" ht="15.75" thickBot="1" x14ac:dyDescent="0.3">
      <c r="A10" s="25" t="s">
        <v>39</v>
      </c>
      <c r="B10" s="28" t="s">
        <v>40</v>
      </c>
    </row>
  </sheetData>
  <mergeCells count="3">
    <mergeCell ref="A1:B1"/>
    <mergeCell ref="A5:B5"/>
    <mergeCell ref="A8:B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ctivateMenuSheet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2DE0B-1BBD-43DA-874D-7FCB94B9928D}">
  <sheetPr codeName="Feuil1"/>
  <dimension ref="A1:D1763"/>
  <sheetViews>
    <sheetView zoomScale="64" workbookViewId="0">
      <selection activeCell="C1" sqref="C1"/>
    </sheetView>
  </sheetViews>
  <sheetFormatPr baseColWidth="10" defaultRowHeight="15" x14ac:dyDescent="0.25"/>
  <cols>
    <col min="2" max="2" width="9.42578125" bestFit="1" customWidth="1"/>
    <col min="3" max="3" width="12" bestFit="1" customWidth="1"/>
    <col min="4" max="4" width="12.5703125" bestFit="1" customWidth="1"/>
  </cols>
  <sheetData>
    <row r="1" spans="1:4" ht="18.75" x14ac:dyDescent="0.3">
      <c r="A1" s="29" t="s">
        <v>28</v>
      </c>
      <c r="B1" s="29" t="s">
        <v>41</v>
      </c>
      <c r="C1" s="29" t="s">
        <v>27</v>
      </c>
      <c r="D1" s="29" t="s">
        <v>42</v>
      </c>
    </row>
    <row r="2" spans="1:4" x14ac:dyDescent="0.25">
      <c r="A2" s="13">
        <v>40182</v>
      </c>
      <c r="B2" t="s">
        <v>31</v>
      </c>
      <c r="C2">
        <v>312.20530839999998</v>
      </c>
    </row>
    <row r="3" spans="1:4" x14ac:dyDescent="0.25">
      <c r="A3" s="13">
        <v>40183</v>
      </c>
      <c r="B3" t="s">
        <v>31</v>
      </c>
      <c r="C3">
        <v>310.83045859999999</v>
      </c>
      <c r="D3">
        <v>-4.4036720805481488E-3</v>
      </c>
    </row>
    <row r="4" spans="1:4" x14ac:dyDescent="0.25">
      <c r="A4" s="13">
        <v>40184</v>
      </c>
      <c r="B4" t="s">
        <v>31</v>
      </c>
      <c r="C4">
        <v>302.99481259999999</v>
      </c>
      <c r="D4">
        <v>-2.5208745742911542E-2</v>
      </c>
    </row>
    <row r="5" spans="1:4" x14ac:dyDescent="0.25">
      <c r="A5" s="13">
        <v>40185</v>
      </c>
      <c r="B5" t="s">
        <v>31</v>
      </c>
      <c r="C5">
        <v>295.94124210000001</v>
      </c>
      <c r="D5">
        <v>-2.3279509109325192E-2</v>
      </c>
    </row>
    <row r="6" spans="1:4" x14ac:dyDescent="0.25">
      <c r="A6" s="13">
        <v>40186</v>
      </c>
      <c r="B6" t="s">
        <v>31</v>
      </c>
      <c r="C6">
        <v>299.88646990000001</v>
      </c>
      <c r="D6">
        <v>1.3331118609912762E-2</v>
      </c>
    </row>
    <row r="7" spans="1:4" x14ac:dyDescent="0.25">
      <c r="A7" s="13">
        <v>40189</v>
      </c>
      <c r="B7" t="s">
        <v>31</v>
      </c>
      <c r="C7">
        <v>299.43316099999998</v>
      </c>
      <c r="D7">
        <v>-1.5116017076435284E-3</v>
      </c>
    </row>
    <row r="8" spans="1:4" x14ac:dyDescent="0.25">
      <c r="A8" s="13">
        <v>40190</v>
      </c>
      <c r="B8" t="s">
        <v>31</v>
      </c>
      <c r="C8">
        <v>294.13801649999999</v>
      </c>
      <c r="D8">
        <v>-1.7683894737363426E-2</v>
      </c>
    </row>
    <row r="9" spans="1:4" x14ac:dyDescent="0.25">
      <c r="A9" s="13">
        <v>40191</v>
      </c>
      <c r="B9" t="s">
        <v>31</v>
      </c>
      <c r="C9">
        <v>292.44932360000001</v>
      </c>
      <c r="D9">
        <v>-5.7411582497700619E-3</v>
      </c>
    </row>
    <row r="10" spans="1:4" x14ac:dyDescent="0.25">
      <c r="A10" s="13">
        <v>40192</v>
      </c>
      <c r="B10" t="s">
        <v>31</v>
      </c>
      <c r="C10">
        <v>293.82417340000001</v>
      </c>
      <c r="D10">
        <v>4.7011556842595503E-3</v>
      </c>
    </row>
    <row r="11" spans="1:4" x14ac:dyDescent="0.25">
      <c r="A11" s="13">
        <v>40193</v>
      </c>
      <c r="B11" t="s">
        <v>31</v>
      </c>
      <c r="C11">
        <v>288.91754859999998</v>
      </c>
      <c r="D11">
        <v>-1.6699186943071376E-2</v>
      </c>
    </row>
    <row r="12" spans="1:4" x14ac:dyDescent="0.25">
      <c r="A12" s="13">
        <v>40197</v>
      </c>
      <c r="B12" t="s">
        <v>31</v>
      </c>
      <c r="C12">
        <v>292.7133316</v>
      </c>
      <c r="D12">
        <v>1.3137945474039681E-2</v>
      </c>
    </row>
    <row r="13" spans="1:4" x14ac:dyDescent="0.25">
      <c r="A13" s="13">
        <v>40198</v>
      </c>
      <c r="B13" t="s">
        <v>31</v>
      </c>
      <c r="C13" s="30">
        <v>289.121803</v>
      </c>
      <c r="D13">
        <v>-1.2269781428704829E-2</v>
      </c>
    </row>
    <row r="14" spans="1:4" x14ac:dyDescent="0.25">
      <c r="A14" s="13">
        <v>40199</v>
      </c>
      <c r="B14" t="s">
        <v>31</v>
      </c>
      <c r="C14">
        <v>290.40198709999999</v>
      </c>
      <c r="D14">
        <v>4.4278365959138366E-3</v>
      </c>
    </row>
    <row r="15" spans="1:4" x14ac:dyDescent="0.25">
      <c r="A15" s="13">
        <v>40200</v>
      </c>
      <c r="B15" t="s">
        <v>31</v>
      </c>
      <c r="C15">
        <v>273.97852769999997</v>
      </c>
      <c r="D15">
        <v>-5.6554225279266346E-2</v>
      </c>
    </row>
    <row r="16" spans="1:4" x14ac:dyDescent="0.25">
      <c r="A16" s="13">
        <v>40203</v>
      </c>
      <c r="B16" t="s">
        <v>31</v>
      </c>
      <c r="C16">
        <v>268.99222159999999</v>
      </c>
      <c r="D16">
        <v>-1.8199623678027299E-2</v>
      </c>
    </row>
    <row r="17" spans="1:4" x14ac:dyDescent="0.25">
      <c r="A17" s="13">
        <v>40204</v>
      </c>
      <c r="B17" t="s">
        <v>31</v>
      </c>
      <c r="C17">
        <v>270.19769819999999</v>
      </c>
      <c r="D17">
        <v>4.4814552362506532E-3</v>
      </c>
    </row>
    <row r="18" spans="1:4" x14ac:dyDescent="0.25">
      <c r="A18" s="13">
        <v>40205</v>
      </c>
      <c r="B18" t="s">
        <v>31</v>
      </c>
      <c r="C18">
        <v>270.0383046</v>
      </c>
      <c r="D18">
        <v>-5.8991472193081762E-4</v>
      </c>
    </row>
    <row r="19" spans="1:4" x14ac:dyDescent="0.25">
      <c r="A19" s="13">
        <v>40206</v>
      </c>
      <c r="B19" t="s">
        <v>31</v>
      </c>
      <c r="C19">
        <v>266.14785649999999</v>
      </c>
      <c r="D19">
        <v>-1.4407023128673591E-2</v>
      </c>
    </row>
    <row r="20" spans="1:4" x14ac:dyDescent="0.25">
      <c r="A20" s="13">
        <v>40207</v>
      </c>
      <c r="B20" t="s">
        <v>31</v>
      </c>
      <c r="C20">
        <v>263.98098249999998</v>
      </c>
      <c r="D20">
        <v>-8.1416173269086567E-3</v>
      </c>
    </row>
    <row r="21" spans="1:4" x14ac:dyDescent="0.25">
      <c r="A21" s="13">
        <v>40210</v>
      </c>
      <c r="B21" t="s">
        <v>31</v>
      </c>
      <c r="C21">
        <v>265.5152258</v>
      </c>
      <c r="D21">
        <v>5.8119463207924049E-3</v>
      </c>
    </row>
    <row r="22" spans="1:4" x14ac:dyDescent="0.25">
      <c r="A22" s="13">
        <v>40211</v>
      </c>
      <c r="B22" t="s">
        <v>31</v>
      </c>
      <c r="C22">
        <v>264.56878280000001</v>
      </c>
      <c r="D22">
        <v>-3.5645526434439079E-3</v>
      </c>
    </row>
    <row r="23" spans="1:4" x14ac:dyDescent="0.25">
      <c r="A23" s="13">
        <v>40212</v>
      </c>
      <c r="B23" t="s">
        <v>31</v>
      </c>
      <c r="C23">
        <v>269.40066969999998</v>
      </c>
      <c r="D23">
        <v>1.8263254072770296E-2</v>
      </c>
    </row>
    <row r="24" spans="1:4" x14ac:dyDescent="0.25">
      <c r="A24" s="13">
        <v>40213</v>
      </c>
      <c r="B24" t="s">
        <v>31</v>
      </c>
      <c r="C24">
        <v>262.40688310000002</v>
      </c>
      <c r="D24">
        <v>-2.5960539028310969E-2</v>
      </c>
    </row>
    <row r="25" spans="1:4" x14ac:dyDescent="0.25">
      <c r="A25" s="13">
        <v>40214</v>
      </c>
      <c r="B25" t="s">
        <v>31</v>
      </c>
      <c r="C25">
        <v>264.65346879999998</v>
      </c>
      <c r="D25">
        <v>8.5614587295097522E-3</v>
      </c>
    </row>
    <row r="26" spans="1:4" x14ac:dyDescent="0.25">
      <c r="A26" s="13">
        <v>40217</v>
      </c>
      <c r="B26" t="s">
        <v>31</v>
      </c>
      <c r="C26">
        <v>265.73940850000002</v>
      </c>
      <c r="D26">
        <v>4.1032513381515923E-3</v>
      </c>
    </row>
    <row r="27" spans="1:4" x14ac:dyDescent="0.25">
      <c r="A27" s="13">
        <v>40218</v>
      </c>
      <c r="B27" t="s">
        <v>31</v>
      </c>
      <c r="C27">
        <v>267.2188726</v>
      </c>
      <c r="D27">
        <v>5.5673492627645871E-3</v>
      </c>
    </row>
    <row r="28" spans="1:4" x14ac:dyDescent="0.25">
      <c r="A28" s="13">
        <v>40219</v>
      </c>
      <c r="B28" t="s">
        <v>31</v>
      </c>
      <c r="C28">
        <v>266.22756820000001</v>
      </c>
      <c r="D28">
        <v>-3.7097095364363453E-3</v>
      </c>
    </row>
    <row r="29" spans="1:4" x14ac:dyDescent="0.25">
      <c r="A29" s="13">
        <v>40220</v>
      </c>
      <c r="B29" t="s">
        <v>31</v>
      </c>
      <c r="C29">
        <v>267.19894429999999</v>
      </c>
      <c r="D29">
        <v>3.6486683425296373E-3</v>
      </c>
    </row>
    <row r="30" spans="1:4" x14ac:dyDescent="0.25">
      <c r="A30" s="13">
        <v>40221</v>
      </c>
      <c r="B30" t="s">
        <v>31</v>
      </c>
      <c r="C30">
        <v>265.56506100000001</v>
      </c>
      <c r="D30">
        <v>-6.1148568692155347E-3</v>
      </c>
    </row>
    <row r="31" spans="1:4" x14ac:dyDescent="0.25">
      <c r="A31" s="13">
        <v>40225</v>
      </c>
      <c r="B31" t="s">
        <v>31</v>
      </c>
      <c r="C31">
        <v>269.63977490000002</v>
      </c>
      <c r="D31">
        <v>1.5343561704451725E-2</v>
      </c>
    </row>
    <row r="32" spans="1:4" x14ac:dyDescent="0.25">
      <c r="A32" s="13">
        <v>40226</v>
      </c>
      <c r="B32" t="s">
        <v>31</v>
      </c>
      <c r="C32">
        <v>268.10055729999999</v>
      </c>
      <c r="D32">
        <v>-5.7084219142775616E-3</v>
      </c>
    </row>
    <row r="33" spans="1:4" x14ac:dyDescent="0.25">
      <c r="A33" s="13">
        <v>40227</v>
      </c>
      <c r="B33" t="s">
        <v>31</v>
      </c>
      <c r="C33">
        <v>270.59619750000002</v>
      </c>
      <c r="D33">
        <v>9.3085975841797897E-3</v>
      </c>
    </row>
    <row r="34" spans="1:4" x14ac:dyDescent="0.25">
      <c r="A34" s="13">
        <v>40228</v>
      </c>
      <c r="B34" t="s">
        <v>31</v>
      </c>
      <c r="C34">
        <v>269.37079260000002</v>
      </c>
      <c r="D34">
        <v>-4.5285370279455339E-3</v>
      </c>
    </row>
    <row r="35" spans="1:4" x14ac:dyDescent="0.25">
      <c r="A35" s="13">
        <v>40231</v>
      </c>
      <c r="B35" t="s">
        <v>31</v>
      </c>
      <c r="C35">
        <v>270.38699910000003</v>
      </c>
      <c r="D35">
        <v>3.7725192482505054E-3</v>
      </c>
    </row>
    <row r="36" spans="1:4" x14ac:dyDescent="0.25">
      <c r="A36" s="13">
        <v>40232</v>
      </c>
      <c r="B36" t="s">
        <v>31</v>
      </c>
      <c r="C36">
        <v>266.53640660000002</v>
      </c>
      <c r="D36">
        <v>-1.4241041591559256E-2</v>
      </c>
    </row>
    <row r="37" spans="1:4" x14ac:dyDescent="0.25">
      <c r="A37" s="13">
        <v>40233</v>
      </c>
      <c r="B37" t="s">
        <v>31</v>
      </c>
      <c r="C37">
        <v>264.74312980000002</v>
      </c>
      <c r="D37">
        <v>-6.7280744978723828E-3</v>
      </c>
    </row>
    <row r="38" spans="1:4" x14ac:dyDescent="0.25">
      <c r="A38" s="13">
        <v>40234</v>
      </c>
      <c r="B38" t="s">
        <v>31</v>
      </c>
      <c r="C38">
        <v>262.2325361</v>
      </c>
      <c r="D38">
        <v>-9.4831306931236758E-3</v>
      </c>
    </row>
    <row r="39" spans="1:4" x14ac:dyDescent="0.25">
      <c r="A39" s="13">
        <v>40235</v>
      </c>
      <c r="B39" t="s">
        <v>31</v>
      </c>
      <c r="C39">
        <v>262.41686220000003</v>
      </c>
      <c r="D39">
        <v>7.0291086964791027E-4</v>
      </c>
    </row>
    <row r="40" spans="1:4" x14ac:dyDescent="0.25">
      <c r="A40" s="13">
        <v>40238</v>
      </c>
      <c r="B40" t="s">
        <v>31</v>
      </c>
      <c r="C40">
        <v>265.35085779999997</v>
      </c>
      <c r="D40">
        <v>1.1180667185037185E-2</v>
      </c>
    </row>
    <row r="41" spans="1:4" x14ac:dyDescent="0.25">
      <c r="A41" s="13">
        <v>40239</v>
      </c>
      <c r="B41" t="s">
        <v>31</v>
      </c>
      <c r="C41">
        <v>269.52023750000001</v>
      </c>
      <c r="D41">
        <v>1.5712704811162048E-2</v>
      </c>
    </row>
    <row r="42" spans="1:4" x14ac:dyDescent="0.25">
      <c r="A42" s="13">
        <v>40240</v>
      </c>
      <c r="B42" t="s">
        <v>31</v>
      </c>
      <c r="C42">
        <v>271.64228100000003</v>
      </c>
      <c r="D42">
        <v>7.87341061911917E-3</v>
      </c>
    </row>
    <row r="43" spans="1:4" x14ac:dyDescent="0.25">
      <c r="A43" s="13">
        <v>40241</v>
      </c>
      <c r="B43" t="s">
        <v>31</v>
      </c>
      <c r="C43">
        <v>276.25999519999999</v>
      </c>
      <c r="D43">
        <v>1.6999246888226294E-2</v>
      </c>
    </row>
    <row r="44" spans="1:4" x14ac:dyDescent="0.25">
      <c r="A44" s="13">
        <v>40242</v>
      </c>
      <c r="B44" t="s">
        <v>31</v>
      </c>
      <c r="C44">
        <v>281.05202600000001</v>
      </c>
      <c r="D44">
        <v>1.7346090216684429E-2</v>
      </c>
    </row>
    <row r="45" spans="1:4" x14ac:dyDescent="0.25">
      <c r="A45" s="13">
        <v>40245</v>
      </c>
      <c r="B45" t="s">
        <v>31</v>
      </c>
      <c r="C45">
        <v>280.19026910000002</v>
      </c>
      <c r="D45">
        <v>-3.0661828426029603E-3</v>
      </c>
    </row>
    <row r="46" spans="1:4" x14ac:dyDescent="0.25">
      <c r="A46" s="13">
        <v>40246</v>
      </c>
      <c r="B46" t="s">
        <v>31</v>
      </c>
      <c r="C46">
        <v>279.04952040000001</v>
      </c>
      <c r="D46">
        <v>-4.0713358949410194E-3</v>
      </c>
    </row>
    <row r="47" spans="1:4" x14ac:dyDescent="0.25">
      <c r="A47" s="13">
        <v>40247</v>
      </c>
      <c r="B47" t="s">
        <v>31</v>
      </c>
      <c r="C47">
        <v>287.14917389999999</v>
      </c>
      <c r="D47">
        <v>2.9025864256600808E-2</v>
      </c>
    </row>
    <row r="48" spans="1:4" x14ac:dyDescent="0.25">
      <c r="A48" s="13">
        <v>40248</v>
      </c>
      <c r="B48" t="s">
        <v>31</v>
      </c>
      <c r="C48">
        <v>289.4854206</v>
      </c>
      <c r="D48">
        <v>8.136003556164173E-3</v>
      </c>
    </row>
    <row r="49" spans="1:4" x14ac:dyDescent="0.25">
      <c r="A49" s="13">
        <v>40249</v>
      </c>
      <c r="B49" t="s">
        <v>31</v>
      </c>
      <c r="C49">
        <v>288.68842239999998</v>
      </c>
      <c r="D49">
        <v>-2.7531548854796695E-3</v>
      </c>
    </row>
    <row r="50" spans="1:4" x14ac:dyDescent="0.25">
      <c r="A50" s="13">
        <v>40252</v>
      </c>
      <c r="B50" t="s">
        <v>31</v>
      </c>
      <c r="C50">
        <v>280.53896359999999</v>
      </c>
      <c r="D50">
        <v>-2.8229253990339376E-2</v>
      </c>
    </row>
    <row r="51" spans="1:4" x14ac:dyDescent="0.25">
      <c r="A51" s="13">
        <v>40253</v>
      </c>
      <c r="B51" t="s">
        <v>31</v>
      </c>
      <c r="C51">
        <v>281.54519099999999</v>
      </c>
      <c r="D51">
        <v>3.5867652289280905E-3</v>
      </c>
    </row>
    <row r="52" spans="1:4" x14ac:dyDescent="0.25">
      <c r="A52" s="13">
        <v>40254</v>
      </c>
      <c r="B52" t="s">
        <v>31</v>
      </c>
      <c r="C52">
        <v>281.72451239999998</v>
      </c>
      <c r="D52">
        <v>6.3691871050286508E-4</v>
      </c>
    </row>
    <row r="53" spans="1:4" x14ac:dyDescent="0.25">
      <c r="A53" s="13">
        <v>40255</v>
      </c>
      <c r="B53" t="s">
        <v>31</v>
      </c>
      <c r="C53">
        <v>282.14294000000001</v>
      </c>
      <c r="D53">
        <v>1.4852367528670474E-3</v>
      </c>
    </row>
    <row r="54" spans="1:4" x14ac:dyDescent="0.25">
      <c r="A54" s="13">
        <v>40256</v>
      </c>
      <c r="B54" t="s">
        <v>31</v>
      </c>
      <c r="C54">
        <v>278.95488510000001</v>
      </c>
      <c r="D54">
        <v>-1.1299431770293467E-2</v>
      </c>
    </row>
    <row r="55" spans="1:4" x14ac:dyDescent="0.25">
      <c r="A55" s="13">
        <v>40259</v>
      </c>
      <c r="B55" t="s">
        <v>31</v>
      </c>
      <c r="C55">
        <v>277.70955190000001</v>
      </c>
      <c r="D55">
        <v>-4.4642817405888824E-3</v>
      </c>
    </row>
    <row r="56" spans="1:4" x14ac:dyDescent="0.25">
      <c r="A56" s="13">
        <v>40260</v>
      </c>
      <c r="B56" t="s">
        <v>31</v>
      </c>
      <c r="C56">
        <v>273.475414</v>
      </c>
      <c r="D56">
        <v>-1.5246641215728385E-2</v>
      </c>
    </row>
    <row r="57" spans="1:4" x14ac:dyDescent="0.25">
      <c r="A57" s="13">
        <v>40261</v>
      </c>
      <c r="B57" t="s">
        <v>31</v>
      </c>
      <c r="C57">
        <v>277.62486580000001</v>
      </c>
      <c r="D57">
        <v>1.517303416533089E-2</v>
      </c>
    </row>
    <row r="58" spans="1:4" x14ac:dyDescent="0.25">
      <c r="A58" s="13">
        <v>40262</v>
      </c>
      <c r="B58" t="s">
        <v>31</v>
      </c>
      <c r="C58">
        <v>280.3895187</v>
      </c>
      <c r="D58">
        <v>9.9582322787743482E-3</v>
      </c>
    </row>
    <row r="59" spans="1:4" x14ac:dyDescent="0.25">
      <c r="A59" s="13">
        <v>40263</v>
      </c>
      <c r="B59" t="s">
        <v>31</v>
      </c>
      <c r="C59">
        <v>280.29488350000003</v>
      </c>
      <c r="D59">
        <v>-3.3751332945231027E-4</v>
      </c>
    </row>
    <row r="60" spans="1:4" x14ac:dyDescent="0.25">
      <c r="A60" s="13">
        <v>40266</v>
      </c>
      <c r="B60" t="s">
        <v>31</v>
      </c>
      <c r="C60">
        <v>280.17531559999998</v>
      </c>
      <c r="D60">
        <v>-4.2657896036857323E-4</v>
      </c>
    </row>
    <row r="61" spans="1:4" x14ac:dyDescent="0.25">
      <c r="A61" s="13">
        <v>40267</v>
      </c>
      <c r="B61" t="s">
        <v>31</v>
      </c>
      <c r="C61">
        <v>282.29735920000002</v>
      </c>
      <c r="D61">
        <v>7.5739848653535446E-3</v>
      </c>
    </row>
    <row r="62" spans="1:4" x14ac:dyDescent="0.25">
      <c r="A62" s="13">
        <v>40268</v>
      </c>
      <c r="B62" t="s">
        <v>31</v>
      </c>
      <c r="C62">
        <v>282.50161359999998</v>
      </c>
      <c r="D62">
        <v>7.2354343157443601E-4</v>
      </c>
    </row>
    <row r="63" spans="1:4" x14ac:dyDescent="0.25">
      <c r="A63" s="13">
        <v>40269</v>
      </c>
      <c r="B63" t="s">
        <v>31</v>
      </c>
      <c r="C63">
        <v>283.33846790000001</v>
      </c>
      <c r="D63">
        <v>2.962299185961248E-3</v>
      </c>
    </row>
    <row r="64" spans="1:4" x14ac:dyDescent="0.25">
      <c r="A64" s="13">
        <v>40273</v>
      </c>
      <c r="B64" t="s">
        <v>31</v>
      </c>
      <c r="C64">
        <v>284.43933060000001</v>
      </c>
      <c r="D64">
        <v>3.8853273548036249E-3</v>
      </c>
    </row>
    <row r="65" spans="1:4" x14ac:dyDescent="0.25">
      <c r="A65" s="13">
        <v>40274</v>
      </c>
      <c r="B65" t="s">
        <v>31</v>
      </c>
      <c r="C65">
        <v>283.0495578</v>
      </c>
      <c r="D65">
        <v>-4.8860078424048936E-3</v>
      </c>
    </row>
    <row r="66" spans="1:4" x14ac:dyDescent="0.25">
      <c r="A66" s="13">
        <v>40275</v>
      </c>
      <c r="B66" t="s">
        <v>31</v>
      </c>
      <c r="C66">
        <v>280.71828549999998</v>
      </c>
      <c r="D66">
        <v>-8.2362690057522503E-3</v>
      </c>
    </row>
    <row r="67" spans="1:4" x14ac:dyDescent="0.25">
      <c r="A67" s="13">
        <v>40276</v>
      </c>
      <c r="B67" t="s">
        <v>31</v>
      </c>
      <c r="C67">
        <v>282.68590929999999</v>
      </c>
      <c r="D67">
        <v>7.00924699826877E-3</v>
      </c>
    </row>
    <row r="68" spans="1:4" x14ac:dyDescent="0.25">
      <c r="A68" s="13">
        <v>40277</v>
      </c>
      <c r="B68" t="s">
        <v>31</v>
      </c>
      <c r="C68">
        <v>282.0532791</v>
      </c>
      <c r="D68">
        <v>-2.2379261901187553E-3</v>
      </c>
    </row>
    <row r="69" spans="1:4" x14ac:dyDescent="0.25">
      <c r="A69" s="13">
        <v>40280</v>
      </c>
      <c r="B69" t="s">
        <v>31</v>
      </c>
      <c r="C69">
        <v>285.29614350000003</v>
      </c>
      <c r="D69">
        <v>1.1497346920935181E-2</v>
      </c>
    </row>
    <row r="70" spans="1:4" x14ac:dyDescent="0.25">
      <c r="A70" s="13">
        <v>40281</v>
      </c>
      <c r="B70" t="s">
        <v>31</v>
      </c>
      <c r="C70">
        <v>292.28993009999999</v>
      </c>
      <c r="D70">
        <v>2.4514129473327317E-2</v>
      </c>
    </row>
    <row r="71" spans="1:4" x14ac:dyDescent="0.25">
      <c r="A71" s="13">
        <v>40282</v>
      </c>
      <c r="B71" t="s">
        <v>31</v>
      </c>
      <c r="C71">
        <v>293.4007719</v>
      </c>
      <c r="D71">
        <v>3.800479200976703E-3</v>
      </c>
    </row>
    <row r="72" spans="1:4" x14ac:dyDescent="0.25">
      <c r="A72" s="13">
        <v>40283</v>
      </c>
      <c r="B72" t="s">
        <v>31</v>
      </c>
      <c r="C72">
        <v>296.53902140000002</v>
      </c>
      <c r="D72">
        <v>1.0696118758234396E-2</v>
      </c>
    </row>
    <row r="73" spans="1:4" x14ac:dyDescent="0.25">
      <c r="A73" s="13">
        <v>40284</v>
      </c>
      <c r="B73" t="s">
        <v>31</v>
      </c>
      <c r="C73">
        <v>274.04826029999998</v>
      </c>
      <c r="D73">
        <v>-7.5844187364678572E-2</v>
      </c>
    </row>
    <row r="74" spans="1:4" x14ac:dyDescent="0.25">
      <c r="A74" s="13">
        <v>40287</v>
      </c>
      <c r="B74" t="s">
        <v>31</v>
      </c>
      <c r="C74">
        <v>274.02335820000002</v>
      </c>
      <c r="D74">
        <v>-9.0867571911235068E-5</v>
      </c>
    </row>
    <row r="75" spans="1:4" x14ac:dyDescent="0.25">
      <c r="A75" s="13">
        <v>40288</v>
      </c>
      <c r="B75" t="s">
        <v>31</v>
      </c>
      <c r="C75">
        <v>276.48414700000001</v>
      </c>
      <c r="D75">
        <v>8.9802154683613633E-3</v>
      </c>
    </row>
    <row r="76" spans="1:4" x14ac:dyDescent="0.25">
      <c r="A76" s="13">
        <v>40289</v>
      </c>
      <c r="B76" t="s">
        <v>31</v>
      </c>
      <c r="C76">
        <v>276.11552469999998</v>
      </c>
      <c r="D76">
        <v>-1.3332493164609494E-3</v>
      </c>
    </row>
    <row r="77" spans="1:4" x14ac:dyDescent="0.25">
      <c r="A77" s="13">
        <v>40290</v>
      </c>
      <c r="B77" t="s">
        <v>31</v>
      </c>
      <c r="C77">
        <v>272.50904270000001</v>
      </c>
      <c r="D77">
        <v>-1.3061496646805448E-2</v>
      </c>
    </row>
    <row r="78" spans="1:4" x14ac:dyDescent="0.25">
      <c r="A78" s="13">
        <v>40291</v>
      </c>
      <c r="B78" t="s">
        <v>31</v>
      </c>
      <c r="C78">
        <v>271.47791310000002</v>
      </c>
      <c r="D78">
        <v>-3.7838362712063756E-3</v>
      </c>
    </row>
    <row r="79" spans="1:4" x14ac:dyDescent="0.25">
      <c r="A79" s="13">
        <v>40294</v>
      </c>
      <c r="B79" t="s">
        <v>31</v>
      </c>
      <c r="C79">
        <v>264.82781629999999</v>
      </c>
      <c r="D79">
        <v>-2.4495903641157168E-2</v>
      </c>
    </row>
    <row r="80" spans="1:4" x14ac:dyDescent="0.25">
      <c r="A80" s="13">
        <v>40295</v>
      </c>
      <c r="B80" t="s">
        <v>31</v>
      </c>
      <c r="C80">
        <v>263.54262699999998</v>
      </c>
      <c r="D80">
        <v>-4.8529241299340997E-3</v>
      </c>
    </row>
    <row r="81" spans="1:4" x14ac:dyDescent="0.25">
      <c r="A81" s="13">
        <v>40296</v>
      </c>
      <c r="B81" t="s">
        <v>31</v>
      </c>
      <c r="C81">
        <v>263.60738579999997</v>
      </c>
      <c r="D81">
        <v>2.4572419550183966E-4</v>
      </c>
    </row>
    <row r="82" spans="1:4" x14ac:dyDescent="0.25">
      <c r="A82" s="13">
        <v>40297</v>
      </c>
      <c r="B82" t="s">
        <v>31</v>
      </c>
      <c r="C82">
        <v>265.00713769999999</v>
      </c>
      <c r="D82">
        <v>5.3099874108308853E-3</v>
      </c>
    </row>
    <row r="83" spans="1:4" x14ac:dyDescent="0.25">
      <c r="A83" s="13">
        <v>40298</v>
      </c>
      <c r="B83" t="s">
        <v>31</v>
      </c>
      <c r="C83">
        <v>261.86888759999999</v>
      </c>
      <c r="D83">
        <v>-1.1842134243012836E-2</v>
      </c>
    </row>
    <row r="84" spans="1:4" x14ac:dyDescent="0.25">
      <c r="A84" s="13">
        <v>40301</v>
      </c>
      <c r="B84" t="s">
        <v>31</v>
      </c>
      <c r="C84">
        <v>264.3097487</v>
      </c>
      <c r="D84">
        <v>9.3209282033090979E-3</v>
      </c>
    </row>
    <row r="85" spans="1:4" x14ac:dyDescent="0.25">
      <c r="A85" s="13">
        <v>40302</v>
      </c>
      <c r="B85" t="s">
        <v>31</v>
      </c>
      <c r="C85">
        <v>252.2399801</v>
      </c>
      <c r="D85">
        <v>-4.5665241858708683E-2</v>
      </c>
    </row>
    <row r="86" spans="1:4" x14ac:dyDescent="0.25">
      <c r="A86" s="13">
        <v>40303</v>
      </c>
      <c r="B86" t="s">
        <v>31</v>
      </c>
      <c r="C86">
        <v>253.92864259999999</v>
      </c>
      <c r="D86">
        <v>6.6946663226445935E-3</v>
      </c>
    </row>
    <row r="87" spans="1:4" x14ac:dyDescent="0.25">
      <c r="A87" s="13">
        <v>40304</v>
      </c>
      <c r="B87" t="s">
        <v>31</v>
      </c>
      <c r="C87">
        <v>248.40434149999999</v>
      </c>
      <c r="D87">
        <v>-2.175532875470898E-2</v>
      </c>
    </row>
    <row r="88" spans="1:4" x14ac:dyDescent="0.25">
      <c r="A88" s="13">
        <v>40305</v>
      </c>
      <c r="B88" t="s">
        <v>31</v>
      </c>
      <c r="C88">
        <v>245.64966720000001</v>
      </c>
      <c r="D88">
        <v>-1.1089477274695558E-2</v>
      </c>
    </row>
    <row r="89" spans="1:4" x14ac:dyDescent="0.25">
      <c r="A89" s="13">
        <v>40308</v>
      </c>
      <c r="B89" t="s">
        <v>31</v>
      </c>
      <c r="C89">
        <v>259.85145890000001</v>
      </c>
      <c r="D89">
        <v>5.7813193324774081E-2</v>
      </c>
    </row>
    <row r="90" spans="1:4" x14ac:dyDescent="0.25">
      <c r="A90" s="13">
        <v>40309</v>
      </c>
      <c r="B90" t="s">
        <v>31</v>
      </c>
      <c r="C90">
        <v>253.57497369999999</v>
      </c>
      <c r="D90">
        <v>-2.4154127233187661E-2</v>
      </c>
    </row>
    <row r="91" spans="1:4" x14ac:dyDescent="0.25">
      <c r="A91" s="13">
        <v>40310</v>
      </c>
      <c r="B91" t="s">
        <v>31</v>
      </c>
      <c r="C91">
        <v>251.7518049</v>
      </c>
      <c r="D91">
        <v>-7.1898609448618478E-3</v>
      </c>
    </row>
    <row r="92" spans="1:4" x14ac:dyDescent="0.25">
      <c r="A92" s="13">
        <v>40311</v>
      </c>
      <c r="B92" t="s">
        <v>31</v>
      </c>
      <c r="C92">
        <v>254.48656639999999</v>
      </c>
      <c r="D92">
        <v>1.0862927084420715E-2</v>
      </c>
    </row>
    <row r="93" spans="1:4" x14ac:dyDescent="0.25">
      <c r="A93" s="13">
        <v>40312</v>
      </c>
      <c r="B93" t="s">
        <v>31</v>
      </c>
      <c r="C93">
        <v>252.8178163</v>
      </c>
      <c r="D93">
        <v>-6.5573209761377038E-3</v>
      </c>
    </row>
    <row r="94" spans="1:4" x14ac:dyDescent="0.25">
      <c r="A94" s="13">
        <v>40315</v>
      </c>
      <c r="B94" t="s">
        <v>31</v>
      </c>
      <c r="C94">
        <v>253.03699370000001</v>
      </c>
      <c r="D94">
        <v>8.6693811064297854E-4</v>
      </c>
    </row>
    <row r="95" spans="1:4" x14ac:dyDescent="0.25">
      <c r="A95" s="13">
        <v>40316</v>
      </c>
      <c r="B95" t="s">
        <v>31</v>
      </c>
      <c r="C95">
        <v>248.25491160000001</v>
      </c>
      <c r="D95">
        <v>-1.8898746898920349E-2</v>
      </c>
    </row>
    <row r="96" spans="1:4" x14ac:dyDescent="0.25">
      <c r="A96" s="13">
        <v>40317</v>
      </c>
      <c r="B96" t="s">
        <v>31</v>
      </c>
      <c r="C96">
        <v>246.29226209999999</v>
      </c>
      <c r="D96">
        <v>-7.9057831619554486E-3</v>
      </c>
    </row>
    <row r="97" spans="1:4" x14ac:dyDescent="0.25">
      <c r="A97" s="13">
        <v>40318</v>
      </c>
      <c r="B97" t="s">
        <v>31</v>
      </c>
      <c r="C97">
        <v>236.61850870000001</v>
      </c>
      <c r="D97">
        <v>-3.9277536847959205E-2</v>
      </c>
    </row>
    <row r="98" spans="1:4" x14ac:dyDescent="0.25">
      <c r="A98" s="13">
        <v>40319</v>
      </c>
      <c r="B98" t="s">
        <v>31</v>
      </c>
      <c r="C98">
        <v>235.14403390000001</v>
      </c>
      <c r="D98">
        <v>-6.2314432125402108E-3</v>
      </c>
    </row>
    <row r="99" spans="1:4" x14ac:dyDescent="0.25">
      <c r="A99" s="13">
        <v>40322</v>
      </c>
      <c r="B99" t="s">
        <v>31</v>
      </c>
      <c r="C99">
        <v>237.6894944</v>
      </c>
      <c r="D99">
        <v>1.0825111986819458E-2</v>
      </c>
    </row>
    <row r="100" spans="1:4" x14ac:dyDescent="0.25">
      <c r="A100" s="13">
        <v>40323</v>
      </c>
      <c r="B100" t="s">
        <v>31</v>
      </c>
      <c r="C100">
        <v>237.64466400000001</v>
      </c>
      <c r="D100">
        <v>-1.8860909319173835E-4</v>
      </c>
    </row>
    <row r="101" spans="1:4" x14ac:dyDescent="0.25">
      <c r="A101" s="13">
        <v>40324</v>
      </c>
      <c r="B101" t="s">
        <v>31</v>
      </c>
      <c r="C101">
        <v>236.84765039999999</v>
      </c>
      <c r="D101">
        <v>-3.3538038960555516E-3</v>
      </c>
    </row>
    <row r="102" spans="1:4" x14ac:dyDescent="0.25">
      <c r="A102" s="13">
        <v>40325</v>
      </c>
      <c r="B102" t="s">
        <v>31</v>
      </c>
      <c r="C102">
        <v>244.31467359999999</v>
      </c>
      <c r="D102">
        <v>3.1526693160727204E-2</v>
      </c>
    </row>
    <row r="103" spans="1:4" x14ac:dyDescent="0.25">
      <c r="A103" s="13">
        <v>40326</v>
      </c>
      <c r="B103" t="s">
        <v>31</v>
      </c>
      <c r="C103">
        <v>241.90867890000001</v>
      </c>
      <c r="D103">
        <v>-9.8479336690974195E-3</v>
      </c>
    </row>
    <row r="104" spans="1:4" x14ac:dyDescent="0.25">
      <c r="A104" s="13">
        <v>40330</v>
      </c>
      <c r="B104" t="s">
        <v>31</v>
      </c>
      <c r="C104">
        <v>240.28477470000001</v>
      </c>
      <c r="D104">
        <v>-6.7128811061437643E-3</v>
      </c>
    </row>
    <row r="105" spans="1:4" x14ac:dyDescent="0.25">
      <c r="A105" s="13">
        <v>40331</v>
      </c>
      <c r="B105" t="s">
        <v>31</v>
      </c>
      <c r="C105">
        <v>245.7642458</v>
      </c>
      <c r="D105">
        <v>2.2804071156157235E-2</v>
      </c>
    </row>
    <row r="106" spans="1:4" x14ac:dyDescent="0.25">
      <c r="A106" s="13">
        <v>40332</v>
      </c>
      <c r="B106" t="s">
        <v>31</v>
      </c>
      <c r="C106">
        <v>251.8564193</v>
      </c>
      <c r="D106">
        <v>2.4788689177178913E-2</v>
      </c>
    </row>
    <row r="107" spans="1:4" x14ac:dyDescent="0.25">
      <c r="A107" s="13">
        <v>40333</v>
      </c>
      <c r="B107" t="s">
        <v>31</v>
      </c>
      <c r="C107">
        <v>248.4292591</v>
      </c>
      <c r="D107">
        <v>-1.3607595190646027E-2</v>
      </c>
    </row>
    <row r="108" spans="1:4" x14ac:dyDescent="0.25">
      <c r="A108" s="13">
        <v>40336</v>
      </c>
      <c r="B108" t="s">
        <v>31</v>
      </c>
      <c r="C108">
        <v>241.8538848</v>
      </c>
      <c r="D108">
        <v>-2.6467793382393912E-2</v>
      </c>
    </row>
    <row r="109" spans="1:4" x14ac:dyDescent="0.25">
      <c r="A109" s="13">
        <v>40337</v>
      </c>
      <c r="B109" t="s">
        <v>31</v>
      </c>
      <c r="C109">
        <v>241.48526200000001</v>
      </c>
      <c r="D109">
        <v>-1.5241549678014499E-3</v>
      </c>
    </row>
    <row r="110" spans="1:4" x14ac:dyDescent="0.25">
      <c r="A110" s="13">
        <v>40338</v>
      </c>
      <c r="B110" t="s">
        <v>31</v>
      </c>
      <c r="C110">
        <v>236.1253437</v>
      </c>
      <c r="D110">
        <v>-2.2195633205971843E-2</v>
      </c>
    </row>
    <row r="111" spans="1:4" x14ac:dyDescent="0.25">
      <c r="A111" s="13">
        <v>40339</v>
      </c>
      <c r="B111" t="s">
        <v>31</v>
      </c>
      <c r="C111">
        <v>242.59610369999999</v>
      </c>
      <c r="D111">
        <v>2.7403919878338678E-2</v>
      </c>
    </row>
    <row r="112" spans="1:4" x14ac:dyDescent="0.25">
      <c r="A112" s="13">
        <v>40340</v>
      </c>
      <c r="B112" t="s">
        <v>31</v>
      </c>
      <c r="C112">
        <v>243.33832319999999</v>
      </c>
      <c r="D112">
        <v>3.0594864825934653E-3</v>
      </c>
    </row>
    <row r="113" spans="1:4" x14ac:dyDescent="0.25">
      <c r="A113" s="13">
        <v>40343</v>
      </c>
      <c r="B113" t="s">
        <v>31</v>
      </c>
      <c r="C113">
        <v>240.6932382</v>
      </c>
      <c r="D113">
        <v>-1.0869989425488003E-2</v>
      </c>
    </row>
    <row r="114" spans="1:4" x14ac:dyDescent="0.25">
      <c r="A114" s="13">
        <v>40344</v>
      </c>
      <c r="B114" t="s">
        <v>31</v>
      </c>
      <c r="C114">
        <v>248.06561070000001</v>
      </c>
      <c r="D114">
        <v>3.0629744961402139E-2</v>
      </c>
    </row>
    <row r="115" spans="1:4" x14ac:dyDescent="0.25">
      <c r="A115" s="13">
        <v>40345</v>
      </c>
      <c r="B115" t="s">
        <v>31</v>
      </c>
      <c r="C115">
        <v>249.69949449999999</v>
      </c>
      <c r="D115">
        <v>6.5864986097405875E-3</v>
      </c>
    </row>
    <row r="116" spans="1:4" x14ac:dyDescent="0.25">
      <c r="A116" s="13">
        <v>40346</v>
      </c>
      <c r="B116" t="s">
        <v>31</v>
      </c>
      <c r="C116">
        <v>249.1067199</v>
      </c>
      <c r="D116">
        <v>-2.373951942461705E-3</v>
      </c>
    </row>
    <row r="117" spans="1:4" x14ac:dyDescent="0.25">
      <c r="A117" s="13">
        <v>40347</v>
      </c>
      <c r="B117" t="s">
        <v>31</v>
      </c>
      <c r="C117">
        <v>249.08180229999999</v>
      </c>
      <c r="D117">
        <v>-1.0002781141360551E-4</v>
      </c>
    </row>
    <row r="118" spans="1:4" x14ac:dyDescent="0.25">
      <c r="A118" s="13">
        <v>40350</v>
      </c>
      <c r="B118" t="s">
        <v>31</v>
      </c>
      <c r="C118">
        <v>243.36821520000001</v>
      </c>
      <c r="D118">
        <v>-2.2938597068277167E-2</v>
      </c>
    </row>
    <row r="119" spans="1:4" x14ac:dyDescent="0.25">
      <c r="A119" s="13">
        <v>40351</v>
      </c>
      <c r="B119" t="s">
        <v>31</v>
      </c>
      <c r="C119">
        <v>242.21753269999999</v>
      </c>
      <c r="D119">
        <v>-4.7281544101984707E-3</v>
      </c>
    </row>
    <row r="120" spans="1:4" x14ac:dyDescent="0.25">
      <c r="A120" s="13">
        <v>40352</v>
      </c>
      <c r="B120" t="s">
        <v>31</v>
      </c>
      <c r="C120">
        <v>240.1253662</v>
      </c>
      <c r="D120">
        <v>-8.6375518595974698E-3</v>
      </c>
    </row>
    <row r="121" spans="1:4" x14ac:dyDescent="0.25">
      <c r="A121" s="13">
        <v>40353</v>
      </c>
      <c r="B121" t="s">
        <v>31</v>
      </c>
      <c r="C121">
        <v>236.6633392</v>
      </c>
      <c r="D121">
        <v>-1.4417581344223662E-2</v>
      </c>
    </row>
    <row r="122" spans="1:4" x14ac:dyDescent="0.25">
      <c r="A122" s="13">
        <v>40354</v>
      </c>
      <c r="B122" t="s">
        <v>31</v>
      </c>
      <c r="C122">
        <v>235.4578472</v>
      </c>
      <c r="D122">
        <v>-5.0936997849981847E-3</v>
      </c>
    </row>
    <row r="123" spans="1:4" x14ac:dyDescent="0.25">
      <c r="A123" s="13">
        <v>40357</v>
      </c>
      <c r="B123" t="s">
        <v>31</v>
      </c>
      <c r="C123">
        <v>235.15897240000001</v>
      </c>
      <c r="D123">
        <v>-1.2693346327341537E-3</v>
      </c>
    </row>
    <row r="124" spans="1:4" x14ac:dyDescent="0.25">
      <c r="A124" s="13">
        <v>40358</v>
      </c>
      <c r="B124" t="s">
        <v>31</v>
      </c>
      <c r="C124">
        <v>226.28223310000001</v>
      </c>
      <c r="D124">
        <v>-3.774782314025793E-2</v>
      </c>
    </row>
    <row r="125" spans="1:4" x14ac:dyDescent="0.25">
      <c r="A125" s="13">
        <v>40359</v>
      </c>
      <c r="B125" t="s">
        <v>31</v>
      </c>
      <c r="C125">
        <v>221.6446061</v>
      </c>
      <c r="D125">
        <v>-2.0494879056415005E-2</v>
      </c>
    </row>
    <row r="126" spans="1:4" x14ac:dyDescent="0.25">
      <c r="A126" s="13">
        <v>40360</v>
      </c>
      <c r="B126" t="s">
        <v>31</v>
      </c>
      <c r="C126">
        <v>218.9247986</v>
      </c>
      <c r="D126">
        <v>-1.2271029500139918E-2</v>
      </c>
    </row>
    <row r="127" spans="1:4" x14ac:dyDescent="0.25">
      <c r="A127" s="13">
        <v>40361</v>
      </c>
      <c r="B127" t="s">
        <v>31</v>
      </c>
      <c r="C127">
        <v>217.460273</v>
      </c>
      <c r="D127">
        <v>-6.6896286275720529E-3</v>
      </c>
    </row>
    <row r="128" spans="1:4" x14ac:dyDescent="0.25">
      <c r="A128" s="13">
        <v>40365</v>
      </c>
      <c r="B128" t="s">
        <v>31</v>
      </c>
      <c r="C128">
        <v>217.22118219999999</v>
      </c>
      <c r="D128">
        <v>-1.0994688671250863E-3</v>
      </c>
    </row>
    <row r="129" spans="1:4" x14ac:dyDescent="0.25">
      <c r="A129" s="13">
        <v>40366</v>
      </c>
      <c r="B129" t="s">
        <v>31</v>
      </c>
      <c r="C129">
        <v>224.2597992</v>
      </c>
      <c r="D129">
        <v>3.2402995549114522E-2</v>
      </c>
    </row>
    <row r="130" spans="1:4" x14ac:dyDescent="0.25">
      <c r="A130" s="13">
        <v>40367</v>
      </c>
      <c r="B130" t="s">
        <v>31</v>
      </c>
      <c r="C130">
        <v>227.42794119999999</v>
      </c>
      <c r="D130">
        <v>1.4127106201386352E-2</v>
      </c>
    </row>
    <row r="131" spans="1:4" x14ac:dyDescent="0.25">
      <c r="A131" s="13">
        <v>40368</v>
      </c>
      <c r="B131" t="s">
        <v>31</v>
      </c>
      <c r="C131">
        <v>232.8725306</v>
      </c>
      <c r="D131">
        <v>2.3939843852396558E-2</v>
      </c>
    </row>
    <row r="132" spans="1:4" x14ac:dyDescent="0.25">
      <c r="A132" s="13">
        <v>40371</v>
      </c>
      <c r="B132" t="s">
        <v>31</v>
      </c>
      <c r="C132">
        <v>237.02697219999999</v>
      </c>
      <c r="D132">
        <v>1.7839981337841815E-2</v>
      </c>
    </row>
    <row r="133" spans="1:4" x14ac:dyDescent="0.25">
      <c r="A133" s="13">
        <v>40372</v>
      </c>
      <c r="B133" t="s">
        <v>31</v>
      </c>
      <c r="C133">
        <v>243.68701770000001</v>
      </c>
      <c r="D133">
        <v>2.8098260034222555E-2</v>
      </c>
    </row>
    <row r="134" spans="1:4" x14ac:dyDescent="0.25">
      <c r="A134" s="13">
        <v>40373</v>
      </c>
      <c r="B134" t="s">
        <v>31</v>
      </c>
      <c r="C134">
        <v>244.75302909999999</v>
      </c>
      <c r="D134">
        <v>4.374510427602285E-3</v>
      </c>
    </row>
    <row r="135" spans="1:4" x14ac:dyDescent="0.25">
      <c r="A135" s="13">
        <v>40374</v>
      </c>
      <c r="B135" t="s">
        <v>31</v>
      </c>
      <c r="C135">
        <v>246.08802270000001</v>
      </c>
      <c r="D135">
        <v>5.4544517994692399E-3</v>
      </c>
    </row>
    <row r="136" spans="1:4" x14ac:dyDescent="0.25">
      <c r="A136" s="13">
        <v>40375</v>
      </c>
      <c r="B136" t="s">
        <v>31</v>
      </c>
      <c r="C136">
        <v>228.94724600000001</v>
      </c>
      <c r="D136">
        <v>-6.9653031106255425E-2</v>
      </c>
    </row>
    <row r="137" spans="1:4" x14ac:dyDescent="0.25">
      <c r="A137" s="13">
        <v>40378</v>
      </c>
      <c r="B137" t="s">
        <v>31</v>
      </c>
      <c r="C137">
        <v>232.2199875</v>
      </c>
      <c r="D137">
        <v>1.4294740632084357E-2</v>
      </c>
    </row>
    <row r="138" spans="1:4" x14ac:dyDescent="0.25">
      <c r="A138" s="13">
        <v>40379</v>
      </c>
      <c r="B138" t="s">
        <v>31</v>
      </c>
      <c r="C138">
        <v>239.89622460000001</v>
      </c>
      <c r="D138">
        <v>3.3055884562908311E-2</v>
      </c>
    </row>
    <row r="139" spans="1:4" x14ac:dyDescent="0.25">
      <c r="A139" s="13">
        <v>40380</v>
      </c>
      <c r="B139" t="s">
        <v>31</v>
      </c>
      <c r="C139">
        <v>237.85885210000001</v>
      </c>
      <c r="D139">
        <v>-8.4927243160958232E-3</v>
      </c>
    </row>
    <row r="140" spans="1:4" x14ac:dyDescent="0.25">
      <c r="A140" s="13">
        <v>40381</v>
      </c>
      <c r="B140" t="s">
        <v>31</v>
      </c>
      <c r="C140">
        <v>241.5002159</v>
      </c>
      <c r="D140">
        <v>1.530892698695574E-2</v>
      </c>
    </row>
    <row r="141" spans="1:4" x14ac:dyDescent="0.25">
      <c r="A141" s="13">
        <v>40382</v>
      </c>
      <c r="B141" t="s">
        <v>31</v>
      </c>
      <c r="C141">
        <v>244.115409</v>
      </c>
      <c r="D141">
        <v>1.0828947254783783E-2</v>
      </c>
    </row>
    <row r="142" spans="1:4" x14ac:dyDescent="0.25">
      <c r="A142" s="13">
        <v>40385</v>
      </c>
      <c r="B142" t="s">
        <v>31</v>
      </c>
      <c r="C142">
        <v>243.57245459999999</v>
      </c>
      <c r="D142">
        <v>-2.224170945308912E-3</v>
      </c>
    </row>
    <row r="143" spans="1:4" x14ac:dyDescent="0.25">
      <c r="A143" s="13">
        <v>40386</v>
      </c>
      <c r="B143" t="s">
        <v>31</v>
      </c>
      <c r="C143">
        <v>245.3956235</v>
      </c>
      <c r="D143">
        <v>7.4851193785194781E-3</v>
      </c>
    </row>
    <row r="144" spans="1:4" x14ac:dyDescent="0.25">
      <c r="A144" s="13">
        <v>40387</v>
      </c>
      <c r="B144" t="s">
        <v>31</v>
      </c>
      <c r="C144">
        <v>241.27107430000001</v>
      </c>
      <c r="D144">
        <v>-1.6807753704702888E-2</v>
      </c>
    </row>
    <row r="145" spans="1:4" x14ac:dyDescent="0.25">
      <c r="A145" s="13">
        <v>40388</v>
      </c>
      <c r="B145" t="s">
        <v>31</v>
      </c>
      <c r="C145">
        <v>241.58987629999999</v>
      </c>
      <c r="D145">
        <v>1.3213436418970659E-3</v>
      </c>
    </row>
    <row r="146" spans="1:4" x14ac:dyDescent="0.25">
      <c r="A146" s="13">
        <v>40389</v>
      </c>
      <c r="B146" t="s">
        <v>31</v>
      </c>
      <c r="C146">
        <v>241.52014370000001</v>
      </c>
      <c r="D146">
        <v>-2.8864040607967656E-4</v>
      </c>
    </row>
    <row r="147" spans="1:4" x14ac:dyDescent="0.25">
      <c r="A147" s="13">
        <v>40392</v>
      </c>
      <c r="B147" t="s">
        <v>31</v>
      </c>
      <c r="C147">
        <v>244.28975600000001</v>
      </c>
      <c r="D147">
        <v>1.1467417406973102E-2</v>
      </c>
    </row>
    <row r="148" spans="1:4" x14ac:dyDescent="0.25">
      <c r="A148" s="13">
        <v>40393</v>
      </c>
      <c r="B148" t="s">
        <v>31</v>
      </c>
      <c r="C148">
        <v>244.0008454</v>
      </c>
      <c r="D148">
        <v>-1.1826554036920012E-3</v>
      </c>
    </row>
    <row r="149" spans="1:4" x14ac:dyDescent="0.25">
      <c r="A149" s="13">
        <v>40394</v>
      </c>
      <c r="B149" t="s">
        <v>31</v>
      </c>
      <c r="C149">
        <v>252.21506249999999</v>
      </c>
      <c r="D149">
        <v>3.3664707540394412E-2</v>
      </c>
    </row>
    <row r="150" spans="1:4" x14ac:dyDescent="0.25">
      <c r="A150" s="13">
        <v>40395</v>
      </c>
      <c r="B150" t="s">
        <v>31</v>
      </c>
      <c r="C150">
        <v>253.1017525</v>
      </c>
      <c r="D150">
        <v>3.5156108093268301E-3</v>
      </c>
    </row>
    <row r="151" spans="1:4" x14ac:dyDescent="0.25">
      <c r="A151" s="13">
        <v>40396</v>
      </c>
      <c r="B151" t="s">
        <v>31</v>
      </c>
      <c r="C151">
        <v>249.17645250000001</v>
      </c>
      <c r="D151">
        <v>-1.5508782381899899E-2</v>
      </c>
    </row>
    <row r="152" spans="1:4" x14ac:dyDescent="0.25">
      <c r="A152" s="13">
        <v>40399</v>
      </c>
      <c r="B152" t="s">
        <v>31</v>
      </c>
      <c r="C152">
        <v>251.73187709999999</v>
      </c>
      <c r="D152">
        <v>1.0255481905939723E-2</v>
      </c>
    </row>
    <row r="153" spans="1:4" x14ac:dyDescent="0.25">
      <c r="A153" s="13">
        <v>40400</v>
      </c>
      <c r="B153" t="s">
        <v>31</v>
      </c>
      <c r="C153">
        <v>250.9149352</v>
      </c>
      <c r="D153">
        <v>-3.2452858549791852E-3</v>
      </c>
    </row>
    <row r="154" spans="1:4" x14ac:dyDescent="0.25">
      <c r="A154" s="13">
        <v>40401</v>
      </c>
      <c r="B154" t="s">
        <v>31</v>
      </c>
      <c r="C154">
        <v>244.95227869999999</v>
      </c>
      <c r="D154">
        <v>-2.3763657174282082E-2</v>
      </c>
    </row>
    <row r="155" spans="1:4" x14ac:dyDescent="0.25">
      <c r="A155" s="13">
        <v>40402</v>
      </c>
      <c r="B155" t="s">
        <v>31</v>
      </c>
      <c r="C155">
        <v>245.0867696</v>
      </c>
      <c r="D155">
        <v>5.4904939326871904E-4</v>
      </c>
    </row>
    <row r="156" spans="1:4" x14ac:dyDescent="0.25">
      <c r="A156" s="13">
        <v>40403</v>
      </c>
      <c r="B156" t="s">
        <v>31</v>
      </c>
      <c r="C156">
        <v>242.2673375</v>
      </c>
      <c r="D156">
        <v>-1.1503811913639916E-2</v>
      </c>
    </row>
    <row r="157" spans="1:4" x14ac:dyDescent="0.25">
      <c r="A157" s="13">
        <v>40406</v>
      </c>
      <c r="B157" t="s">
        <v>31</v>
      </c>
      <c r="C157">
        <v>241.88875110000001</v>
      </c>
      <c r="D157">
        <v>-1.5626803179772386E-3</v>
      </c>
    </row>
    <row r="158" spans="1:4" x14ac:dyDescent="0.25">
      <c r="A158" s="13">
        <v>40407</v>
      </c>
      <c r="B158" t="s">
        <v>31</v>
      </c>
      <c r="C158">
        <v>244.34455059999999</v>
      </c>
      <c r="D158">
        <v>1.0152599030885501E-2</v>
      </c>
    </row>
    <row r="159" spans="1:4" x14ac:dyDescent="0.25">
      <c r="A159" s="13">
        <v>40408</v>
      </c>
      <c r="B159" t="s">
        <v>31</v>
      </c>
      <c r="C159">
        <v>240.17517050000001</v>
      </c>
      <c r="D159">
        <v>-1.7063528078534507E-2</v>
      </c>
    </row>
    <row r="160" spans="1:4" x14ac:dyDescent="0.25">
      <c r="A160" s="13">
        <v>40409</v>
      </c>
      <c r="B160" t="s">
        <v>31</v>
      </c>
      <c r="C160">
        <v>233.11163640000001</v>
      </c>
      <c r="D160">
        <v>-2.9409926451993473E-2</v>
      </c>
    </row>
    <row r="161" spans="1:4" x14ac:dyDescent="0.25">
      <c r="A161" s="13">
        <v>40410</v>
      </c>
      <c r="B161" t="s">
        <v>31</v>
      </c>
      <c r="C161">
        <v>230.14774869999999</v>
      </c>
      <c r="D161">
        <v>-1.2714456239817373E-2</v>
      </c>
    </row>
    <row r="162" spans="1:4" x14ac:dyDescent="0.25">
      <c r="A162" s="13">
        <v>40413</v>
      </c>
      <c r="B162" t="s">
        <v>31</v>
      </c>
      <c r="C162">
        <v>231.16891469999999</v>
      </c>
      <c r="D162">
        <v>4.4370019075490319E-3</v>
      </c>
    </row>
    <row r="163" spans="1:4" x14ac:dyDescent="0.25">
      <c r="A163" s="13">
        <v>40414</v>
      </c>
      <c r="B163" t="s">
        <v>31</v>
      </c>
      <c r="C163">
        <v>224.85258880000001</v>
      </c>
      <c r="D163">
        <v>-2.7323422390925778E-2</v>
      </c>
    </row>
    <row r="164" spans="1:4" x14ac:dyDescent="0.25">
      <c r="A164" s="13">
        <v>40415</v>
      </c>
      <c r="B164" t="s">
        <v>31</v>
      </c>
      <c r="C164">
        <v>226.46155450000001</v>
      </c>
      <c r="D164">
        <v>7.1556467665627732E-3</v>
      </c>
    </row>
    <row r="165" spans="1:4" x14ac:dyDescent="0.25">
      <c r="A165" s="13">
        <v>40416</v>
      </c>
      <c r="B165" t="s">
        <v>31</v>
      </c>
      <c r="C165">
        <v>224.64834980000001</v>
      </c>
      <c r="D165">
        <v>-8.0066777957227275E-3</v>
      </c>
    </row>
    <row r="166" spans="1:4" x14ac:dyDescent="0.25">
      <c r="A166" s="13">
        <v>40417</v>
      </c>
      <c r="B166" t="s">
        <v>31</v>
      </c>
      <c r="C166">
        <v>228.5586959</v>
      </c>
      <c r="D166">
        <v>1.7406520472913689E-2</v>
      </c>
    </row>
    <row r="167" spans="1:4" x14ac:dyDescent="0.25">
      <c r="A167" s="13">
        <v>40420</v>
      </c>
      <c r="B167" t="s">
        <v>31</v>
      </c>
      <c r="C167">
        <v>225.5001575</v>
      </c>
      <c r="D167">
        <v>-1.3381850941861284E-2</v>
      </c>
    </row>
    <row r="168" spans="1:4" x14ac:dyDescent="0.25">
      <c r="A168" s="13">
        <v>40421</v>
      </c>
      <c r="B168" t="s">
        <v>31</v>
      </c>
      <c r="C168">
        <v>224.17013829999999</v>
      </c>
      <c r="D168">
        <v>-5.8980854592086684E-3</v>
      </c>
    </row>
    <row r="169" spans="1:4" x14ac:dyDescent="0.25">
      <c r="A169" s="13">
        <v>40422</v>
      </c>
      <c r="B169" t="s">
        <v>31</v>
      </c>
      <c r="C169">
        <v>229.30590470000001</v>
      </c>
      <c r="D169">
        <v>2.2910127276305481E-2</v>
      </c>
    </row>
    <row r="170" spans="1:4" x14ac:dyDescent="0.25">
      <c r="A170" s="13">
        <v>40423</v>
      </c>
      <c r="B170" t="s">
        <v>31</v>
      </c>
      <c r="C170">
        <v>230.7255849</v>
      </c>
      <c r="D170">
        <v>6.1912064665641253E-3</v>
      </c>
    </row>
    <row r="171" spans="1:4" x14ac:dyDescent="0.25">
      <c r="A171" s="13">
        <v>40424</v>
      </c>
      <c r="B171" t="s">
        <v>31</v>
      </c>
      <c r="C171">
        <v>234.27229790000001</v>
      </c>
      <c r="D171">
        <v>1.5371997004741456E-2</v>
      </c>
    </row>
    <row r="172" spans="1:4" x14ac:dyDescent="0.25">
      <c r="A172" s="13">
        <v>40428</v>
      </c>
      <c r="B172" t="s">
        <v>31</v>
      </c>
      <c r="C172">
        <v>231.33329749999999</v>
      </c>
      <c r="D172">
        <v>-1.2545232305932075E-2</v>
      </c>
    </row>
    <row r="173" spans="1:4" x14ac:dyDescent="0.25">
      <c r="A173" s="13">
        <v>40429</v>
      </c>
      <c r="B173" t="s">
        <v>31</v>
      </c>
      <c r="C173">
        <v>234.41176369999999</v>
      </c>
      <c r="D173">
        <v>1.3307492839417234E-2</v>
      </c>
    </row>
    <row r="174" spans="1:4" x14ac:dyDescent="0.25">
      <c r="A174" s="13">
        <v>40430</v>
      </c>
      <c r="B174" t="s">
        <v>31</v>
      </c>
      <c r="C174">
        <v>237.2013192</v>
      </c>
      <c r="D174">
        <v>1.1900236813925824E-2</v>
      </c>
    </row>
    <row r="175" spans="1:4" x14ac:dyDescent="0.25">
      <c r="A175" s="13">
        <v>40431</v>
      </c>
      <c r="B175" t="s">
        <v>31</v>
      </c>
      <c r="C175">
        <v>237.1813914</v>
      </c>
      <c r="D175">
        <v>-8.4012180316728191E-5</v>
      </c>
    </row>
    <row r="176" spans="1:4" x14ac:dyDescent="0.25">
      <c r="A176" s="13">
        <v>40434</v>
      </c>
      <c r="B176" t="s">
        <v>31</v>
      </c>
      <c r="C176">
        <v>240.23495489999999</v>
      </c>
      <c r="D176">
        <v>1.2874380582624356E-2</v>
      </c>
    </row>
    <row r="177" spans="1:4" x14ac:dyDescent="0.25">
      <c r="A177" s="13">
        <v>40435</v>
      </c>
      <c r="B177" t="s">
        <v>31</v>
      </c>
      <c r="C177">
        <v>239.3183884</v>
      </c>
      <c r="D177">
        <v>-3.8152919935465768E-3</v>
      </c>
    </row>
    <row r="178" spans="1:4" x14ac:dyDescent="0.25">
      <c r="A178" s="13">
        <v>40436</v>
      </c>
      <c r="B178" t="s">
        <v>31</v>
      </c>
      <c r="C178">
        <v>239.42300280000001</v>
      </c>
      <c r="D178">
        <v>4.3713481734286574E-4</v>
      </c>
    </row>
    <row r="179" spans="1:4" x14ac:dyDescent="0.25">
      <c r="A179" s="13">
        <v>40437</v>
      </c>
      <c r="B179" t="s">
        <v>31</v>
      </c>
      <c r="C179">
        <v>239.63221609999999</v>
      </c>
      <c r="D179">
        <v>8.7382288900106353E-4</v>
      </c>
    </row>
    <row r="180" spans="1:4" x14ac:dyDescent="0.25">
      <c r="A180" s="13">
        <v>40438</v>
      </c>
      <c r="B180" t="s">
        <v>31</v>
      </c>
      <c r="C180">
        <v>244.16025440000001</v>
      </c>
      <c r="D180">
        <v>1.8895782769502212E-2</v>
      </c>
    </row>
    <row r="181" spans="1:4" x14ac:dyDescent="0.25">
      <c r="A181" s="13">
        <v>40441</v>
      </c>
      <c r="B181" t="s">
        <v>31</v>
      </c>
      <c r="C181">
        <v>253.19141289999999</v>
      </c>
      <c r="D181">
        <v>3.6988651253633265E-2</v>
      </c>
    </row>
    <row r="182" spans="1:4" x14ac:dyDescent="0.25">
      <c r="A182" s="13">
        <v>40442</v>
      </c>
      <c r="B182" t="s">
        <v>31</v>
      </c>
      <c r="C182">
        <v>255.77173970000001</v>
      </c>
      <c r="D182">
        <v>1.0191209766735376E-2</v>
      </c>
    </row>
    <row r="183" spans="1:4" x14ac:dyDescent="0.25">
      <c r="A183" s="13">
        <v>40443</v>
      </c>
      <c r="B183" t="s">
        <v>31</v>
      </c>
      <c r="C183">
        <v>257.03700070000002</v>
      </c>
      <c r="D183">
        <v>4.9468365875138254E-3</v>
      </c>
    </row>
    <row r="184" spans="1:4" x14ac:dyDescent="0.25">
      <c r="A184" s="13">
        <v>40444</v>
      </c>
      <c r="B184" t="s">
        <v>31</v>
      </c>
      <c r="C184">
        <v>255.7817039</v>
      </c>
      <c r="D184">
        <v>-4.8837202293110504E-3</v>
      </c>
    </row>
    <row r="185" spans="1:4" x14ac:dyDescent="0.25">
      <c r="A185" s="13">
        <v>40445</v>
      </c>
      <c r="B185" t="s">
        <v>31</v>
      </c>
      <c r="C185">
        <v>262.66094229999999</v>
      </c>
      <c r="D185">
        <v>2.6894958846194417E-2</v>
      </c>
    </row>
    <row r="186" spans="1:4" x14ac:dyDescent="0.25">
      <c r="A186" s="13">
        <v>40448</v>
      </c>
      <c r="B186" t="s">
        <v>31</v>
      </c>
      <c r="C186">
        <v>264.21511390000001</v>
      </c>
      <c r="D186">
        <v>5.9170259056822161E-3</v>
      </c>
    </row>
    <row r="187" spans="1:4" x14ac:dyDescent="0.25">
      <c r="A187" s="13">
        <v>40449</v>
      </c>
      <c r="B187" t="s">
        <v>31</v>
      </c>
      <c r="C187">
        <v>262.60115839999997</v>
      </c>
      <c r="D187">
        <v>-6.1084904499857373E-3</v>
      </c>
    </row>
    <row r="188" spans="1:4" x14ac:dyDescent="0.25">
      <c r="A188" s="13">
        <v>40450</v>
      </c>
      <c r="B188" t="s">
        <v>31</v>
      </c>
      <c r="C188">
        <v>262.86019199999998</v>
      </c>
      <c r="D188">
        <v>9.8641453670000878E-4</v>
      </c>
    </row>
    <row r="189" spans="1:4" x14ac:dyDescent="0.25">
      <c r="A189" s="13">
        <v>40451</v>
      </c>
      <c r="B189" t="s">
        <v>31</v>
      </c>
      <c r="C189">
        <v>261.9137485</v>
      </c>
      <c r="D189">
        <v>-3.6005585052604205E-3</v>
      </c>
    </row>
    <row r="190" spans="1:4" x14ac:dyDescent="0.25">
      <c r="A190" s="13">
        <v>40452</v>
      </c>
      <c r="B190" t="s">
        <v>31</v>
      </c>
      <c r="C190">
        <v>261.8290624</v>
      </c>
      <c r="D190">
        <v>-3.2333583282662115E-4</v>
      </c>
    </row>
    <row r="191" spans="1:4" x14ac:dyDescent="0.25">
      <c r="A191" s="13">
        <v>40455</v>
      </c>
      <c r="B191" t="s">
        <v>31</v>
      </c>
      <c r="C191">
        <v>260.20015289999998</v>
      </c>
      <c r="D191">
        <v>-6.2212707980885407E-3</v>
      </c>
    </row>
    <row r="192" spans="1:4" x14ac:dyDescent="0.25">
      <c r="A192" s="13">
        <v>40456</v>
      </c>
      <c r="B192" t="s">
        <v>31</v>
      </c>
      <c r="C192">
        <v>268.11050599999999</v>
      </c>
      <c r="D192">
        <v>3.0401031712844917E-2</v>
      </c>
    </row>
    <row r="193" spans="1:4" x14ac:dyDescent="0.25">
      <c r="A193" s="13">
        <v>40457</v>
      </c>
      <c r="B193" t="s">
        <v>31</v>
      </c>
      <c r="C193">
        <v>266.1777634</v>
      </c>
      <c r="D193">
        <v>-7.2087536920316664E-3</v>
      </c>
    </row>
    <row r="194" spans="1:4" x14ac:dyDescent="0.25">
      <c r="A194" s="13">
        <v>40458</v>
      </c>
      <c r="B194" t="s">
        <v>31</v>
      </c>
      <c r="C194">
        <v>264.01586420000001</v>
      </c>
      <c r="D194">
        <v>-8.1220127947021492E-3</v>
      </c>
    </row>
    <row r="195" spans="1:4" x14ac:dyDescent="0.25">
      <c r="A195" s="13">
        <v>40459</v>
      </c>
      <c r="B195" t="s">
        <v>31</v>
      </c>
      <c r="C195">
        <v>267.17401169999999</v>
      </c>
      <c r="D195">
        <v>1.1961961110062758E-2</v>
      </c>
    </row>
    <row r="196" spans="1:4" x14ac:dyDescent="0.25">
      <c r="A196" s="13">
        <v>40462</v>
      </c>
      <c r="B196" t="s">
        <v>31</v>
      </c>
      <c r="C196">
        <v>268.41437000000002</v>
      </c>
      <c r="D196">
        <v>4.6425110440486694E-3</v>
      </c>
    </row>
    <row r="197" spans="1:4" x14ac:dyDescent="0.25">
      <c r="A197" s="13">
        <v>40463</v>
      </c>
      <c r="B197" t="s">
        <v>31</v>
      </c>
      <c r="C197">
        <v>269.68460540000001</v>
      </c>
      <c r="D197">
        <v>4.7323673468002703E-3</v>
      </c>
    </row>
    <row r="198" spans="1:4" x14ac:dyDescent="0.25">
      <c r="A198" s="13">
        <v>40464</v>
      </c>
      <c r="B198" t="s">
        <v>31</v>
      </c>
      <c r="C198">
        <v>270.63605360000003</v>
      </c>
      <c r="D198">
        <v>3.5280033822799872E-3</v>
      </c>
    </row>
    <row r="199" spans="1:4" x14ac:dyDescent="0.25">
      <c r="A199" s="13">
        <v>40465</v>
      </c>
      <c r="B199" t="s">
        <v>31</v>
      </c>
      <c r="C199">
        <v>269.45547920000001</v>
      </c>
      <c r="D199">
        <v>-4.362221456808979E-3</v>
      </c>
    </row>
    <row r="200" spans="1:4" x14ac:dyDescent="0.25">
      <c r="A200" s="13">
        <v>40466</v>
      </c>
      <c r="B200" t="s">
        <v>31</v>
      </c>
      <c r="C200">
        <v>299.60253410000001</v>
      </c>
      <c r="D200">
        <v>0.11188139498779215</v>
      </c>
    </row>
    <row r="201" spans="1:4" x14ac:dyDescent="0.25">
      <c r="A201" s="13">
        <v>40469</v>
      </c>
      <c r="B201" t="s">
        <v>31</v>
      </c>
      <c r="C201">
        <v>307.70218770000002</v>
      </c>
      <c r="D201">
        <v>2.7034663189118957E-2</v>
      </c>
    </row>
    <row r="202" spans="1:4" x14ac:dyDescent="0.25">
      <c r="A202" s="13">
        <v>40470</v>
      </c>
      <c r="B202" t="s">
        <v>31</v>
      </c>
      <c r="C202">
        <v>302.78063980000002</v>
      </c>
      <c r="D202">
        <v>-1.5994517090656357E-2</v>
      </c>
    </row>
    <row r="203" spans="1:4" x14ac:dyDescent="0.25">
      <c r="A203" s="13">
        <v>40471</v>
      </c>
      <c r="B203" t="s">
        <v>31</v>
      </c>
      <c r="C203">
        <v>302.85534730000001</v>
      </c>
      <c r="D203">
        <v>2.4673803466868094E-4</v>
      </c>
    </row>
    <row r="204" spans="1:4" x14ac:dyDescent="0.25">
      <c r="A204" s="13">
        <v>40472</v>
      </c>
      <c r="B204" t="s">
        <v>31</v>
      </c>
      <c r="C204">
        <v>304.85284819999998</v>
      </c>
      <c r="D204">
        <v>6.5955609428989259E-3</v>
      </c>
    </row>
    <row r="205" spans="1:4" x14ac:dyDescent="0.25">
      <c r="A205" s="13">
        <v>40473</v>
      </c>
      <c r="B205" t="s">
        <v>31</v>
      </c>
      <c r="C205">
        <v>305.1218609</v>
      </c>
      <c r="D205">
        <v>8.8243459619419262E-4</v>
      </c>
    </row>
    <row r="206" spans="1:4" x14ac:dyDescent="0.25">
      <c r="A206" s="13">
        <v>40476</v>
      </c>
      <c r="B206" t="s">
        <v>31</v>
      </c>
      <c r="C206">
        <v>307.09943390000001</v>
      </c>
      <c r="D206">
        <v>6.4812563549752067E-3</v>
      </c>
    </row>
    <row r="207" spans="1:4" x14ac:dyDescent="0.25">
      <c r="A207" s="13">
        <v>40477</v>
      </c>
      <c r="B207" t="s">
        <v>31</v>
      </c>
      <c r="C207">
        <v>308.14551749999998</v>
      </c>
      <c r="D207">
        <v>3.4063351622477533E-3</v>
      </c>
    </row>
    <row r="208" spans="1:4" x14ac:dyDescent="0.25">
      <c r="A208" s="13">
        <v>40478</v>
      </c>
      <c r="B208" t="s">
        <v>31</v>
      </c>
      <c r="C208">
        <v>307.0845109</v>
      </c>
      <c r="D208">
        <v>-3.4431998511871287E-3</v>
      </c>
    </row>
    <row r="209" spans="1:4" x14ac:dyDescent="0.25">
      <c r="A209" s="13">
        <v>40479</v>
      </c>
      <c r="B209" t="s">
        <v>31</v>
      </c>
      <c r="C209">
        <v>308.13556870000002</v>
      </c>
      <c r="D209">
        <v>3.4226988424770344E-3</v>
      </c>
    </row>
    <row r="210" spans="1:4" x14ac:dyDescent="0.25">
      <c r="A210" s="13">
        <v>40480</v>
      </c>
      <c r="B210" t="s">
        <v>31</v>
      </c>
      <c r="C210">
        <v>305.70465639999998</v>
      </c>
      <c r="D210">
        <v>-7.889099951219114E-3</v>
      </c>
    </row>
    <row r="211" spans="1:4" x14ac:dyDescent="0.25">
      <c r="A211" s="13">
        <v>40483</v>
      </c>
      <c r="B211" t="s">
        <v>31</v>
      </c>
      <c r="C211">
        <v>306.35224060000002</v>
      </c>
      <c r="D211">
        <v>2.1183327974982902E-3</v>
      </c>
    </row>
    <row r="212" spans="1:4" x14ac:dyDescent="0.25">
      <c r="A212" s="13">
        <v>40484</v>
      </c>
      <c r="B212" t="s">
        <v>31</v>
      </c>
      <c r="C212">
        <v>306.65113029999998</v>
      </c>
      <c r="D212">
        <v>9.7564065278121781E-4</v>
      </c>
    </row>
    <row r="213" spans="1:4" x14ac:dyDescent="0.25">
      <c r="A213" s="13">
        <v>40485</v>
      </c>
      <c r="B213" t="s">
        <v>31</v>
      </c>
      <c r="C213">
        <v>308.93256689999998</v>
      </c>
      <c r="D213">
        <v>7.4398440917795572E-3</v>
      </c>
    </row>
    <row r="214" spans="1:4" x14ac:dyDescent="0.25">
      <c r="A214" s="13">
        <v>40486</v>
      </c>
      <c r="B214" t="s">
        <v>31</v>
      </c>
      <c r="C214">
        <v>310.96995479999998</v>
      </c>
      <c r="D214">
        <v>6.5949275611965064E-3</v>
      </c>
    </row>
    <row r="215" spans="1:4" x14ac:dyDescent="0.25">
      <c r="A215" s="13">
        <v>40487</v>
      </c>
      <c r="B215" t="s">
        <v>31</v>
      </c>
      <c r="C215">
        <v>311.37342799999999</v>
      </c>
      <c r="D215">
        <v>1.2974668252421218E-3</v>
      </c>
    </row>
    <row r="216" spans="1:4" x14ac:dyDescent="0.25">
      <c r="A216" s="13">
        <v>40490</v>
      </c>
      <c r="B216" t="s">
        <v>31</v>
      </c>
      <c r="C216">
        <v>312.21528749999999</v>
      </c>
      <c r="D216">
        <v>2.7036973109986207E-3</v>
      </c>
    </row>
    <row r="217" spans="1:4" x14ac:dyDescent="0.25">
      <c r="A217" s="13">
        <v>40491</v>
      </c>
      <c r="B217" t="s">
        <v>31</v>
      </c>
      <c r="C217">
        <v>311.2439114</v>
      </c>
      <c r="D217">
        <v>-3.1112381068143513E-3</v>
      </c>
    </row>
    <row r="218" spans="1:4" x14ac:dyDescent="0.25">
      <c r="A218" s="13">
        <v>40492</v>
      </c>
      <c r="B218" t="s">
        <v>31</v>
      </c>
      <c r="C218">
        <v>310.27754010000001</v>
      </c>
      <c r="D218">
        <v>-3.1048681262653144E-3</v>
      </c>
    </row>
    <row r="219" spans="1:4" x14ac:dyDescent="0.25">
      <c r="A219" s="13">
        <v>40493</v>
      </c>
      <c r="B219" t="s">
        <v>31</v>
      </c>
      <c r="C219">
        <v>307.44315410000002</v>
      </c>
      <c r="D219">
        <v>-9.1350021631810829E-3</v>
      </c>
    </row>
    <row r="220" spans="1:4" x14ac:dyDescent="0.25">
      <c r="A220" s="13">
        <v>40494</v>
      </c>
      <c r="B220" t="s">
        <v>31</v>
      </c>
      <c r="C220">
        <v>300.5191006</v>
      </c>
      <c r="D220">
        <v>-2.2521410568627775E-2</v>
      </c>
    </row>
    <row r="221" spans="1:4" x14ac:dyDescent="0.25">
      <c r="A221" s="13">
        <v>40497</v>
      </c>
      <c r="B221" t="s">
        <v>31</v>
      </c>
      <c r="C221">
        <v>296.62367760000001</v>
      </c>
      <c r="D221">
        <v>-1.2962314183100565E-2</v>
      </c>
    </row>
    <row r="222" spans="1:4" x14ac:dyDescent="0.25">
      <c r="A222" s="13">
        <v>40498</v>
      </c>
      <c r="B222" t="s">
        <v>31</v>
      </c>
      <c r="C222">
        <v>290.77060990000001</v>
      </c>
      <c r="D222">
        <v>-1.9732301033273947E-2</v>
      </c>
    </row>
    <row r="223" spans="1:4" x14ac:dyDescent="0.25">
      <c r="A223" s="13">
        <v>40499</v>
      </c>
      <c r="B223" t="s">
        <v>31</v>
      </c>
      <c r="C223">
        <v>290.68592330000001</v>
      </c>
      <c r="D223">
        <v>-2.9124883023468051E-4</v>
      </c>
    </row>
    <row r="224" spans="1:4" x14ac:dyDescent="0.25">
      <c r="A224" s="13">
        <v>40500</v>
      </c>
      <c r="B224" t="s">
        <v>31</v>
      </c>
      <c r="C224">
        <v>297.16664750000001</v>
      </c>
      <c r="D224">
        <v>2.2294592481217679E-2</v>
      </c>
    </row>
    <row r="225" spans="1:4" x14ac:dyDescent="0.25">
      <c r="A225" s="13">
        <v>40501</v>
      </c>
      <c r="B225" t="s">
        <v>31</v>
      </c>
      <c r="C225">
        <v>294.312364</v>
      </c>
      <c r="D225">
        <v>-9.6049927675682101E-3</v>
      </c>
    </row>
    <row r="226" spans="1:4" x14ac:dyDescent="0.25">
      <c r="A226" s="13">
        <v>40504</v>
      </c>
      <c r="B226" t="s">
        <v>31</v>
      </c>
      <c r="C226">
        <v>294.5066084</v>
      </c>
      <c r="D226">
        <v>6.5999401914362821E-4</v>
      </c>
    </row>
    <row r="227" spans="1:4" x14ac:dyDescent="0.25">
      <c r="A227" s="13">
        <v>40505</v>
      </c>
      <c r="B227" t="s">
        <v>31</v>
      </c>
      <c r="C227">
        <v>290.41694100000001</v>
      </c>
      <c r="D227">
        <v>-1.3886504694133661E-2</v>
      </c>
    </row>
    <row r="228" spans="1:4" x14ac:dyDescent="0.25">
      <c r="A228" s="13">
        <v>40506</v>
      </c>
      <c r="B228" t="s">
        <v>31</v>
      </c>
      <c r="C228">
        <v>296.37462319999997</v>
      </c>
      <c r="D228">
        <v>2.0514237838487492E-2</v>
      </c>
    </row>
    <row r="229" spans="1:4" x14ac:dyDescent="0.25">
      <c r="A229" s="13">
        <v>40508</v>
      </c>
      <c r="B229" t="s">
        <v>31</v>
      </c>
      <c r="C229">
        <v>293.89891069999999</v>
      </c>
      <c r="D229">
        <v>-8.3533214594061489E-3</v>
      </c>
    </row>
    <row r="230" spans="1:4" x14ac:dyDescent="0.25">
      <c r="A230" s="13">
        <v>40511</v>
      </c>
      <c r="B230" t="s">
        <v>31</v>
      </c>
      <c r="C230">
        <v>289.96863689999998</v>
      </c>
      <c r="D230">
        <v>-1.3372876376571141E-2</v>
      </c>
    </row>
    <row r="231" spans="1:4" x14ac:dyDescent="0.25">
      <c r="A231" s="13">
        <v>40512</v>
      </c>
      <c r="B231" t="s">
        <v>31</v>
      </c>
      <c r="C231">
        <v>276.8178881</v>
      </c>
      <c r="D231">
        <v>-4.5352314445424646E-2</v>
      </c>
    </row>
    <row r="232" spans="1:4" x14ac:dyDescent="0.25">
      <c r="A232" s="13">
        <v>40513</v>
      </c>
      <c r="B232" t="s">
        <v>31</v>
      </c>
      <c r="C232">
        <v>281.12175910000002</v>
      </c>
      <c r="D232">
        <v>1.5547662145465324E-2</v>
      </c>
    </row>
    <row r="233" spans="1:4" x14ac:dyDescent="0.25">
      <c r="A233" s="13">
        <v>40514</v>
      </c>
      <c r="B233" t="s">
        <v>31</v>
      </c>
      <c r="C233">
        <v>284.8428346</v>
      </c>
      <c r="D233">
        <v>1.323652609429038E-2</v>
      </c>
    </row>
    <row r="234" spans="1:4" x14ac:dyDescent="0.25">
      <c r="A234" s="13">
        <v>40515</v>
      </c>
      <c r="B234" t="s">
        <v>31</v>
      </c>
      <c r="C234">
        <v>285.43063489999997</v>
      </c>
      <c r="D234">
        <v>2.063595178110722E-3</v>
      </c>
    </row>
    <row r="235" spans="1:4" x14ac:dyDescent="0.25">
      <c r="A235" s="13">
        <v>40518</v>
      </c>
      <c r="B235" t="s">
        <v>31</v>
      </c>
      <c r="C235">
        <v>288.10062210000001</v>
      </c>
      <c r="D235">
        <v>9.3542418841463526E-3</v>
      </c>
    </row>
    <row r="236" spans="1:4" x14ac:dyDescent="0.25">
      <c r="A236" s="13">
        <v>40519</v>
      </c>
      <c r="B236" t="s">
        <v>31</v>
      </c>
      <c r="C236">
        <v>292.4742258</v>
      </c>
      <c r="D236">
        <v>1.5180820048635413E-2</v>
      </c>
    </row>
    <row r="237" spans="1:4" x14ac:dyDescent="0.25">
      <c r="A237" s="13">
        <v>40520</v>
      </c>
      <c r="B237" t="s">
        <v>31</v>
      </c>
      <c r="C237">
        <v>294.16789349999999</v>
      </c>
      <c r="D237">
        <v>5.790827192951209E-3</v>
      </c>
    </row>
    <row r="238" spans="1:4" x14ac:dyDescent="0.25">
      <c r="A238" s="13">
        <v>40521</v>
      </c>
      <c r="B238" t="s">
        <v>31</v>
      </c>
      <c r="C238">
        <v>294.6461046</v>
      </c>
      <c r="D238">
        <v>1.6256400190730602E-3</v>
      </c>
    </row>
    <row r="239" spans="1:4" x14ac:dyDescent="0.25">
      <c r="A239" s="13">
        <v>40522</v>
      </c>
      <c r="B239" t="s">
        <v>31</v>
      </c>
      <c r="C239">
        <v>294.99977339999998</v>
      </c>
      <c r="D239">
        <v>1.2003172432233367E-3</v>
      </c>
    </row>
    <row r="240" spans="1:4" x14ac:dyDescent="0.25">
      <c r="A240" s="13">
        <v>40525</v>
      </c>
      <c r="B240" t="s">
        <v>31</v>
      </c>
      <c r="C240">
        <v>296.2002761</v>
      </c>
      <c r="D240">
        <v>4.0695038038969233E-3</v>
      </c>
    </row>
    <row r="241" spans="1:4" x14ac:dyDescent="0.25">
      <c r="A241" s="13">
        <v>40526</v>
      </c>
      <c r="B241" t="s">
        <v>31</v>
      </c>
      <c r="C241">
        <v>296.34474660000001</v>
      </c>
      <c r="D241">
        <v>4.8774600045020655E-4</v>
      </c>
    </row>
    <row r="242" spans="1:4" x14ac:dyDescent="0.25">
      <c r="A242" s="13">
        <v>40527</v>
      </c>
      <c r="B242" t="s">
        <v>31</v>
      </c>
      <c r="C242">
        <v>294.04835559999998</v>
      </c>
      <c r="D242">
        <v>-7.7490525016785661E-3</v>
      </c>
    </row>
    <row r="243" spans="1:4" x14ac:dyDescent="0.25">
      <c r="A243" s="13">
        <v>40528</v>
      </c>
      <c r="B243" t="s">
        <v>31</v>
      </c>
      <c r="C243">
        <v>294.75071889999998</v>
      </c>
      <c r="D243">
        <v>2.3885979520845702E-3</v>
      </c>
    </row>
    <row r="244" spans="1:4" x14ac:dyDescent="0.25">
      <c r="A244" s="13">
        <v>40529</v>
      </c>
      <c r="B244" t="s">
        <v>31</v>
      </c>
      <c r="C244">
        <v>294.29741009999998</v>
      </c>
      <c r="D244">
        <v>-1.5379395907556548E-3</v>
      </c>
    </row>
    <row r="245" spans="1:4" x14ac:dyDescent="0.25">
      <c r="A245" s="13">
        <v>40532</v>
      </c>
      <c r="B245" t="s">
        <v>31</v>
      </c>
      <c r="C245">
        <v>296.4194536</v>
      </c>
      <c r="D245">
        <v>7.210540858239245E-3</v>
      </c>
    </row>
    <row r="246" spans="1:4" x14ac:dyDescent="0.25">
      <c r="A246" s="13">
        <v>40533</v>
      </c>
      <c r="B246" t="s">
        <v>31</v>
      </c>
      <c r="C246">
        <v>300.40951189999998</v>
      </c>
      <c r="D246">
        <v>1.3460851680080044E-2</v>
      </c>
    </row>
    <row r="247" spans="1:4" x14ac:dyDescent="0.25">
      <c r="A247" s="13">
        <v>40534</v>
      </c>
      <c r="B247" t="s">
        <v>31</v>
      </c>
      <c r="C247">
        <v>301.61498849999998</v>
      </c>
      <c r="D247">
        <v>4.0127777325549285E-3</v>
      </c>
    </row>
    <row r="248" spans="1:4" x14ac:dyDescent="0.25">
      <c r="A248" s="13">
        <v>40535</v>
      </c>
      <c r="B248" t="s">
        <v>31</v>
      </c>
      <c r="C248">
        <v>300.9873326</v>
      </c>
      <c r="D248">
        <v>-2.0809837837352241E-3</v>
      </c>
    </row>
    <row r="249" spans="1:4" x14ac:dyDescent="0.25">
      <c r="A249" s="13">
        <v>40539</v>
      </c>
      <c r="B249" t="s">
        <v>31</v>
      </c>
      <c r="C249">
        <v>300.06579169999998</v>
      </c>
      <c r="D249">
        <v>-3.0617265252976811E-3</v>
      </c>
    </row>
    <row r="250" spans="1:4" x14ac:dyDescent="0.25">
      <c r="A250" s="13">
        <v>40540</v>
      </c>
      <c r="B250" t="s">
        <v>31</v>
      </c>
      <c r="C250">
        <v>298.34224749999998</v>
      </c>
      <c r="D250">
        <v>-5.7438876662193605E-3</v>
      </c>
    </row>
    <row r="251" spans="1:4" x14ac:dyDescent="0.25">
      <c r="A251" s="13">
        <v>40541</v>
      </c>
      <c r="B251" t="s">
        <v>31</v>
      </c>
      <c r="C251">
        <v>299.3783818</v>
      </c>
      <c r="D251">
        <v>3.4729720939037367E-3</v>
      </c>
    </row>
    <row r="252" spans="1:4" x14ac:dyDescent="0.25">
      <c r="A252" s="13">
        <v>40542</v>
      </c>
      <c r="B252" t="s">
        <v>31</v>
      </c>
      <c r="C252">
        <v>298.31237049999999</v>
      </c>
      <c r="D252">
        <v>-3.5607490881294224E-3</v>
      </c>
    </row>
    <row r="253" spans="1:4" x14ac:dyDescent="0.25">
      <c r="A253" s="13">
        <v>40543</v>
      </c>
      <c r="B253" t="s">
        <v>31</v>
      </c>
      <c r="C253">
        <v>295.87648380000002</v>
      </c>
      <c r="D253">
        <v>-8.1655571169146901E-3</v>
      </c>
    </row>
    <row r="254" spans="1:4" x14ac:dyDescent="0.25">
      <c r="A254" s="13">
        <v>40546</v>
      </c>
      <c r="B254" t="s">
        <v>31</v>
      </c>
      <c r="C254">
        <v>301.04711650000002</v>
      </c>
      <c r="D254">
        <v>1.7475646031724246E-2</v>
      </c>
    </row>
    <row r="255" spans="1:4" x14ac:dyDescent="0.25">
      <c r="A255" s="13">
        <v>40547</v>
      </c>
      <c r="B255" t="s">
        <v>31</v>
      </c>
      <c r="C255">
        <v>299.93627470000001</v>
      </c>
      <c r="D255">
        <v>-3.6899267228158728E-3</v>
      </c>
    </row>
    <row r="256" spans="1:4" x14ac:dyDescent="0.25">
      <c r="A256" s="13">
        <v>40548</v>
      </c>
      <c r="B256" t="s">
        <v>31</v>
      </c>
      <c r="C256">
        <v>303.39831659999999</v>
      </c>
      <c r="D256">
        <v>1.154259151702397E-2</v>
      </c>
    </row>
    <row r="257" spans="1:4" x14ac:dyDescent="0.25">
      <c r="A257" s="13">
        <v>40549</v>
      </c>
      <c r="B257" t="s">
        <v>31</v>
      </c>
      <c r="C257">
        <v>305.60504680000003</v>
      </c>
      <c r="D257">
        <v>7.2733765458210531E-3</v>
      </c>
    </row>
    <row r="258" spans="1:4" x14ac:dyDescent="0.25">
      <c r="A258" s="13">
        <v>40550</v>
      </c>
      <c r="B258" t="s">
        <v>31</v>
      </c>
      <c r="C258">
        <v>307.06955740000001</v>
      </c>
      <c r="D258">
        <v>4.7921675879862846E-3</v>
      </c>
    </row>
    <row r="259" spans="1:4" x14ac:dyDescent="0.25">
      <c r="A259" s="13">
        <v>40553</v>
      </c>
      <c r="B259" t="s">
        <v>31</v>
      </c>
      <c r="C259">
        <v>305.9587156</v>
      </c>
      <c r="D259">
        <v>-3.6175575638485169E-3</v>
      </c>
    </row>
    <row r="260" spans="1:4" x14ac:dyDescent="0.25">
      <c r="A260" s="13">
        <v>40554</v>
      </c>
      <c r="B260" t="s">
        <v>31</v>
      </c>
      <c r="C260">
        <v>306.85535379999999</v>
      </c>
      <c r="D260">
        <v>2.9305855799584002E-3</v>
      </c>
    </row>
    <row r="261" spans="1:4" x14ac:dyDescent="0.25">
      <c r="A261" s="13">
        <v>40555</v>
      </c>
      <c r="B261" t="s">
        <v>31</v>
      </c>
      <c r="C261">
        <v>307.28376050000003</v>
      </c>
      <c r="D261">
        <v>1.3961193594793642E-3</v>
      </c>
    </row>
    <row r="262" spans="1:4" x14ac:dyDescent="0.25">
      <c r="A262" s="13">
        <v>40556</v>
      </c>
      <c r="B262" t="s">
        <v>31</v>
      </c>
      <c r="C262">
        <v>307.19409960000002</v>
      </c>
      <c r="D262">
        <v>-2.9178535127960536E-4</v>
      </c>
    </row>
    <row r="263" spans="1:4" x14ac:dyDescent="0.25">
      <c r="A263" s="13">
        <v>40557</v>
      </c>
      <c r="B263" t="s">
        <v>31</v>
      </c>
      <c r="C263">
        <v>310.92512429999999</v>
      </c>
      <c r="D263">
        <v>1.2145495974233089E-2</v>
      </c>
    </row>
    <row r="264" spans="1:4" x14ac:dyDescent="0.25">
      <c r="A264" s="13">
        <v>40561</v>
      </c>
      <c r="B264" t="s">
        <v>31</v>
      </c>
      <c r="C264">
        <v>318.62127370000002</v>
      </c>
      <c r="D264">
        <v>2.475242043346193E-2</v>
      </c>
    </row>
    <row r="265" spans="1:4" x14ac:dyDescent="0.25">
      <c r="A265" s="13">
        <v>40562</v>
      </c>
      <c r="B265" t="s">
        <v>31</v>
      </c>
      <c r="C265">
        <v>314.69597420000002</v>
      </c>
      <c r="D265">
        <v>-1.2319640350493044E-2</v>
      </c>
    </row>
    <row r="266" spans="1:4" x14ac:dyDescent="0.25">
      <c r="A266" s="13">
        <v>40563</v>
      </c>
      <c r="B266" t="s">
        <v>31</v>
      </c>
      <c r="C266">
        <v>312.21528749999999</v>
      </c>
      <c r="D266">
        <v>-7.8828040501829344E-3</v>
      </c>
    </row>
    <row r="267" spans="1:4" x14ac:dyDescent="0.25">
      <c r="A267" s="13">
        <v>40564</v>
      </c>
      <c r="B267" t="s">
        <v>31</v>
      </c>
      <c r="C267">
        <v>304.77316680000001</v>
      </c>
      <c r="D267">
        <v>-2.3836503201336567E-2</v>
      </c>
    </row>
    <row r="268" spans="1:4" x14ac:dyDescent="0.25">
      <c r="A268" s="13">
        <v>40567</v>
      </c>
      <c r="B268" t="s">
        <v>31</v>
      </c>
      <c r="C268">
        <v>304.39956969999997</v>
      </c>
      <c r="D268">
        <v>-1.2258201859522977E-3</v>
      </c>
    </row>
    <row r="269" spans="1:4" x14ac:dyDescent="0.25">
      <c r="A269" s="13">
        <v>40568</v>
      </c>
      <c r="B269" t="s">
        <v>31</v>
      </c>
      <c r="C269">
        <v>308.79807599999998</v>
      </c>
      <c r="D269">
        <v>1.4449778310577033E-2</v>
      </c>
    </row>
    <row r="270" spans="1:4" x14ac:dyDescent="0.25">
      <c r="A270" s="13">
        <v>40569</v>
      </c>
      <c r="B270" t="s">
        <v>31</v>
      </c>
      <c r="C270">
        <v>307.09943390000001</v>
      </c>
      <c r="D270">
        <v>-5.5008182758236046E-3</v>
      </c>
    </row>
    <row r="271" spans="1:4" x14ac:dyDescent="0.25">
      <c r="A271" s="13">
        <v>40570</v>
      </c>
      <c r="B271" t="s">
        <v>31</v>
      </c>
      <c r="C271">
        <v>307.24390440000002</v>
      </c>
      <c r="D271">
        <v>4.7043557900883215E-4</v>
      </c>
    </row>
    <row r="272" spans="1:4" x14ac:dyDescent="0.25">
      <c r="A272" s="13">
        <v>40571</v>
      </c>
      <c r="B272" t="s">
        <v>31</v>
      </c>
      <c r="C272">
        <v>299.37337710000003</v>
      </c>
      <c r="D272">
        <v>-2.5616544990111123E-2</v>
      </c>
    </row>
    <row r="273" spans="1:4" x14ac:dyDescent="0.25">
      <c r="A273" s="13">
        <v>40574</v>
      </c>
      <c r="B273" t="s">
        <v>31</v>
      </c>
      <c r="C273">
        <v>299.05956429999998</v>
      </c>
      <c r="D273">
        <v>-1.0482321542414352E-3</v>
      </c>
    </row>
    <row r="274" spans="1:4" x14ac:dyDescent="0.25">
      <c r="A274" s="13">
        <v>40575</v>
      </c>
      <c r="B274" t="s">
        <v>31</v>
      </c>
      <c r="C274">
        <v>304.37964190000002</v>
      </c>
      <c r="D274">
        <v>1.7789357823925878E-2</v>
      </c>
    </row>
    <row r="275" spans="1:4" x14ac:dyDescent="0.25">
      <c r="A275" s="13">
        <v>40576</v>
      </c>
      <c r="B275" t="s">
        <v>31</v>
      </c>
      <c r="C275">
        <v>304.85785290000001</v>
      </c>
      <c r="D275">
        <v>1.5711004751004509E-3</v>
      </c>
    </row>
    <row r="276" spans="1:4" x14ac:dyDescent="0.25">
      <c r="A276" s="13">
        <v>40577</v>
      </c>
      <c r="B276" t="s">
        <v>31</v>
      </c>
      <c r="C276">
        <v>303.93628169999999</v>
      </c>
      <c r="D276">
        <v>-3.0229537839797649E-3</v>
      </c>
    </row>
    <row r="277" spans="1:4" x14ac:dyDescent="0.25">
      <c r="A277" s="13">
        <v>40578</v>
      </c>
      <c r="B277" t="s">
        <v>31</v>
      </c>
      <c r="C277">
        <v>304.34973450000001</v>
      </c>
      <c r="D277">
        <v>1.3603272294029356E-3</v>
      </c>
    </row>
    <row r="278" spans="1:4" x14ac:dyDescent="0.25">
      <c r="A278" s="13">
        <v>40581</v>
      </c>
      <c r="B278" t="s">
        <v>31</v>
      </c>
      <c r="C278">
        <v>305.99857170000001</v>
      </c>
      <c r="D278">
        <v>5.4175739719595217E-3</v>
      </c>
    </row>
    <row r="279" spans="1:4" x14ac:dyDescent="0.25">
      <c r="A279" s="13">
        <v>40582</v>
      </c>
      <c r="B279" t="s">
        <v>31</v>
      </c>
      <c r="C279">
        <v>308.0359287</v>
      </c>
      <c r="D279">
        <v>6.6580604892412243E-3</v>
      </c>
    </row>
    <row r="280" spans="1:4" x14ac:dyDescent="0.25">
      <c r="A280" s="13">
        <v>40583</v>
      </c>
      <c r="B280" t="s">
        <v>31</v>
      </c>
      <c r="C280">
        <v>307.09943390000001</v>
      </c>
      <c r="D280">
        <v>-3.0402128866988676E-3</v>
      </c>
    </row>
    <row r="281" spans="1:4" x14ac:dyDescent="0.25">
      <c r="A281" s="13">
        <v>40584</v>
      </c>
      <c r="B281" t="s">
        <v>31</v>
      </c>
      <c r="C281">
        <v>307.06955740000001</v>
      </c>
      <c r="D281">
        <v>-9.7286079692726624E-5</v>
      </c>
    </row>
    <row r="282" spans="1:4" x14ac:dyDescent="0.25">
      <c r="A282" s="13">
        <v>40585</v>
      </c>
      <c r="B282" t="s">
        <v>31</v>
      </c>
      <c r="C282">
        <v>311.08451789999998</v>
      </c>
      <c r="D282">
        <v>1.3075084791847047E-2</v>
      </c>
    </row>
    <row r="283" spans="1:4" x14ac:dyDescent="0.25">
      <c r="A283" s="13">
        <v>40588</v>
      </c>
      <c r="B283" t="s">
        <v>31</v>
      </c>
      <c r="C283">
        <v>312.90269740000002</v>
      </c>
      <c r="D283">
        <v>5.8446479827212183E-3</v>
      </c>
    </row>
    <row r="284" spans="1:4" x14ac:dyDescent="0.25">
      <c r="A284" s="13">
        <v>40589</v>
      </c>
      <c r="B284" t="s">
        <v>31</v>
      </c>
      <c r="C284">
        <v>310.91017040000003</v>
      </c>
      <c r="D284">
        <v>-6.3678805473921241E-3</v>
      </c>
    </row>
    <row r="285" spans="1:4" x14ac:dyDescent="0.25">
      <c r="A285" s="13">
        <v>40590</v>
      </c>
      <c r="B285" t="s">
        <v>31</v>
      </c>
      <c r="C285">
        <v>310.94502169999998</v>
      </c>
      <c r="D285">
        <v>1.1209443536408514E-4</v>
      </c>
    </row>
    <row r="286" spans="1:4" x14ac:dyDescent="0.25">
      <c r="A286" s="13">
        <v>40591</v>
      </c>
      <c r="B286" t="s">
        <v>31</v>
      </c>
      <c r="C286">
        <v>311.4630889</v>
      </c>
      <c r="D286">
        <v>1.6661054650999318E-3</v>
      </c>
    </row>
    <row r="287" spans="1:4" x14ac:dyDescent="0.25">
      <c r="A287" s="13">
        <v>40592</v>
      </c>
      <c r="B287" t="s">
        <v>31</v>
      </c>
      <c r="C287">
        <v>313.86409429999998</v>
      </c>
      <c r="D287">
        <v>7.7087959555004471E-3</v>
      </c>
    </row>
    <row r="288" spans="1:4" x14ac:dyDescent="0.25">
      <c r="A288" s="13">
        <v>40596</v>
      </c>
      <c r="B288" t="s">
        <v>31</v>
      </c>
      <c r="C288">
        <v>303.96618910000001</v>
      </c>
      <c r="D288">
        <v>-3.1535640360758399E-2</v>
      </c>
    </row>
    <row r="289" spans="1:4" x14ac:dyDescent="0.25">
      <c r="A289" s="13">
        <v>40597</v>
      </c>
      <c r="B289" t="s">
        <v>31</v>
      </c>
      <c r="C289">
        <v>304.51910709999999</v>
      </c>
      <c r="D289">
        <v>1.8190115211071944E-3</v>
      </c>
    </row>
    <row r="290" spans="1:4" x14ac:dyDescent="0.25">
      <c r="A290" s="13">
        <v>40598</v>
      </c>
      <c r="B290" t="s">
        <v>31</v>
      </c>
      <c r="C290">
        <v>303.27377439999998</v>
      </c>
      <c r="D290">
        <v>-4.0895059487714436E-3</v>
      </c>
    </row>
    <row r="291" spans="1:4" x14ac:dyDescent="0.25">
      <c r="A291" s="13">
        <v>40599</v>
      </c>
      <c r="B291" t="s">
        <v>31</v>
      </c>
      <c r="C291">
        <v>303.88150250000001</v>
      </c>
      <c r="D291">
        <v>2.003892691355702E-3</v>
      </c>
    </row>
    <row r="292" spans="1:4" x14ac:dyDescent="0.25">
      <c r="A292" s="13">
        <v>40602</v>
      </c>
      <c r="B292" t="s">
        <v>31</v>
      </c>
      <c r="C292">
        <v>305.5552419</v>
      </c>
      <c r="D292">
        <v>5.5078686469243188E-3</v>
      </c>
    </row>
    <row r="293" spans="1:4" x14ac:dyDescent="0.25">
      <c r="A293" s="13">
        <v>40603</v>
      </c>
      <c r="B293" t="s">
        <v>31</v>
      </c>
      <c r="C293">
        <v>299.25881399999997</v>
      </c>
      <c r="D293">
        <v>-2.0606512461863402E-2</v>
      </c>
    </row>
    <row r="294" spans="1:4" x14ac:dyDescent="0.25">
      <c r="A294" s="13">
        <v>40604</v>
      </c>
      <c r="B294" t="s">
        <v>31</v>
      </c>
      <c r="C294">
        <v>299.2737674</v>
      </c>
      <c r="D294">
        <v>4.9968118900567404E-5</v>
      </c>
    </row>
    <row r="295" spans="1:4" x14ac:dyDescent="0.25">
      <c r="A295" s="13">
        <v>40605</v>
      </c>
      <c r="B295" t="s">
        <v>31</v>
      </c>
      <c r="C295">
        <v>303.64239679999997</v>
      </c>
      <c r="D295">
        <v>1.4597435110846213E-2</v>
      </c>
    </row>
    <row r="296" spans="1:4" x14ac:dyDescent="0.25">
      <c r="A296" s="13">
        <v>40606</v>
      </c>
      <c r="B296" t="s">
        <v>31</v>
      </c>
      <c r="C296">
        <v>299.18908140000002</v>
      </c>
      <c r="D296">
        <v>-1.4666316189478668E-2</v>
      </c>
    </row>
    <row r="297" spans="1:4" x14ac:dyDescent="0.25">
      <c r="A297" s="13">
        <v>40609</v>
      </c>
      <c r="B297" t="s">
        <v>31</v>
      </c>
      <c r="C297">
        <v>294.72581680000002</v>
      </c>
      <c r="D297">
        <v>-1.4917872601215909E-2</v>
      </c>
    </row>
    <row r="298" spans="1:4" x14ac:dyDescent="0.25">
      <c r="A298" s="13">
        <v>40610</v>
      </c>
      <c r="B298" t="s">
        <v>31</v>
      </c>
      <c r="C298">
        <v>295.04957819999998</v>
      </c>
      <c r="D298">
        <v>1.098517271120647E-3</v>
      </c>
    </row>
    <row r="299" spans="1:4" x14ac:dyDescent="0.25">
      <c r="A299" s="13">
        <v>40611</v>
      </c>
      <c r="B299" t="s">
        <v>31</v>
      </c>
      <c r="C299">
        <v>294.780596</v>
      </c>
      <c r="D299">
        <v>-9.1165085420885639E-4</v>
      </c>
    </row>
    <row r="300" spans="1:4" x14ac:dyDescent="0.25">
      <c r="A300" s="13">
        <v>40612</v>
      </c>
      <c r="B300" t="s">
        <v>31</v>
      </c>
      <c r="C300">
        <v>289.0669934</v>
      </c>
      <c r="D300">
        <v>-1.9382560037974783E-2</v>
      </c>
    </row>
    <row r="301" spans="1:4" x14ac:dyDescent="0.25">
      <c r="A301" s="13">
        <v>40613</v>
      </c>
      <c r="B301" t="s">
        <v>31</v>
      </c>
      <c r="C301">
        <v>287.27869090000002</v>
      </c>
      <c r="D301">
        <v>-6.1864638330582089E-3</v>
      </c>
    </row>
    <row r="302" spans="1:4" x14ac:dyDescent="0.25">
      <c r="A302" s="13">
        <v>40616</v>
      </c>
      <c r="B302" t="s">
        <v>31</v>
      </c>
      <c r="C302">
        <v>283.9312425</v>
      </c>
      <c r="D302">
        <v>-1.1652268358342099E-2</v>
      </c>
    </row>
    <row r="303" spans="1:4" x14ac:dyDescent="0.25">
      <c r="A303" s="13">
        <v>40617</v>
      </c>
      <c r="B303" t="s">
        <v>31</v>
      </c>
      <c r="C303">
        <v>283.71703939999998</v>
      </c>
      <c r="D303">
        <v>-7.5441891534711036E-4</v>
      </c>
    </row>
    <row r="304" spans="1:4" x14ac:dyDescent="0.25">
      <c r="A304" s="13">
        <v>40618</v>
      </c>
      <c r="B304" t="s">
        <v>31</v>
      </c>
      <c r="C304">
        <v>277.51030229999998</v>
      </c>
      <c r="D304">
        <v>-2.1876504538204333E-2</v>
      </c>
    </row>
    <row r="305" spans="1:4" x14ac:dyDescent="0.25">
      <c r="A305" s="13">
        <v>40619</v>
      </c>
      <c r="B305" t="s">
        <v>31</v>
      </c>
      <c r="C305">
        <v>279.6323458</v>
      </c>
      <c r="D305">
        <v>7.6467197160341449E-3</v>
      </c>
    </row>
    <row r="306" spans="1:4" x14ac:dyDescent="0.25">
      <c r="A306" s="13">
        <v>40620</v>
      </c>
      <c r="B306" t="s">
        <v>31</v>
      </c>
      <c r="C306">
        <v>279.48290100000003</v>
      </c>
      <c r="D306">
        <v>-5.3443316642221017E-4</v>
      </c>
    </row>
    <row r="307" spans="1:4" x14ac:dyDescent="0.25">
      <c r="A307" s="13">
        <v>40623</v>
      </c>
      <c r="B307" t="s">
        <v>31</v>
      </c>
      <c r="C307">
        <v>287.17410690000003</v>
      </c>
      <c r="D307">
        <v>2.7519414863952596E-2</v>
      </c>
    </row>
    <row r="308" spans="1:4" x14ac:dyDescent="0.25">
      <c r="A308" s="13">
        <v>40624</v>
      </c>
      <c r="B308" t="s">
        <v>31</v>
      </c>
      <c r="C308">
        <v>287.58255500000001</v>
      </c>
      <c r="D308">
        <v>1.4223012806033886E-3</v>
      </c>
    </row>
    <row r="309" spans="1:4" x14ac:dyDescent="0.25">
      <c r="A309" s="13">
        <v>40625</v>
      </c>
      <c r="B309" t="s">
        <v>31</v>
      </c>
      <c r="C309">
        <v>289.993539</v>
      </c>
      <c r="D309">
        <v>8.3836239649515143E-3</v>
      </c>
    </row>
    <row r="310" spans="1:4" x14ac:dyDescent="0.25">
      <c r="A310" s="13">
        <v>40626</v>
      </c>
      <c r="B310" t="s">
        <v>31</v>
      </c>
      <c r="C310">
        <v>292.34971400000001</v>
      </c>
      <c r="D310">
        <v>8.1249223969779294E-3</v>
      </c>
    </row>
    <row r="311" spans="1:4" x14ac:dyDescent="0.25">
      <c r="A311" s="13">
        <v>40627</v>
      </c>
      <c r="B311" t="s">
        <v>31</v>
      </c>
      <c r="C311">
        <v>288.7880624</v>
      </c>
      <c r="D311">
        <v>-1.218284619221488E-2</v>
      </c>
    </row>
    <row r="312" spans="1:4" x14ac:dyDescent="0.25">
      <c r="A312" s="13">
        <v>40630</v>
      </c>
      <c r="B312" t="s">
        <v>31</v>
      </c>
      <c r="C312">
        <v>286.60623500000003</v>
      </c>
      <c r="D312">
        <v>-7.5551163087134166E-3</v>
      </c>
    </row>
    <row r="313" spans="1:4" x14ac:dyDescent="0.25">
      <c r="A313" s="13">
        <v>40631</v>
      </c>
      <c r="B313" t="s">
        <v>31</v>
      </c>
      <c r="C313">
        <v>289.77933589999998</v>
      </c>
      <c r="D313">
        <v>1.1071290546069035E-2</v>
      </c>
    </row>
    <row r="314" spans="1:4" x14ac:dyDescent="0.25">
      <c r="A314" s="13">
        <v>40632</v>
      </c>
      <c r="B314" t="s">
        <v>31</v>
      </c>
      <c r="C314">
        <v>289.83411510000002</v>
      </c>
      <c r="D314">
        <v>1.8903763386002304E-4</v>
      </c>
    </row>
    <row r="315" spans="1:4" x14ac:dyDescent="0.25">
      <c r="A315" s="13">
        <v>40633</v>
      </c>
      <c r="B315" t="s">
        <v>31</v>
      </c>
      <c r="C315">
        <v>292.28495570000001</v>
      </c>
      <c r="D315">
        <v>8.4560114641936135E-3</v>
      </c>
    </row>
    <row r="316" spans="1:4" x14ac:dyDescent="0.25">
      <c r="A316" s="13">
        <v>40634</v>
      </c>
      <c r="B316" t="s">
        <v>31</v>
      </c>
      <c r="C316">
        <v>294.79554940000003</v>
      </c>
      <c r="D316">
        <v>8.5895413056320535E-3</v>
      </c>
    </row>
    <row r="317" spans="1:4" x14ac:dyDescent="0.25">
      <c r="A317" s="13">
        <v>40637</v>
      </c>
      <c r="B317" t="s">
        <v>31</v>
      </c>
      <c r="C317">
        <v>292.74323900000002</v>
      </c>
      <c r="D317">
        <v>-6.9618093087805422E-3</v>
      </c>
    </row>
    <row r="318" spans="1:4" x14ac:dyDescent="0.25">
      <c r="A318" s="13">
        <v>40638</v>
      </c>
      <c r="B318" t="s">
        <v>31</v>
      </c>
      <c r="C318">
        <v>283.48293840000002</v>
      </c>
      <c r="D318">
        <v>-3.1632841911679477E-2</v>
      </c>
    </row>
    <row r="319" spans="1:4" x14ac:dyDescent="0.25">
      <c r="A319" s="13">
        <v>40639</v>
      </c>
      <c r="B319" t="s">
        <v>31</v>
      </c>
      <c r="C319">
        <v>286.0184347</v>
      </c>
      <c r="D319">
        <v>8.9440878322712969E-3</v>
      </c>
    </row>
    <row r="320" spans="1:4" x14ac:dyDescent="0.25">
      <c r="A320" s="13">
        <v>40640</v>
      </c>
      <c r="B320" t="s">
        <v>31</v>
      </c>
      <c r="C320">
        <v>288.91754859999998</v>
      </c>
      <c r="D320">
        <v>1.0136108545034217E-2</v>
      </c>
    </row>
    <row r="321" spans="1:4" x14ac:dyDescent="0.25">
      <c r="A321" s="13">
        <v>40641</v>
      </c>
      <c r="B321" t="s">
        <v>31</v>
      </c>
      <c r="C321">
        <v>288.00098209999999</v>
      </c>
      <c r="D321">
        <v>-3.1724154674624971E-3</v>
      </c>
    </row>
    <row r="322" spans="1:4" x14ac:dyDescent="0.25">
      <c r="A322" s="13">
        <v>40644</v>
      </c>
      <c r="B322" t="s">
        <v>31</v>
      </c>
      <c r="C322">
        <v>287.60745709999998</v>
      </c>
      <c r="D322">
        <v>-1.3664015904757409E-3</v>
      </c>
    </row>
    <row r="323" spans="1:4" x14ac:dyDescent="0.25">
      <c r="A323" s="13">
        <v>40645</v>
      </c>
      <c r="B323" t="s">
        <v>31</v>
      </c>
      <c r="C323">
        <v>284.24008090000001</v>
      </c>
      <c r="D323">
        <v>-1.1708236754199075E-2</v>
      </c>
    </row>
    <row r="324" spans="1:4" x14ac:dyDescent="0.25">
      <c r="A324" s="13">
        <v>40646</v>
      </c>
      <c r="B324" t="s">
        <v>31</v>
      </c>
      <c r="C324">
        <v>287.06451820000001</v>
      </c>
      <c r="D324">
        <v>9.9368016328200692E-3</v>
      </c>
    </row>
    <row r="325" spans="1:4" x14ac:dyDescent="0.25">
      <c r="A325" s="13">
        <v>40647</v>
      </c>
      <c r="B325" t="s">
        <v>31</v>
      </c>
      <c r="C325">
        <v>288.1753291</v>
      </c>
      <c r="D325">
        <v>3.8695513711175522E-3</v>
      </c>
    </row>
    <row r="326" spans="1:4" x14ac:dyDescent="0.25">
      <c r="A326" s="13">
        <v>40648</v>
      </c>
      <c r="B326" t="s">
        <v>31</v>
      </c>
      <c r="C326">
        <v>264.35958440000002</v>
      </c>
      <c r="D326">
        <v>-8.2643246298629736E-2</v>
      </c>
    </row>
    <row r="327" spans="1:4" x14ac:dyDescent="0.25">
      <c r="A327" s="13">
        <v>40651</v>
      </c>
      <c r="B327" t="s">
        <v>31</v>
      </c>
      <c r="C327">
        <v>262.43675960000002</v>
      </c>
      <c r="D327">
        <v>-7.2735202862574955E-3</v>
      </c>
    </row>
    <row r="328" spans="1:4" x14ac:dyDescent="0.25">
      <c r="A328" s="13">
        <v>40652</v>
      </c>
      <c r="B328" t="s">
        <v>31</v>
      </c>
      <c r="C328">
        <v>259.7916745</v>
      </c>
      <c r="D328">
        <v>-1.0078942843340988E-2</v>
      </c>
    </row>
    <row r="329" spans="1:4" x14ac:dyDescent="0.25">
      <c r="A329" s="13">
        <v>40653</v>
      </c>
      <c r="B329" t="s">
        <v>31</v>
      </c>
      <c r="C329">
        <v>261.88384159999998</v>
      </c>
      <c r="D329">
        <v>8.0532492198859273E-3</v>
      </c>
    </row>
    <row r="330" spans="1:4" x14ac:dyDescent="0.25">
      <c r="A330" s="13">
        <v>40654</v>
      </c>
      <c r="B330" t="s">
        <v>31</v>
      </c>
      <c r="C330">
        <v>261.57002879999999</v>
      </c>
      <c r="D330">
        <v>-1.1982900437182975E-3</v>
      </c>
    </row>
    <row r="331" spans="1:4" x14ac:dyDescent="0.25">
      <c r="A331" s="13">
        <v>40658</v>
      </c>
      <c r="B331" t="s">
        <v>31</v>
      </c>
      <c r="C331">
        <v>261.54512620000003</v>
      </c>
      <c r="D331">
        <v>-9.5204332523191049E-5</v>
      </c>
    </row>
    <row r="332" spans="1:4" x14ac:dyDescent="0.25">
      <c r="A332" s="13">
        <v>40659</v>
      </c>
      <c r="B332" t="s">
        <v>31</v>
      </c>
      <c r="C332">
        <v>265.41561610000002</v>
      </c>
      <c r="D332">
        <v>1.4798554865978586E-2</v>
      </c>
    </row>
    <row r="333" spans="1:4" x14ac:dyDescent="0.25">
      <c r="A333" s="13">
        <v>40660</v>
      </c>
      <c r="B333" t="s">
        <v>31</v>
      </c>
      <c r="C333">
        <v>267.87640549999998</v>
      </c>
      <c r="D333">
        <v>9.2714567294820416E-3</v>
      </c>
    </row>
    <row r="334" spans="1:4" x14ac:dyDescent="0.25">
      <c r="A334" s="13">
        <v>40661</v>
      </c>
      <c r="B334" t="s">
        <v>31</v>
      </c>
      <c r="C334">
        <v>267.98098950000002</v>
      </c>
      <c r="D334">
        <v>3.9041885680379806E-4</v>
      </c>
    </row>
    <row r="335" spans="1:4" x14ac:dyDescent="0.25">
      <c r="A335" s="13">
        <v>40662</v>
      </c>
      <c r="B335" t="s">
        <v>31</v>
      </c>
      <c r="C335">
        <v>271.03455300000002</v>
      </c>
      <c r="D335">
        <v>1.1394701936496832E-2</v>
      </c>
    </row>
    <row r="336" spans="1:4" x14ac:dyDescent="0.25">
      <c r="A336" s="13">
        <v>40665</v>
      </c>
      <c r="B336" t="s">
        <v>31</v>
      </c>
      <c r="C336">
        <v>268.2749048</v>
      </c>
      <c r="D336">
        <v>-1.0181905478302666E-2</v>
      </c>
    </row>
    <row r="337" spans="1:4" x14ac:dyDescent="0.25">
      <c r="A337" s="13">
        <v>40666</v>
      </c>
      <c r="B337" t="s">
        <v>31</v>
      </c>
      <c r="C337">
        <v>265.94860679999999</v>
      </c>
      <c r="D337">
        <v>-8.6713216867386755E-3</v>
      </c>
    </row>
    <row r="338" spans="1:4" x14ac:dyDescent="0.25">
      <c r="A338" s="13">
        <v>40667</v>
      </c>
      <c r="B338" t="s">
        <v>31</v>
      </c>
      <c r="C338">
        <v>266.8950802</v>
      </c>
      <c r="D338">
        <v>3.5588582748686814E-3</v>
      </c>
    </row>
    <row r="339" spans="1:4" x14ac:dyDescent="0.25">
      <c r="A339" s="13">
        <v>40668</v>
      </c>
      <c r="B339" t="s">
        <v>31</v>
      </c>
      <c r="C339">
        <v>266.13790729999999</v>
      </c>
      <c r="D339">
        <v>-2.8369683676170432E-3</v>
      </c>
    </row>
    <row r="340" spans="1:4" x14ac:dyDescent="0.25">
      <c r="A340" s="13">
        <v>40669</v>
      </c>
      <c r="B340" t="s">
        <v>31</v>
      </c>
      <c r="C340">
        <v>266.65100059999997</v>
      </c>
      <c r="D340">
        <v>1.927922651851377E-3</v>
      </c>
    </row>
    <row r="341" spans="1:4" x14ac:dyDescent="0.25">
      <c r="A341" s="13">
        <v>40672</v>
      </c>
      <c r="B341" t="s">
        <v>31</v>
      </c>
      <c r="C341">
        <v>267.83654940000002</v>
      </c>
      <c r="D341">
        <v>4.4460691965617638E-3</v>
      </c>
    </row>
    <row r="342" spans="1:4" x14ac:dyDescent="0.25">
      <c r="A342" s="13">
        <v>40673</v>
      </c>
      <c r="B342" t="s">
        <v>31</v>
      </c>
      <c r="C342">
        <v>270.3172361</v>
      </c>
      <c r="D342">
        <v>9.2619424255471205E-3</v>
      </c>
    </row>
    <row r="343" spans="1:4" x14ac:dyDescent="0.25">
      <c r="A343" s="13">
        <v>40674</v>
      </c>
      <c r="B343" t="s">
        <v>31</v>
      </c>
      <c r="C343">
        <v>266.72570760000002</v>
      </c>
      <c r="D343">
        <v>-1.32863466341131E-2</v>
      </c>
    </row>
    <row r="344" spans="1:4" x14ac:dyDescent="0.25">
      <c r="A344" s="13">
        <v>40675</v>
      </c>
      <c r="B344" t="s">
        <v>31</v>
      </c>
      <c r="C344">
        <v>266.52645790000003</v>
      </c>
      <c r="D344">
        <v>-7.4702098194001643E-4</v>
      </c>
    </row>
    <row r="345" spans="1:4" x14ac:dyDescent="0.25">
      <c r="A345" s="13">
        <v>40676</v>
      </c>
      <c r="B345" t="s">
        <v>31</v>
      </c>
      <c r="C345">
        <v>263.78670720000002</v>
      </c>
      <c r="D345">
        <v>-1.027946989423445E-2</v>
      </c>
    </row>
    <row r="346" spans="1:4" x14ac:dyDescent="0.25">
      <c r="A346" s="13">
        <v>40679</v>
      </c>
      <c r="B346" t="s">
        <v>31</v>
      </c>
      <c r="C346">
        <v>258.24247780000002</v>
      </c>
      <c r="D346">
        <v>-2.1017849833488533E-2</v>
      </c>
    </row>
    <row r="347" spans="1:4" x14ac:dyDescent="0.25">
      <c r="A347" s="13">
        <v>40680</v>
      </c>
      <c r="B347" t="s">
        <v>31</v>
      </c>
      <c r="C347">
        <v>264.24001600000003</v>
      </c>
      <c r="D347">
        <v>2.3224444913531705E-2</v>
      </c>
    </row>
    <row r="348" spans="1:4" x14ac:dyDescent="0.25">
      <c r="A348" s="13">
        <v>40681</v>
      </c>
      <c r="B348" t="s">
        <v>31</v>
      </c>
      <c r="C348">
        <v>263.91622419999999</v>
      </c>
      <c r="D348">
        <v>-1.2253700438772386E-3</v>
      </c>
    </row>
    <row r="349" spans="1:4" x14ac:dyDescent="0.25">
      <c r="A349" s="13">
        <v>40682</v>
      </c>
      <c r="B349" t="s">
        <v>31</v>
      </c>
      <c r="C349">
        <v>264.63354099999998</v>
      </c>
      <c r="D349">
        <v>2.7179715918350666E-3</v>
      </c>
    </row>
    <row r="350" spans="1:4" x14ac:dyDescent="0.25">
      <c r="A350" s="13">
        <v>40683</v>
      </c>
      <c r="B350" t="s">
        <v>31</v>
      </c>
      <c r="C350">
        <v>261.0370077</v>
      </c>
      <c r="D350">
        <v>-1.3590617751662815E-2</v>
      </c>
    </row>
    <row r="351" spans="1:4" x14ac:dyDescent="0.25">
      <c r="A351" s="13">
        <v>40686</v>
      </c>
      <c r="B351" t="s">
        <v>31</v>
      </c>
      <c r="C351">
        <v>258.22755469999998</v>
      </c>
      <c r="D351">
        <v>-1.0762661680633445E-2</v>
      </c>
    </row>
    <row r="352" spans="1:4" x14ac:dyDescent="0.25">
      <c r="A352" s="13">
        <v>40687</v>
      </c>
      <c r="B352" t="s">
        <v>31</v>
      </c>
      <c r="C352">
        <v>258.16279600000001</v>
      </c>
      <c r="D352">
        <v>-2.5078152513668961E-4</v>
      </c>
    </row>
    <row r="353" spans="1:4" x14ac:dyDescent="0.25">
      <c r="A353" s="13">
        <v>40688</v>
      </c>
      <c r="B353" t="s">
        <v>31</v>
      </c>
      <c r="C353">
        <v>258.86515930000002</v>
      </c>
      <c r="D353">
        <v>2.7206216809023687E-3</v>
      </c>
    </row>
    <row r="354" spans="1:4" x14ac:dyDescent="0.25">
      <c r="A354" s="13">
        <v>40689</v>
      </c>
      <c r="B354" t="s">
        <v>31</v>
      </c>
      <c r="C354">
        <v>258.09803770000002</v>
      </c>
      <c r="D354">
        <v>-2.963402267320836E-3</v>
      </c>
    </row>
    <row r="355" spans="1:4" x14ac:dyDescent="0.25">
      <c r="A355" s="13">
        <v>40690</v>
      </c>
      <c r="B355" t="s">
        <v>31</v>
      </c>
      <c r="C355">
        <v>259.47786180000003</v>
      </c>
      <c r="D355">
        <v>5.346123946916137E-3</v>
      </c>
    </row>
    <row r="356" spans="1:4" x14ac:dyDescent="0.25">
      <c r="A356" s="13">
        <v>40694</v>
      </c>
      <c r="B356" t="s">
        <v>31</v>
      </c>
      <c r="C356">
        <v>263.52269919999998</v>
      </c>
      <c r="D356">
        <v>1.5588371863175077E-2</v>
      </c>
    </row>
    <row r="357" spans="1:4" x14ac:dyDescent="0.25">
      <c r="A357" s="13">
        <v>40695</v>
      </c>
      <c r="B357" t="s">
        <v>31</v>
      </c>
      <c r="C357">
        <v>261.81908279999999</v>
      </c>
      <c r="D357">
        <v>-6.4647804730743053E-3</v>
      </c>
    </row>
    <row r="358" spans="1:4" x14ac:dyDescent="0.25">
      <c r="A358" s="13">
        <v>40696</v>
      </c>
      <c r="B358" t="s">
        <v>31</v>
      </c>
      <c r="C358">
        <v>263.04448769999999</v>
      </c>
      <c r="D358">
        <v>4.6803498312462111E-3</v>
      </c>
    </row>
    <row r="359" spans="1:4" x14ac:dyDescent="0.25">
      <c r="A359" s="13">
        <v>40697</v>
      </c>
      <c r="B359" t="s">
        <v>31</v>
      </c>
      <c r="C359">
        <v>260.56380139999999</v>
      </c>
      <c r="D359">
        <v>-9.4306720573791303E-3</v>
      </c>
    </row>
    <row r="360" spans="1:4" x14ac:dyDescent="0.25">
      <c r="A360" s="13">
        <v>40700</v>
      </c>
      <c r="B360" t="s">
        <v>31</v>
      </c>
      <c r="C360">
        <v>259.55757399999999</v>
      </c>
      <c r="D360">
        <v>-3.8617313479215598E-3</v>
      </c>
    </row>
    <row r="361" spans="1:4" x14ac:dyDescent="0.25">
      <c r="A361" s="13">
        <v>40701</v>
      </c>
      <c r="B361" t="s">
        <v>31</v>
      </c>
      <c r="C361">
        <v>258.54634179999999</v>
      </c>
      <c r="D361">
        <v>-3.8959841718970711E-3</v>
      </c>
    </row>
    <row r="362" spans="1:4" x14ac:dyDescent="0.25">
      <c r="A362" s="13">
        <v>40702</v>
      </c>
      <c r="B362" t="s">
        <v>31</v>
      </c>
      <c r="C362">
        <v>258.61607450000002</v>
      </c>
      <c r="D362">
        <v>2.697106426436946E-4</v>
      </c>
    </row>
    <row r="363" spans="1:4" x14ac:dyDescent="0.25">
      <c r="A363" s="13">
        <v>40703</v>
      </c>
      <c r="B363" t="s">
        <v>31</v>
      </c>
      <c r="C363">
        <v>257.40064869999998</v>
      </c>
      <c r="D363">
        <v>-4.6997302946072406E-3</v>
      </c>
    </row>
    <row r="364" spans="1:4" x14ac:dyDescent="0.25">
      <c r="A364" s="13">
        <v>40704</v>
      </c>
      <c r="B364" t="s">
        <v>31</v>
      </c>
      <c r="C364">
        <v>253.8041154</v>
      </c>
      <c r="D364">
        <v>-1.3972510629496226E-2</v>
      </c>
    </row>
    <row r="365" spans="1:4" x14ac:dyDescent="0.25">
      <c r="A365" s="13">
        <v>40707</v>
      </c>
      <c r="B365" t="s">
        <v>31</v>
      </c>
      <c r="C365">
        <v>251.42303870000001</v>
      </c>
      <c r="D365">
        <v>-9.3815527626388562E-3</v>
      </c>
    </row>
    <row r="366" spans="1:4" x14ac:dyDescent="0.25">
      <c r="A366" s="13">
        <v>40708</v>
      </c>
      <c r="B366" t="s">
        <v>31</v>
      </c>
      <c r="C366">
        <v>253.23624340000001</v>
      </c>
      <c r="D366">
        <v>7.2117682984633724E-3</v>
      </c>
    </row>
    <row r="367" spans="1:4" x14ac:dyDescent="0.25">
      <c r="A367" s="13">
        <v>40709</v>
      </c>
      <c r="B367" t="s">
        <v>31</v>
      </c>
      <c r="C367">
        <v>250.53636420000001</v>
      </c>
      <c r="D367">
        <v>-1.0661503913306003E-2</v>
      </c>
    </row>
    <row r="368" spans="1:4" x14ac:dyDescent="0.25">
      <c r="A368" s="13">
        <v>40710</v>
      </c>
      <c r="B368" t="s">
        <v>31</v>
      </c>
      <c r="C368">
        <v>249.2511749</v>
      </c>
      <c r="D368">
        <v>-5.1297515396769855E-3</v>
      </c>
    </row>
    <row r="369" spans="1:4" x14ac:dyDescent="0.25">
      <c r="A369" s="13">
        <v>40711</v>
      </c>
      <c r="B369" t="s">
        <v>31</v>
      </c>
      <c r="C369">
        <v>241.60481480000001</v>
      </c>
      <c r="D369">
        <v>-3.0677328213468691E-2</v>
      </c>
    </row>
    <row r="370" spans="1:4" x14ac:dyDescent="0.25">
      <c r="A370" s="13">
        <v>40714</v>
      </c>
      <c r="B370" t="s">
        <v>31</v>
      </c>
      <c r="C370">
        <v>241.38563740000001</v>
      </c>
      <c r="D370">
        <v>-9.0717314628618873E-4</v>
      </c>
    </row>
    <row r="371" spans="1:4" x14ac:dyDescent="0.25">
      <c r="A371" s="13">
        <v>40715</v>
      </c>
      <c r="B371" t="s">
        <v>31</v>
      </c>
      <c r="C371">
        <v>245.5799346</v>
      </c>
      <c r="D371">
        <v>1.7375918655216482E-2</v>
      </c>
    </row>
    <row r="372" spans="1:4" x14ac:dyDescent="0.25">
      <c r="A372" s="13">
        <v>40716</v>
      </c>
      <c r="B372" t="s">
        <v>31</v>
      </c>
      <c r="C372">
        <v>242.59610369999999</v>
      </c>
      <c r="D372">
        <v>-1.2150141276240922E-2</v>
      </c>
    </row>
    <row r="373" spans="1:4" x14ac:dyDescent="0.25">
      <c r="A373" s="13">
        <v>40717</v>
      </c>
      <c r="B373" t="s">
        <v>31</v>
      </c>
      <c r="C373">
        <v>239.213774</v>
      </c>
      <c r="D373">
        <v>-1.3942225981430689E-2</v>
      </c>
    </row>
    <row r="374" spans="1:4" x14ac:dyDescent="0.25">
      <c r="A374" s="13">
        <v>40718</v>
      </c>
      <c r="B374" t="s">
        <v>31</v>
      </c>
      <c r="C374">
        <v>236.55375050000001</v>
      </c>
      <c r="D374">
        <v>-1.1119859260278142E-2</v>
      </c>
    </row>
    <row r="375" spans="1:4" x14ac:dyDescent="0.25">
      <c r="A375" s="13">
        <v>40721</v>
      </c>
      <c r="B375" t="s">
        <v>31</v>
      </c>
      <c r="C375">
        <v>240.49896279999999</v>
      </c>
      <c r="D375">
        <v>1.6677868313907718E-2</v>
      </c>
    </row>
    <row r="376" spans="1:4" x14ac:dyDescent="0.25">
      <c r="A376" s="13">
        <v>40722</v>
      </c>
      <c r="B376" t="s">
        <v>31</v>
      </c>
      <c r="C376">
        <v>245.90371149999999</v>
      </c>
      <c r="D376">
        <v>2.2473064486746352E-2</v>
      </c>
    </row>
    <row r="377" spans="1:4" x14ac:dyDescent="0.25">
      <c r="A377" s="13">
        <v>40723</v>
      </c>
      <c r="B377" t="s">
        <v>31</v>
      </c>
      <c r="C377">
        <v>247.85639739999999</v>
      </c>
      <c r="D377">
        <v>7.9408557442615102E-3</v>
      </c>
    </row>
    <row r="378" spans="1:4" x14ac:dyDescent="0.25">
      <c r="A378" s="13">
        <v>40724</v>
      </c>
      <c r="B378" t="s">
        <v>31</v>
      </c>
      <c r="C378">
        <v>252.24495450000001</v>
      </c>
      <c r="D378">
        <v>1.7706047316251361E-2</v>
      </c>
    </row>
    <row r="379" spans="1:4" x14ac:dyDescent="0.25">
      <c r="A379" s="13">
        <v>40725</v>
      </c>
      <c r="B379" t="s">
        <v>31</v>
      </c>
      <c r="C379">
        <v>259.5426205</v>
      </c>
      <c r="D379">
        <v>2.893087005234829E-2</v>
      </c>
    </row>
    <row r="380" spans="1:4" x14ac:dyDescent="0.25">
      <c r="A380" s="13">
        <v>40729</v>
      </c>
      <c r="B380" t="s">
        <v>31</v>
      </c>
      <c r="C380">
        <v>265.22631519999999</v>
      </c>
      <c r="D380">
        <v>2.1898887701181868E-2</v>
      </c>
    </row>
    <row r="381" spans="1:4" x14ac:dyDescent="0.25">
      <c r="A381" s="13">
        <v>40730</v>
      </c>
      <c r="B381" t="s">
        <v>31</v>
      </c>
      <c r="C381">
        <v>266.68087709999998</v>
      </c>
      <c r="D381">
        <v>5.4842291908445695E-3</v>
      </c>
    </row>
    <row r="382" spans="1:4" x14ac:dyDescent="0.25">
      <c r="A382" s="13">
        <v>40731</v>
      </c>
      <c r="B382" t="s">
        <v>31</v>
      </c>
      <c r="C382">
        <v>272.2798856</v>
      </c>
      <c r="D382">
        <v>2.0995163061131361E-2</v>
      </c>
    </row>
    <row r="383" spans="1:4" x14ac:dyDescent="0.25">
      <c r="A383" s="13">
        <v>40732</v>
      </c>
      <c r="B383" t="s">
        <v>31</v>
      </c>
      <c r="C383">
        <v>265.00216330000001</v>
      </c>
      <c r="D383">
        <v>-2.6728828256860404E-2</v>
      </c>
    </row>
    <row r="384" spans="1:4" x14ac:dyDescent="0.25">
      <c r="A384" s="13">
        <v>40735</v>
      </c>
      <c r="B384" t="s">
        <v>31</v>
      </c>
      <c r="C384">
        <v>262.65596799999997</v>
      </c>
      <c r="D384">
        <v>-8.8534948952245784E-3</v>
      </c>
    </row>
    <row r="385" spans="1:4" x14ac:dyDescent="0.25">
      <c r="A385" s="13">
        <v>40736</v>
      </c>
      <c r="B385" t="s">
        <v>31</v>
      </c>
      <c r="C385">
        <v>266.00839070000001</v>
      </c>
      <c r="D385">
        <v>1.2763550455476613E-2</v>
      </c>
    </row>
    <row r="386" spans="1:4" x14ac:dyDescent="0.25">
      <c r="A386" s="13">
        <v>40737</v>
      </c>
      <c r="B386" t="s">
        <v>31</v>
      </c>
      <c r="C386">
        <v>268.12545999999998</v>
      </c>
      <c r="D386">
        <v>7.9586560951288021E-3</v>
      </c>
    </row>
    <row r="387" spans="1:4" x14ac:dyDescent="0.25">
      <c r="A387" s="13">
        <v>40738</v>
      </c>
      <c r="B387" t="s">
        <v>31</v>
      </c>
      <c r="C387">
        <v>263.48284310000003</v>
      </c>
      <c r="D387">
        <v>-1.7315091599283239E-2</v>
      </c>
    </row>
    <row r="388" spans="1:4" x14ac:dyDescent="0.25">
      <c r="A388" s="13">
        <v>40739</v>
      </c>
      <c r="B388" t="s">
        <v>31</v>
      </c>
      <c r="C388">
        <v>297.69469370000002</v>
      </c>
      <c r="D388">
        <v>0.12984469955417755</v>
      </c>
    </row>
    <row r="389" spans="1:4" x14ac:dyDescent="0.25">
      <c r="A389" s="13">
        <v>40742</v>
      </c>
      <c r="B389" t="s">
        <v>31</v>
      </c>
      <c r="C389">
        <v>296.35966969999998</v>
      </c>
      <c r="D389">
        <v>-4.4845408005337317E-3</v>
      </c>
    </row>
    <row r="390" spans="1:4" x14ac:dyDescent="0.25">
      <c r="A390" s="13">
        <v>40743</v>
      </c>
      <c r="B390" t="s">
        <v>31</v>
      </c>
      <c r="C390">
        <v>300.15047779999998</v>
      </c>
      <c r="D390">
        <v>1.279124147977817E-2</v>
      </c>
    </row>
    <row r="391" spans="1:4" x14ac:dyDescent="0.25">
      <c r="A391" s="13">
        <v>40744</v>
      </c>
      <c r="B391" t="s">
        <v>31</v>
      </c>
      <c r="C391">
        <v>296.56392410000001</v>
      </c>
      <c r="D391">
        <v>-1.1949185376242566E-2</v>
      </c>
    </row>
    <row r="392" spans="1:4" x14ac:dyDescent="0.25">
      <c r="A392" s="13">
        <v>40745</v>
      </c>
      <c r="B392" t="s">
        <v>31</v>
      </c>
      <c r="C392">
        <v>302.36218229999997</v>
      </c>
      <c r="D392">
        <v>1.9551461687716376E-2</v>
      </c>
    </row>
    <row r="393" spans="1:4" x14ac:dyDescent="0.25">
      <c r="A393" s="13">
        <v>40746</v>
      </c>
      <c r="B393" t="s">
        <v>31</v>
      </c>
      <c r="C393">
        <v>307.96122120000001</v>
      </c>
      <c r="D393">
        <v>1.8517656068657296E-2</v>
      </c>
    </row>
    <row r="394" spans="1:4" x14ac:dyDescent="0.25">
      <c r="A394" s="13">
        <v>40749</v>
      </c>
      <c r="B394" t="s">
        <v>31</v>
      </c>
      <c r="C394">
        <v>308.33481840000002</v>
      </c>
      <c r="D394">
        <v>1.2131306615301707E-3</v>
      </c>
    </row>
    <row r="395" spans="1:4" x14ac:dyDescent="0.25">
      <c r="A395" s="13">
        <v>40750</v>
      </c>
      <c r="B395" t="s">
        <v>31</v>
      </c>
      <c r="C395">
        <v>310.09821820000002</v>
      </c>
      <c r="D395">
        <v>5.7191069407942496E-3</v>
      </c>
    </row>
    <row r="396" spans="1:4" x14ac:dyDescent="0.25">
      <c r="A396" s="13">
        <v>40751</v>
      </c>
      <c r="B396" t="s">
        <v>31</v>
      </c>
      <c r="C396">
        <v>302.47677579999998</v>
      </c>
      <c r="D396">
        <v>-2.4577511100320248E-2</v>
      </c>
    </row>
    <row r="397" spans="1:4" x14ac:dyDescent="0.25">
      <c r="A397" s="13">
        <v>40752</v>
      </c>
      <c r="B397" t="s">
        <v>31</v>
      </c>
      <c r="C397">
        <v>304.32980670000001</v>
      </c>
      <c r="D397">
        <v>6.126192317076562E-3</v>
      </c>
    </row>
    <row r="398" spans="1:4" x14ac:dyDescent="0.25">
      <c r="A398" s="13">
        <v>40753</v>
      </c>
      <c r="B398" t="s">
        <v>31</v>
      </c>
      <c r="C398">
        <v>300.7183503</v>
      </c>
      <c r="D398">
        <v>-1.1866916484983281E-2</v>
      </c>
    </row>
    <row r="399" spans="1:4" x14ac:dyDescent="0.25">
      <c r="A399" s="13">
        <v>40756</v>
      </c>
      <c r="B399" t="s">
        <v>31</v>
      </c>
      <c r="C399">
        <v>302.25259360000001</v>
      </c>
      <c r="D399">
        <v>5.1019277622048609E-3</v>
      </c>
    </row>
    <row r="400" spans="1:4" x14ac:dyDescent="0.25">
      <c r="A400" s="13">
        <v>40757</v>
      </c>
      <c r="B400" t="s">
        <v>31</v>
      </c>
      <c r="C400">
        <v>295.09440869999997</v>
      </c>
      <c r="D400">
        <v>-2.3682790657780561E-2</v>
      </c>
    </row>
    <row r="401" spans="1:4" x14ac:dyDescent="0.25">
      <c r="A401" s="13">
        <v>40758</v>
      </c>
      <c r="B401" t="s">
        <v>31</v>
      </c>
      <c r="C401">
        <v>299.4630684</v>
      </c>
      <c r="D401">
        <v>1.4804278126602233E-2</v>
      </c>
    </row>
    <row r="402" spans="1:4" x14ac:dyDescent="0.25">
      <c r="A402" s="13">
        <v>40759</v>
      </c>
      <c r="B402" t="s">
        <v>31</v>
      </c>
      <c r="C402">
        <v>287.68219499999998</v>
      </c>
      <c r="D402">
        <v>-3.9339987608301707E-2</v>
      </c>
    </row>
    <row r="403" spans="1:4" x14ac:dyDescent="0.25">
      <c r="A403" s="13">
        <v>40760</v>
      </c>
      <c r="B403" t="s">
        <v>31</v>
      </c>
      <c r="C403">
        <v>288.43936789999998</v>
      </c>
      <c r="D403">
        <v>2.6319769285687578E-3</v>
      </c>
    </row>
    <row r="404" spans="1:4" x14ac:dyDescent="0.25">
      <c r="A404" s="13">
        <v>40763</v>
      </c>
      <c r="B404" t="s">
        <v>31</v>
      </c>
      <c r="C404">
        <v>271.99097560000001</v>
      </c>
      <c r="D404">
        <v>-5.7025476167672506E-2</v>
      </c>
    </row>
    <row r="405" spans="1:4" x14ac:dyDescent="0.25">
      <c r="A405" s="13">
        <v>40764</v>
      </c>
      <c r="B405" t="s">
        <v>31</v>
      </c>
      <c r="C405">
        <v>285.63485839999998</v>
      </c>
      <c r="D405">
        <v>5.0162998128530534E-2</v>
      </c>
    </row>
    <row r="406" spans="1:4" x14ac:dyDescent="0.25">
      <c r="A406" s="13">
        <v>40765</v>
      </c>
      <c r="B406" t="s">
        <v>31</v>
      </c>
      <c r="C406">
        <v>273.48038839999998</v>
      </c>
      <c r="D406">
        <v>-4.2552474400652462E-2</v>
      </c>
    </row>
    <row r="407" spans="1:4" x14ac:dyDescent="0.25">
      <c r="A407" s="13">
        <v>40766</v>
      </c>
      <c r="B407" t="s">
        <v>31</v>
      </c>
      <c r="C407">
        <v>280.01592210000001</v>
      </c>
      <c r="D407">
        <v>2.3897632068742736E-2</v>
      </c>
    </row>
    <row r="408" spans="1:4" x14ac:dyDescent="0.25">
      <c r="A408" s="13">
        <v>40767</v>
      </c>
      <c r="B408" t="s">
        <v>31</v>
      </c>
      <c r="C408">
        <v>280.83284850000001</v>
      </c>
      <c r="D408">
        <v>2.9174283871908901E-3</v>
      </c>
    </row>
    <row r="409" spans="1:4" x14ac:dyDescent="0.25">
      <c r="A409" s="13">
        <v>40770</v>
      </c>
      <c r="B409" t="s">
        <v>31</v>
      </c>
      <c r="C409">
        <v>277.57506100000001</v>
      </c>
      <c r="D409">
        <v>-1.1600450294189879E-2</v>
      </c>
    </row>
    <row r="410" spans="1:4" x14ac:dyDescent="0.25">
      <c r="A410" s="13">
        <v>40771</v>
      </c>
      <c r="B410" t="s">
        <v>31</v>
      </c>
      <c r="C410">
        <v>268.4940823</v>
      </c>
      <c r="D410">
        <v>-3.2715398376513383E-2</v>
      </c>
    </row>
    <row r="411" spans="1:4" x14ac:dyDescent="0.25">
      <c r="A411" s="13">
        <v>40772</v>
      </c>
      <c r="B411" t="s">
        <v>31</v>
      </c>
      <c r="C411">
        <v>265.57998400000002</v>
      </c>
      <c r="D411">
        <v>-1.0853491723307074E-2</v>
      </c>
    </row>
    <row r="412" spans="1:4" x14ac:dyDescent="0.25">
      <c r="A412" s="13">
        <v>40773</v>
      </c>
      <c r="B412" t="s">
        <v>31</v>
      </c>
      <c r="C412">
        <v>251.49776109999999</v>
      </c>
      <c r="D412">
        <v>-5.3024413541647109E-2</v>
      </c>
    </row>
    <row r="413" spans="1:4" x14ac:dyDescent="0.25">
      <c r="A413" s="13">
        <v>40774</v>
      </c>
      <c r="B413" t="s">
        <v>31</v>
      </c>
      <c r="C413">
        <v>244.54381520000001</v>
      </c>
      <c r="D413">
        <v>-2.7650130440862952E-2</v>
      </c>
    </row>
    <row r="414" spans="1:4" x14ac:dyDescent="0.25">
      <c r="A414" s="13">
        <v>40777</v>
      </c>
      <c r="B414" t="s">
        <v>31</v>
      </c>
      <c r="C414">
        <v>248.15528710000001</v>
      </c>
      <c r="D414">
        <v>1.4768199707060115E-2</v>
      </c>
    </row>
    <row r="415" spans="1:4" x14ac:dyDescent="0.25">
      <c r="A415" s="13">
        <v>40778</v>
      </c>
      <c r="B415" t="s">
        <v>31</v>
      </c>
      <c r="C415">
        <v>258.44172750000001</v>
      </c>
      <c r="D415">
        <v>4.1451627004242875E-2</v>
      </c>
    </row>
    <row r="416" spans="1:4" x14ac:dyDescent="0.25">
      <c r="A416" s="13">
        <v>40779</v>
      </c>
      <c r="B416" t="s">
        <v>31</v>
      </c>
      <c r="C416">
        <v>260.66838539999998</v>
      </c>
      <c r="D416">
        <v>8.6157058364344508E-3</v>
      </c>
    </row>
    <row r="417" spans="1:4" x14ac:dyDescent="0.25">
      <c r="A417" s="13">
        <v>40780</v>
      </c>
      <c r="B417" t="s">
        <v>31</v>
      </c>
      <c r="C417">
        <v>259.04945550000002</v>
      </c>
      <c r="D417">
        <v>-6.2106875657962357E-3</v>
      </c>
    </row>
    <row r="418" spans="1:4" x14ac:dyDescent="0.25">
      <c r="A418" s="13">
        <v>40781</v>
      </c>
      <c r="B418" t="s">
        <v>31</v>
      </c>
      <c r="C418">
        <v>262.44673920000002</v>
      </c>
      <c r="D418">
        <v>1.3114421311725133E-2</v>
      </c>
    </row>
    <row r="419" spans="1:4" x14ac:dyDescent="0.25">
      <c r="A419" s="13">
        <v>40784</v>
      </c>
      <c r="B419" t="s">
        <v>31</v>
      </c>
      <c r="C419">
        <v>268.53393840000001</v>
      </c>
      <c r="D419">
        <v>2.319403631592154E-2</v>
      </c>
    </row>
    <row r="420" spans="1:4" x14ac:dyDescent="0.25">
      <c r="A420" s="13">
        <v>40785</v>
      </c>
      <c r="B420" t="s">
        <v>31</v>
      </c>
      <c r="C420">
        <v>269.34091610000002</v>
      </c>
      <c r="D420">
        <v>3.0051236905406231E-3</v>
      </c>
    </row>
    <row r="421" spans="1:4" x14ac:dyDescent="0.25">
      <c r="A421" s="13">
        <v>40786</v>
      </c>
      <c r="B421" t="s">
        <v>31</v>
      </c>
      <c r="C421">
        <v>269.4704327</v>
      </c>
      <c r="D421">
        <v>4.8086492715393447E-4</v>
      </c>
    </row>
    <row r="422" spans="1:4" x14ac:dyDescent="0.25">
      <c r="A422" s="13">
        <v>40787</v>
      </c>
      <c r="B422" t="s">
        <v>31</v>
      </c>
      <c r="C422">
        <v>265.2562226</v>
      </c>
      <c r="D422">
        <v>-1.563885899382389E-2</v>
      </c>
    </row>
    <row r="423" spans="1:4" x14ac:dyDescent="0.25">
      <c r="A423" s="13">
        <v>40788</v>
      </c>
      <c r="B423" t="s">
        <v>31</v>
      </c>
      <c r="C423">
        <v>261.44051180000002</v>
      </c>
      <c r="D423">
        <v>-1.4385000142876914E-2</v>
      </c>
    </row>
    <row r="424" spans="1:4" x14ac:dyDescent="0.25">
      <c r="A424" s="13">
        <v>40792</v>
      </c>
      <c r="B424" t="s">
        <v>31</v>
      </c>
      <c r="C424">
        <v>260.1154669</v>
      </c>
      <c r="D424">
        <v>-5.0682462747535517E-3</v>
      </c>
    </row>
    <row r="425" spans="1:4" x14ac:dyDescent="0.25">
      <c r="A425" s="13">
        <v>40793</v>
      </c>
      <c r="B425" t="s">
        <v>31</v>
      </c>
      <c r="C425">
        <v>266.01836980000002</v>
      </c>
      <c r="D425">
        <v>2.269339447726626E-2</v>
      </c>
    </row>
    <row r="426" spans="1:4" x14ac:dyDescent="0.25">
      <c r="A426" s="13">
        <v>40794</v>
      </c>
      <c r="B426" t="s">
        <v>31</v>
      </c>
      <c r="C426">
        <v>266.48162739999998</v>
      </c>
      <c r="D426">
        <v>1.7414496613457064E-3</v>
      </c>
    </row>
    <row r="427" spans="1:4" x14ac:dyDescent="0.25">
      <c r="A427" s="13">
        <v>40795</v>
      </c>
      <c r="B427" t="s">
        <v>31</v>
      </c>
      <c r="C427">
        <v>261.44548609999998</v>
      </c>
      <c r="D427">
        <v>-1.8898643591817033E-2</v>
      </c>
    </row>
    <row r="428" spans="1:4" x14ac:dyDescent="0.25">
      <c r="A428" s="13">
        <v>40798</v>
      </c>
      <c r="B428" t="s">
        <v>31</v>
      </c>
      <c r="C428">
        <v>264.07064339999999</v>
      </c>
      <c r="D428">
        <v>1.0040935642682713E-2</v>
      </c>
    </row>
    <row r="429" spans="1:4" x14ac:dyDescent="0.25">
      <c r="A429" s="13">
        <v>40799</v>
      </c>
      <c r="B429" t="s">
        <v>31</v>
      </c>
      <c r="C429">
        <v>263.77178409999999</v>
      </c>
      <c r="D429">
        <v>-1.1317399622771118E-3</v>
      </c>
    </row>
    <row r="430" spans="1:4" x14ac:dyDescent="0.25">
      <c r="A430" s="13">
        <v>40800</v>
      </c>
      <c r="B430" t="s">
        <v>31</v>
      </c>
      <c r="C430">
        <v>265.04201940000002</v>
      </c>
      <c r="D430">
        <v>4.8156602660671677E-3</v>
      </c>
    </row>
    <row r="431" spans="1:4" x14ac:dyDescent="0.25">
      <c r="A431" s="13">
        <v>40801</v>
      </c>
      <c r="B431" t="s">
        <v>31</v>
      </c>
      <c r="C431">
        <v>270.2674313</v>
      </c>
      <c r="D431">
        <v>1.9715409321998223E-2</v>
      </c>
    </row>
    <row r="432" spans="1:4" x14ac:dyDescent="0.25">
      <c r="A432" s="13">
        <v>40802</v>
      </c>
      <c r="B432" t="s">
        <v>31</v>
      </c>
      <c r="C432">
        <v>272.31974179999997</v>
      </c>
      <c r="D432">
        <v>7.5936286149176357E-3</v>
      </c>
    </row>
    <row r="433" spans="1:4" x14ac:dyDescent="0.25">
      <c r="A433" s="13">
        <v>40805</v>
      </c>
      <c r="B433" t="s">
        <v>31</v>
      </c>
      <c r="C433">
        <v>272.31476739999999</v>
      </c>
      <c r="D433">
        <v>-1.8266762325414021E-5</v>
      </c>
    </row>
    <row r="434" spans="1:4" x14ac:dyDescent="0.25">
      <c r="A434" s="13">
        <v>40806</v>
      </c>
      <c r="B434" t="s">
        <v>31</v>
      </c>
      <c r="C434">
        <v>272.29483959999999</v>
      </c>
      <c r="D434">
        <v>-7.3179285098201596E-5</v>
      </c>
    </row>
    <row r="435" spans="1:4" x14ac:dyDescent="0.25">
      <c r="A435" s="13">
        <v>40807</v>
      </c>
      <c r="B435" t="s">
        <v>31</v>
      </c>
      <c r="C435">
        <v>268.59372230000002</v>
      </c>
      <c r="D435">
        <v>-1.3592315247093478E-2</v>
      </c>
    </row>
    <row r="436" spans="1:4" x14ac:dyDescent="0.25">
      <c r="A436" s="13">
        <v>40808</v>
      </c>
      <c r="B436" t="s">
        <v>31</v>
      </c>
      <c r="C436">
        <v>259.35829389999998</v>
      </c>
      <c r="D436">
        <v>-3.4384379206319426E-2</v>
      </c>
    </row>
    <row r="437" spans="1:4" x14ac:dyDescent="0.25">
      <c r="A437" s="13">
        <v>40809</v>
      </c>
      <c r="B437" t="s">
        <v>31</v>
      </c>
      <c r="C437">
        <v>261.7742523</v>
      </c>
      <c r="D437">
        <v>9.3151383889482631E-3</v>
      </c>
    </row>
    <row r="438" spans="1:4" x14ac:dyDescent="0.25">
      <c r="A438" s="13">
        <v>40812</v>
      </c>
      <c r="B438" t="s">
        <v>31</v>
      </c>
      <c r="C438">
        <v>264.9523585</v>
      </c>
      <c r="D438">
        <v>1.2140637102681096E-2</v>
      </c>
    </row>
    <row r="439" spans="1:4" x14ac:dyDescent="0.25">
      <c r="A439" s="13">
        <v>40813</v>
      </c>
      <c r="B439" t="s">
        <v>31</v>
      </c>
      <c r="C439">
        <v>268.66345489999998</v>
      </c>
      <c r="D439">
        <v>1.4006655464438911E-2</v>
      </c>
    </row>
    <row r="440" spans="1:4" x14ac:dyDescent="0.25">
      <c r="A440" s="13">
        <v>40814</v>
      </c>
      <c r="B440" t="s">
        <v>31</v>
      </c>
      <c r="C440">
        <v>263.43303830000002</v>
      </c>
      <c r="D440">
        <v>-1.9468284593998075E-2</v>
      </c>
    </row>
    <row r="441" spans="1:4" x14ac:dyDescent="0.25">
      <c r="A441" s="13">
        <v>40815</v>
      </c>
      <c r="B441" t="s">
        <v>31</v>
      </c>
      <c r="C441">
        <v>262.76555669999999</v>
      </c>
      <c r="D441">
        <v>-2.5337808966842124E-3</v>
      </c>
    </row>
    <row r="442" spans="1:4" x14ac:dyDescent="0.25">
      <c r="A442" s="13">
        <v>40816</v>
      </c>
      <c r="B442" t="s">
        <v>31</v>
      </c>
      <c r="C442">
        <v>256.55878969999998</v>
      </c>
      <c r="D442">
        <v>-2.3620930680371854E-2</v>
      </c>
    </row>
    <row r="443" spans="1:4" x14ac:dyDescent="0.25">
      <c r="A443" s="13">
        <v>40819</v>
      </c>
      <c r="B443" t="s">
        <v>31</v>
      </c>
      <c r="C443">
        <v>246.83523149999999</v>
      </c>
      <c r="D443">
        <v>-3.7899922319441726E-2</v>
      </c>
    </row>
    <row r="444" spans="1:4" x14ac:dyDescent="0.25">
      <c r="A444" s="13">
        <v>40820</v>
      </c>
      <c r="B444" t="s">
        <v>31</v>
      </c>
      <c r="C444">
        <v>250.0133222</v>
      </c>
      <c r="D444">
        <v>1.2875352844433863E-2</v>
      </c>
    </row>
    <row r="445" spans="1:4" x14ac:dyDescent="0.25">
      <c r="A445" s="13">
        <v>40821</v>
      </c>
      <c r="B445" t="s">
        <v>31</v>
      </c>
      <c r="C445">
        <v>251.40810020000001</v>
      </c>
      <c r="D445">
        <v>5.5788147116586639E-3</v>
      </c>
    </row>
    <row r="446" spans="1:4" x14ac:dyDescent="0.25">
      <c r="A446" s="13">
        <v>40822</v>
      </c>
      <c r="B446" t="s">
        <v>31</v>
      </c>
      <c r="C446">
        <v>256.39442179999998</v>
      </c>
      <c r="D446">
        <v>1.9833575752067123E-2</v>
      </c>
    </row>
    <row r="447" spans="1:4" x14ac:dyDescent="0.25">
      <c r="A447" s="13">
        <v>40823</v>
      </c>
      <c r="B447" t="s">
        <v>31</v>
      </c>
      <c r="C447">
        <v>256.59864579999999</v>
      </c>
      <c r="D447">
        <v>7.965227892490212E-4</v>
      </c>
    </row>
    <row r="448" spans="1:4" x14ac:dyDescent="0.25">
      <c r="A448" s="13">
        <v>40826</v>
      </c>
      <c r="B448" t="s">
        <v>31</v>
      </c>
      <c r="C448">
        <v>267.58249009999997</v>
      </c>
      <c r="D448">
        <v>4.2805542740709246E-2</v>
      </c>
    </row>
    <row r="449" spans="1:4" x14ac:dyDescent="0.25">
      <c r="A449" s="13">
        <v>40827</v>
      </c>
      <c r="B449" t="s">
        <v>31</v>
      </c>
      <c r="C449">
        <v>270.57626970000001</v>
      </c>
      <c r="D449">
        <v>1.11882492717712E-2</v>
      </c>
    </row>
    <row r="450" spans="1:4" x14ac:dyDescent="0.25">
      <c r="A450" s="13">
        <v>40828</v>
      </c>
      <c r="B450" t="s">
        <v>31</v>
      </c>
      <c r="C450">
        <v>273.2263595</v>
      </c>
      <c r="D450">
        <v>9.794243238471223E-3</v>
      </c>
    </row>
    <row r="451" spans="1:4" x14ac:dyDescent="0.25">
      <c r="A451" s="13">
        <v>40829</v>
      </c>
      <c r="B451" t="s">
        <v>31</v>
      </c>
      <c r="C451">
        <v>278.45177139999998</v>
      </c>
      <c r="D451">
        <v>1.9124845456208517E-2</v>
      </c>
    </row>
    <row r="452" spans="1:4" x14ac:dyDescent="0.25">
      <c r="A452" s="13">
        <v>40830</v>
      </c>
      <c r="B452" t="s">
        <v>31</v>
      </c>
      <c r="C452">
        <v>294.73576550000001</v>
      </c>
      <c r="D452">
        <v>5.8480483058618526E-2</v>
      </c>
    </row>
    <row r="453" spans="1:4" x14ac:dyDescent="0.25">
      <c r="A453" s="13">
        <v>40833</v>
      </c>
      <c r="B453" t="s">
        <v>31</v>
      </c>
      <c r="C453">
        <v>290.11805129999999</v>
      </c>
      <c r="D453">
        <v>-1.5667301836159497E-2</v>
      </c>
    </row>
    <row r="454" spans="1:4" x14ac:dyDescent="0.25">
      <c r="A454" s="13">
        <v>40834</v>
      </c>
      <c r="B454" t="s">
        <v>31</v>
      </c>
      <c r="C454">
        <v>294.15293960000002</v>
      </c>
      <c r="D454">
        <v>1.3907746456726766E-2</v>
      </c>
    </row>
    <row r="455" spans="1:4" x14ac:dyDescent="0.25">
      <c r="A455" s="13">
        <v>40835</v>
      </c>
      <c r="B455" t="s">
        <v>31</v>
      </c>
      <c r="C455">
        <v>289.2662431</v>
      </c>
      <c r="D455">
        <v>-1.6612774656085794E-2</v>
      </c>
    </row>
    <row r="456" spans="1:4" x14ac:dyDescent="0.25">
      <c r="A456" s="13">
        <v>40836</v>
      </c>
      <c r="B456" t="s">
        <v>31</v>
      </c>
      <c r="C456">
        <v>290.74570720000003</v>
      </c>
      <c r="D456">
        <v>5.1145411374136085E-3</v>
      </c>
    </row>
    <row r="457" spans="1:4" x14ac:dyDescent="0.25">
      <c r="A457" s="13">
        <v>40837</v>
      </c>
      <c r="B457" t="s">
        <v>31</v>
      </c>
      <c r="C457">
        <v>294.14299089999997</v>
      </c>
      <c r="D457">
        <v>1.1684725228507054E-2</v>
      </c>
    </row>
    <row r="458" spans="1:4" x14ac:dyDescent="0.25">
      <c r="A458" s="13">
        <v>40840</v>
      </c>
      <c r="B458" t="s">
        <v>31</v>
      </c>
      <c r="C458">
        <v>297.09691429999998</v>
      </c>
      <c r="D458">
        <v>1.004247420943738E-2</v>
      </c>
    </row>
    <row r="459" spans="1:4" x14ac:dyDescent="0.25">
      <c r="A459" s="13">
        <v>40841</v>
      </c>
      <c r="B459" t="s">
        <v>31</v>
      </c>
      <c r="C459">
        <v>290.49167840000001</v>
      </c>
      <c r="D459">
        <v>-2.2232596779279246E-2</v>
      </c>
    </row>
    <row r="460" spans="1:4" x14ac:dyDescent="0.25">
      <c r="A460" s="13">
        <v>40842</v>
      </c>
      <c r="B460" t="s">
        <v>31</v>
      </c>
      <c r="C460">
        <v>292.06077299999998</v>
      </c>
      <c r="D460">
        <v>5.4015130782485432E-3</v>
      </c>
    </row>
    <row r="461" spans="1:4" x14ac:dyDescent="0.25">
      <c r="A461" s="13">
        <v>40843</v>
      </c>
      <c r="B461" t="s">
        <v>31</v>
      </c>
      <c r="C461">
        <v>298.21770479999998</v>
      </c>
      <c r="D461">
        <v>2.1080995358455645E-2</v>
      </c>
    </row>
    <row r="462" spans="1:4" x14ac:dyDescent="0.25">
      <c r="A462" s="13">
        <v>40844</v>
      </c>
      <c r="B462" t="s">
        <v>31</v>
      </c>
      <c r="C462">
        <v>298.94997560000002</v>
      </c>
      <c r="D462">
        <v>2.4554906976135271E-3</v>
      </c>
    </row>
    <row r="463" spans="1:4" x14ac:dyDescent="0.25">
      <c r="A463" s="13">
        <v>40847</v>
      </c>
      <c r="B463" t="s">
        <v>31</v>
      </c>
      <c r="C463">
        <v>295.2139765</v>
      </c>
      <c r="D463">
        <v>-1.2497071098606982E-2</v>
      </c>
    </row>
    <row r="464" spans="1:4" x14ac:dyDescent="0.25">
      <c r="A464" s="13">
        <v>40848</v>
      </c>
      <c r="B464" t="s">
        <v>31</v>
      </c>
      <c r="C464">
        <v>288.24509260000002</v>
      </c>
      <c r="D464">
        <v>-2.3606212627944378E-2</v>
      </c>
    </row>
    <row r="465" spans="1:4" x14ac:dyDescent="0.25">
      <c r="A465" s="13">
        <v>40849</v>
      </c>
      <c r="B465" t="s">
        <v>31</v>
      </c>
      <c r="C465">
        <v>291.31855350000001</v>
      </c>
      <c r="D465">
        <v>1.0662665137772365E-2</v>
      </c>
    </row>
    <row r="466" spans="1:4" x14ac:dyDescent="0.25">
      <c r="A466" s="13">
        <v>40850</v>
      </c>
      <c r="B466" t="s">
        <v>31</v>
      </c>
      <c r="C466">
        <v>297.6349098</v>
      </c>
      <c r="D466">
        <v>2.1681956827373838E-2</v>
      </c>
    </row>
    <row r="467" spans="1:4" x14ac:dyDescent="0.25">
      <c r="A467" s="13">
        <v>40851</v>
      </c>
      <c r="B467" t="s">
        <v>31</v>
      </c>
      <c r="C467">
        <v>296.95744910000002</v>
      </c>
      <c r="D467">
        <v>-2.276146640376342E-3</v>
      </c>
    </row>
    <row r="468" spans="1:4" x14ac:dyDescent="0.25">
      <c r="A468" s="13">
        <v>40854</v>
      </c>
      <c r="B468" t="s">
        <v>31</v>
      </c>
      <c r="C468">
        <v>303.02969430000002</v>
      </c>
      <c r="D468">
        <v>2.0448199627264296E-2</v>
      </c>
    </row>
    <row r="469" spans="1:4" x14ac:dyDescent="0.25">
      <c r="A469" s="13">
        <v>40855</v>
      </c>
      <c r="B469" t="s">
        <v>31</v>
      </c>
      <c r="C469">
        <v>305.02719519999999</v>
      </c>
      <c r="D469">
        <v>6.5917662116057318E-3</v>
      </c>
    </row>
    <row r="470" spans="1:4" x14ac:dyDescent="0.25">
      <c r="A470" s="13">
        <v>40856</v>
      </c>
      <c r="B470" t="s">
        <v>31</v>
      </c>
      <c r="C470">
        <v>299.35347969999998</v>
      </c>
      <c r="D470">
        <v>-1.8600687378972469E-2</v>
      </c>
    </row>
    <row r="471" spans="1:4" x14ac:dyDescent="0.25">
      <c r="A471" s="13">
        <v>40857</v>
      </c>
      <c r="B471" t="s">
        <v>31</v>
      </c>
      <c r="C471">
        <v>296.42943270000001</v>
      </c>
      <c r="D471">
        <v>-9.7678737622503009E-3</v>
      </c>
    </row>
    <row r="472" spans="1:4" x14ac:dyDescent="0.25">
      <c r="A472" s="13">
        <v>40858</v>
      </c>
      <c r="B472" t="s">
        <v>31</v>
      </c>
      <c r="C472">
        <v>303.03964300000001</v>
      </c>
      <c r="D472">
        <v>2.2299439835617996E-2</v>
      </c>
    </row>
    <row r="473" spans="1:4" x14ac:dyDescent="0.25">
      <c r="A473" s="13">
        <v>40861</v>
      </c>
      <c r="B473" t="s">
        <v>31</v>
      </c>
      <c r="C473">
        <v>305.35596190000001</v>
      </c>
      <c r="D473">
        <v>7.6436167792079956E-3</v>
      </c>
    </row>
    <row r="474" spans="1:4" x14ac:dyDescent="0.25">
      <c r="A474" s="13">
        <v>40862</v>
      </c>
      <c r="B474" t="s">
        <v>31</v>
      </c>
      <c r="C474">
        <v>307.12934130000002</v>
      </c>
      <c r="D474">
        <v>5.8075807296036341E-3</v>
      </c>
    </row>
    <row r="475" spans="1:4" x14ac:dyDescent="0.25">
      <c r="A475" s="13">
        <v>40863</v>
      </c>
      <c r="B475" t="s">
        <v>31</v>
      </c>
      <c r="C475">
        <v>304.59384499999999</v>
      </c>
      <c r="D475">
        <v>-8.2554675149821843E-3</v>
      </c>
    </row>
    <row r="476" spans="1:4" x14ac:dyDescent="0.25">
      <c r="A476" s="13">
        <v>40864</v>
      </c>
      <c r="B476" t="s">
        <v>31</v>
      </c>
      <c r="C476">
        <v>299.31362360000003</v>
      </c>
      <c r="D476">
        <v>-1.7335285944467982E-2</v>
      </c>
    </row>
    <row r="477" spans="1:4" x14ac:dyDescent="0.25">
      <c r="A477" s="13">
        <v>40865</v>
      </c>
      <c r="B477" t="s">
        <v>31</v>
      </c>
      <c r="C477">
        <v>296.32979269999998</v>
      </c>
      <c r="D477">
        <v>-9.9689110843400597E-3</v>
      </c>
    </row>
    <row r="478" spans="1:4" x14ac:dyDescent="0.25">
      <c r="A478" s="13">
        <v>40868</v>
      </c>
      <c r="B478" t="s">
        <v>31</v>
      </c>
      <c r="C478">
        <v>289.38581090000002</v>
      </c>
      <c r="D478">
        <v>-2.343328943313483E-2</v>
      </c>
    </row>
    <row r="479" spans="1:4" x14ac:dyDescent="0.25">
      <c r="A479" s="13">
        <v>40869</v>
      </c>
      <c r="B479" t="s">
        <v>31</v>
      </c>
      <c r="C479">
        <v>288.91754859999998</v>
      </c>
      <c r="D479">
        <v>-1.6181246016995221E-3</v>
      </c>
    </row>
    <row r="480" spans="1:4" x14ac:dyDescent="0.25">
      <c r="A480" s="13">
        <v>40870</v>
      </c>
      <c r="B480" t="s">
        <v>31</v>
      </c>
      <c r="C480">
        <v>283.99102640000001</v>
      </c>
      <c r="D480">
        <v>-1.7051654438687724E-2</v>
      </c>
    </row>
    <row r="481" spans="1:4" x14ac:dyDescent="0.25">
      <c r="A481" s="13">
        <v>40872</v>
      </c>
      <c r="B481" t="s">
        <v>31</v>
      </c>
      <c r="C481">
        <v>280.44930269999998</v>
      </c>
      <c r="D481">
        <v>-1.2471252155029533E-2</v>
      </c>
    </row>
    <row r="482" spans="1:4" x14ac:dyDescent="0.25">
      <c r="A482" s="13">
        <v>40875</v>
      </c>
      <c r="B482" t="s">
        <v>31</v>
      </c>
      <c r="C482">
        <v>292.99726729999998</v>
      </c>
      <c r="D482">
        <v>4.474236334052395E-2</v>
      </c>
    </row>
    <row r="483" spans="1:4" x14ac:dyDescent="0.25">
      <c r="A483" s="13">
        <v>40876</v>
      </c>
      <c r="B483" t="s">
        <v>31</v>
      </c>
      <c r="C483">
        <v>290.3770849</v>
      </c>
      <c r="D483">
        <v>-8.9426854528208422E-3</v>
      </c>
    </row>
    <row r="484" spans="1:4" x14ac:dyDescent="0.25">
      <c r="A484" s="13">
        <v>40877</v>
      </c>
      <c r="B484" t="s">
        <v>31</v>
      </c>
      <c r="C484">
        <v>298.57637840000001</v>
      </c>
      <c r="D484">
        <v>2.8236709872694332E-2</v>
      </c>
    </row>
    <row r="485" spans="1:4" x14ac:dyDescent="0.25">
      <c r="A485" s="13">
        <v>40878</v>
      </c>
      <c r="B485" t="s">
        <v>31</v>
      </c>
      <c r="C485">
        <v>305.73953820000003</v>
      </c>
      <c r="D485">
        <v>2.3991046573696551E-2</v>
      </c>
    </row>
    <row r="486" spans="1:4" x14ac:dyDescent="0.25">
      <c r="A486" s="13">
        <v>40879</v>
      </c>
      <c r="B486" t="s">
        <v>31</v>
      </c>
      <c r="C486">
        <v>309.0222278</v>
      </c>
      <c r="D486">
        <v>1.0736882836045236E-2</v>
      </c>
    </row>
    <row r="487" spans="1:4" x14ac:dyDescent="0.25">
      <c r="A487" s="13">
        <v>40882</v>
      </c>
      <c r="B487" t="s">
        <v>31</v>
      </c>
      <c r="C487">
        <v>311.65736420000002</v>
      </c>
      <c r="D487">
        <v>8.5273361038140649E-3</v>
      </c>
    </row>
    <row r="488" spans="1:4" x14ac:dyDescent="0.25">
      <c r="A488" s="13">
        <v>40883</v>
      </c>
      <c r="B488" t="s">
        <v>31</v>
      </c>
      <c r="C488">
        <v>310.72086990000003</v>
      </c>
      <c r="D488">
        <v>-3.004884233696492E-3</v>
      </c>
    </row>
    <row r="489" spans="1:4" x14ac:dyDescent="0.25">
      <c r="A489" s="13">
        <v>40884</v>
      </c>
      <c r="B489" t="s">
        <v>31</v>
      </c>
      <c r="C489">
        <v>310.53159929999998</v>
      </c>
      <c r="D489">
        <v>-6.0913385078043003E-4</v>
      </c>
    </row>
    <row r="490" spans="1:4" x14ac:dyDescent="0.25">
      <c r="A490" s="13">
        <v>40885</v>
      </c>
      <c r="B490" t="s">
        <v>31</v>
      </c>
      <c r="C490">
        <v>306.87528209999999</v>
      </c>
      <c r="D490">
        <v>-1.1774380476067714E-2</v>
      </c>
    </row>
    <row r="491" spans="1:4" x14ac:dyDescent="0.25">
      <c r="A491" s="13">
        <v>40886</v>
      </c>
      <c r="B491" t="s">
        <v>31</v>
      </c>
      <c r="C491">
        <v>312.53907980000002</v>
      </c>
      <c r="D491">
        <v>1.845635028419923E-2</v>
      </c>
    </row>
    <row r="492" spans="1:4" x14ac:dyDescent="0.25">
      <c r="A492" s="13">
        <v>40889</v>
      </c>
      <c r="B492" t="s">
        <v>31</v>
      </c>
      <c r="C492">
        <v>311.52784759999997</v>
      </c>
      <c r="D492">
        <v>-3.2355384185784875E-3</v>
      </c>
    </row>
    <row r="493" spans="1:4" x14ac:dyDescent="0.25">
      <c r="A493" s="13">
        <v>40890</v>
      </c>
      <c r="B493" t="s">
        <v>31</v>
      </c>
      <c r="C493">
        <v>311.64741550000002</v>
      </c>
      <c r="D493">
        <v>3.8381127376307944E-4</v>
      </c>
    </row>
    <row r="494" spans="1:4" x14ac:dyDescent="0.25">
      <c r="A494" s="13">
        <v>40891</v>
      </c>
      <c r="B494" t="s">
        <v>31</v>
      </c>
      <c r="C494">
        <v>307.88150949999999</v>
      </c>
      <c r="D494">
        <v>-1.2083867257355885E-2</v>
      </c>
    </row>
    <row r="495" spans="1:4" x14ac:dyDescent="0.25">
      <c r="A495" s="13">
        <v>40892</v>
      </c>
      <c r="B495" t="s">
        <v>31</v>
      </c>
      <c r="C495">
        <v>308.61377979999997</v>
      </c>
      <c r="D495">
        <v>2.3784159730448895E-3</v>
      </c>
    </row>
    <row r="496" spans="1:4" x14ac:dyDescent="0.25">
      <c r="A496" s="13">
        <v>40893</v>
      </c>
      <c r="B496" t="s">
        <v>31</v>
      </c>
      <c r="C496">
        <v>311.81178340000002</v>
      </c>
      <c r="D496">
        <v>1.0362478312123891E-2</v>
      </c>
    </row>
    <row r="497" spans="1:4" x14ac:dyDescent="0.25">
      <c r="A497" s="13">
        <v>40896</v>
      </c>
      <c r="B497" t="s">
        <v>31</v>
      </c>
      <c r="C497">
        <v>309.75449859999998</v>
      </c>
      <c r="D497">
        <v>-6.5978417414742641E-3</v>
      </c>
    </row>
    <row r="498" spans="1:4" x14ac:dyDescent="0.25">
      <c r="A498" s="13">
        <v>40897</v>
      </c>
      <c r="B498" t="s">
        <v>31</v>
      </c>
      <c r="C498">
        <v>314.00856429999999</v>
      </c>
      <c r="D498">
        <v>1.3733668822332401E-2</v>
      </c>
    </row>
    <row r="499" spans="1:4" x14ac:dyDescent="0.25">
      <c r="A499" s="13">
        <v>40898</v>
      </c>
      <c r="B499" t="s">
        <v>31</v>
      </c>
      <c r="C499">
        <v>311.74205080000002</v>
      </c>
      <c r="D499">
        <v>-7.2179989900994501E-3</v>
      </c>
    </row>
    <row r="500" spans="1:4" x14ac:dyDescent="0.25">
      <c r="A500" s="13">
        <v>40899</v>
      </c>
      <c r="B500" t="s">
        <v>31</v>
      </c>
      <c r="C500">
        <v>313.67482380000001</v>
      </c>
      <c r="D500">
        <v>6.1999110964980897E-3</v>
      </c>
    </row>
    <row r="501" spans="1:4" x14ac:dyDescent="0.25">
      <c r="A501" s="13">
        <v>40900</v>
      </c>
      <c r="B501" t="s">
        <v>31</v>
      </c>
      <c r="C501">
        <v>315.3883889</v>
      </c>
      <c r="D501">
        <v>5.462871005205594E-3</v>
      </c>
    </row>
    <row r="502" spans="1:4" x14ac:dyDescent="0.25">
      <c r="A502" s="13">
        <v>40904</v>
      </c>
      <c r="B502" t="s">
        <v>31</v>
      </c>
      <c r="C502">
        <v>318.93011209999997</v>
      </c>
      <c r="D502">
        <v>1.1229719687375628E-2</v>
      </c>
    </row>
    <row r="503" spans="1:4" x14ac:dyDescent="0.25">
      <c r="A503" s="13">
        <v>40905</v>
      </c>
      <c r="B503" t="s">
        <v>31</v>
      </c>
      <c r="C503">
        <v>318.65615550000001</v>
      </c>
      <c r="D503">
        <v>-8.5898630955882904E-4</v>
      </c>
    </row>
    <row r="504" spans="1:4" x14ac:dyDescent="0.25">
      <c r="A504" s="13">
        <v>40906</v>
      </c>
      <c r="B504" t="s">
        <v>31</v>
      </c>
      <c r="C504">
        <v>320.00109780000003</v>
      </c>
      <c r="D504">
        <v>4.2206694482009866E-3</v>
      </c>
    </row>
    <row r="505" spans="1:4" x14ac:dyDescent="0.25">
      <c r="A505" s="13">
        <v>40907</v>
      </c>
      <c r="B505" t="s">
        <v>31</v>
      </c>
      <c r="C505">
        <v>321.74457039999999</v>
      </c>
      <c r="D505">
        <v>5.448333183811771E-3</v>
      </c>
    </row>
    <row r="506" spans="1:4" x14ac:dyDescent="0.25">
      <c r="A506" s="13">
        <v>40911</v>
      </c>
      <c r="B506" t="s">
        <v>31</v>
      </c>
      <c r="C506">
        <v>331.46315370000002</v>
      </c>
      <c r="D506">
        <v>3.0205896832750545E-2</v>
      </c>
    </row>
    <row r="507" spans="1:4" x14ac:dyDescent="0.25">
      <c r="A507" s="13">
        <v>40912</v>
      </c>
      <c r="B507" t="s">
        <v>31</v>
      </c>
      <c r="C507">
        <v>332.89281299999999</v>
      </c>
      <c r="D507">
        <v>4.3131771481723646E-3</v>
      </c>
    </row>
    <row r="508" spans="1:4" x14ac:dyDescent="0.25">
      <c r="A508" s="13">
        <v>40913</v>
      </c>
      <c r="B508" t="s">
        <v>31</v>
      </c>
      <c r="C508">
        <v>328.27509880000002</v>
      </c>
      <c r="D508">
        <v>-1.3871474599843503E-2</v>
      </c>
    </row>
    <row r="509" spans="1:4" x14ac:dyDescent="0.25">
      <c r="A509" s="13">
        <v>40914</v>
      </c>
      <c r="B509" t="s">
        <v>31</v>
      </c>
      <c r="C509">
        <v>323.7968808</v>
      </c>
      <c r="D509">
        <v>-1.3641662180195913E-2</v>
      </c>
    </row>
    <row r="510" spans="1:4" x14ac:dyDescent="0.25">
      <c r="A510" s="13">
        <v>40917</v>
      </c>
      <c r="B510" t="s">
        <v>31</v>
      </c>
      <c r="C510">
        <v>310.0683113</v>
      </c>
      <c r="D510">
        <v>-4.2398708307754607E-2</v>
      </c>
    </row>
    <row r="511" spans="1:4" x14ac:dyDescent="0.25">
      <c r="A511" s="13">
        <v>40918</v>
      </c>
      <c r="B511" t="s">
        <v>31</v>
      </c>
      <c r="C511">
        <v>310.40705709999997</v>
      </c>
      <c r="D511">
        <v>1.0924876475759682E-3</v>
      </c>
    </row>
    <row r="512" spans="1:4" x14ac:dyDescent="0.25">
      <c r="A512" s="13">
        <v>40919</v>
      </c>
      <c r="B512" t="s">
        <v>31</v>
      </c>
      <c r="C512">
        <v>311.81178340000002</v>
      </c>
      <c r="D512">
        <v>4.5254328723187687E-3</v>
      </c>
    </row>
    <row r="513" spans="1:4" x14ac:dyDescent="0.25">
      <c r="A513" s="13">
        <v>40920</v>
      </c>
      <c r="B513" t="s">
        <v>31</v>
      </c>
      <c r="C513">
        <v>313.6449164</v>
      </c>
      <c r="D513">
        <v>5.8789728213970438E-3</v>
      </c>
    </row>
    <row r="514" spans="1:4" x14ac:dyDescent="0.25">
      <c r="A514" s="13">
        <v>40921</v>
      </c>
      <c r="B514" t="s">
        <v>31</v>
      </c>
      <c r="C514">
        <v>311.328598</v>
      </c>
      <c r="D514">
        <v>-7.3851616234900108E-3</v>
      </c>
    </row>
    <row r="515" spans="1:4" x14ac:dyDescent="0.25">
      <c r="A515" s="13">
        <v>40925</v>
      </c>
      <c r="B515" t="s">
        <v>31</v>
      </c>
      <c r="C515">
        <v>313.11690049999999</v>
      </c>
      <c r="D515">
        <v>5.7440996795288246E-3</v>
      </c>
    </row>
    <row r="516" spans="1:4" x14ac:dyDescent="0.25">
      <c r="A516" s="13">
        <v>40926</v>
      </c>
      <c r="B516" t="s">
        <v>31</v>
      </c>
      <c r="C516">
        <v>315.2738253</v>
      </c>
      <c r="D516">
        <v>6.8885607789159753E-3</v>
      </c>
    </row>
    <row r="517" spans="1:4" x14ac:dyDescent="0.25">
      <c r="A517" s="13">
        <v>40927</v>
      </c>
      <c r="B517" t="s">
        <v>31</v>
      </c>
      <c r="C517">
        <v>318.59139720000002</v>
      </c>
      <c r="D517">
        <v>1.0522826932566121E-2</v>
      </c>
    </row>
    <row r="518" spans="1:4" x14ac:dyDescent="0.25">
      <c r="A518" s="13">
        <v>40928</v>
      </c>
      <c r="B518" t="s">
        <v>31</v>
      </c>
      <c r="C518">
        <v>291.90137950000002</v>
      </c>
      <c r="D518">
        <v>-8.3775073446961223E-2</v>
      </c>
    </row>
    <row r="519" spans="1:4" x14ac:dyDescent="0.25">
      <c r="A519" s="13">
        <v>40931</v>
      </c>
      <c r="B519" t="s">
        <v>31</v>
      </c>
      <c r="C519">
        <v>291.66724809999999</v>
      </c>
      <c r="D519">
        <v>-8.0209076230153276E-4</v>
      </c>
    </row>
    <row r="520" spans="1:4" x14ac:dyDescent="0.25">
      <c r="A520" s="13">
        <v>40932</v>
      </c>
      <c r="B520" t="s">
        <v>31</v>
      </c>
      <c r="C520">
        <v>289.38083660000001</v>
      </c>
      <c r="D520">
        <v>-7.8391095157042123E-3</v>
      </c>
    </row>
    <row r="521" spans="1:4" x14ac:dyDescent="0.25">
      <c r="A521" s="13">
        <v>40933</v>
      </c>
      <c r="B521" t="s">
        <v>31</v>
      </c>
      <c r="C521">
        <v>283.682188</v>
      </c>
      <c r="D521">
        <v>-1.9692556932776606E-2</v>
      </c>
    </row>
    <row r="522" spans="1:4" x14ac:dyDescent="0.25">
      <c r="A522" s="13">
        <v>40934</v>
      </c>
      <c r="B522" t="s">
        <v>31</v>
      </c>
      <c r="C522">
        <v>282.98977339999999</v>
      </c>
      <c r="D522">
        <v>-2.4408109824646251E-3</v>
      </c>
    </row>
    <row r="523" spans="1:4" x14ac:dyDescent="0.25">
      <c r="A523" s="13">
        <v>40935</v>
      </c>
      <c r="B523" t="s">
        <v>31</v>
      </c>
      <c r="C523">
        <v>288.90759989999998</v>
      </c>
      <c r="D523">
        <v>2.0911803380383231E-2</v>
      </c>
    </row>
    <row r="524" spans="1:4" x14ac:dyDescent="0.25">
      <c r="A524" s="13">
        <v>40938</v>
      </c>
      <c r="B524" t="s">
        <v>31</v>
      </c>
      <c r="C524">
        <v>287.76688159999998</v>
      </c>
      <c r="D524">
        <v>-3.9483845367682679E-3</v>
      </c>
    </row>
    <row r="525" spans="1:4" x14ac:dyDescent="0.25">
      <c r="A525" s="13">
        <v>40939</v>
      </c>
      <c r="B525" t="s">
        <v>31</v>
      </c>
      <c r="C525">
        <v>288.97235819999997</v>
      </c>
      <c r="D525">
        <v>4.1890734378378092E-3</v>
      </c>
    </row>
    <row r="526" spans="1:4" x14ac:dyDescent="0.25">
      <c r="A526" s="13">
        <v>40940</v>
      </c>
      <c r="B526" t="s">
        <v>31</v>
      </c>
      <c r="C526">
        <v>289.33100139999999</v>
      </c>
      <c r="D526">
        <v>1.2410986373714294E-3</v>
      </c>
    </row>
    <row r="527" spans="1:4" x14ac:dyDescent="0.25">
      <c r="A527" s="13">
        <v>40941</v>
      </c>
      <c r="B527" t="s">
        <v>31</v>
      </c>
      <c r="C527">
        <v>291.46302400000002</v>
      </c>
      <c r="D527">
        <v>7.3688010952290828E-3</v>
      </c>
    </row>
    <row r="528" spans="1:4" x14ac:dyDescent="0.25">
      <c r="A528" s="13">
        <v>40942</v>
      </c>
      <c r="B528" t="s">
        <v>31</v>
      </c>
      <c r="C528">
        <v>297.05208390000001</v>
      </c>
      <c r="D528">
        <v>1.9175879750702007E-2</v>
      </c>
    </row>
    <row r="529" spans="1:4" x14ac:dyDescent="0.25">
      <c r="A529" s="13">
        <v>40945</v>
      </c>
      <c r="B529" t="s">
        <v>31</v>
      </c>
      <c r="C529">
        <v>303.40826579999998</v>
      </c>
      <c r="D529">
        <v>2.1397533444470707E-2</v>
      </c>
    </row>
    <row r="530" spans="1:4" x14ac:dyDescent="0.25">
      <c r="A530" s="13">
        <v>40946</v>
      </c>
      <c r="B530" t="s">
        <v>31</v>
      </c>
      <c r="C530">
        <v>302.25259360000001</v>
      </c>
      <c r="D530">
        <v>-3.8089674220074254E-3</v>
      </c>
    </row>
    <row r="531" spans="1:4" x14ac:dyDescent="0.25">
      <c r="A531" s="13">
        <v>40947</v>
      </c>
      <c r="B531" t="s">
        <v>31</v>
      </c>
      <c r="C531">
        <v>303.78686720000002</v>
      </c>
      <c r="D531">
        <v>5.0761304699686871E-3</v>
      </c>
    </row>
    <row r="532" spans="1:4" x14ac:dyDescent="0.25">
      <c r="A532" s="13">
        <v>40948</v>
      </c>
      <c r="B532" t="s">
        <v>31</v>
      </c>
      <c r="C532">
        <v>304.58884030000002</v>
      </c>
      <c r="D532">
        <v>2.6399202420821499E-3</v>
      </c>
    </row>
    <row r="533" spans="1:4" x14ac:dyDescent="0.25">
      <c r="A533" s="13">
        <v>40949</v>
      </c>
      <c r="B533" t="s">
        <v>31</v>
      </c>
      <c r="C533">
        <v>301.82421770000002</v>
      </c>
      <c r="D533">
        <v>-9.0765721990241355E-3</v>
      </c>
    </row>
    <row r="534" spans="1:4" x14ac:dyDescent="0.25">
      <c r="A534" s="13">
        <v>40952</v>
      </c>
      <c r="B534" t="s">
        <v>31</v>
      </c>
      <c r="C534">
        <v>304.95746259999999</v>
      </c>
      <c r="D534">
        <v>1.0381025498471752E-2</v>
      </c>
    </row>
    <row r="535" spans="1:4" x14ac:dyDescent="0.25">
      <c r="A535" s="13">
        <v>40953</v>
      </c>
      <c r="B535" t="s">
        <v>31</v>
      </c>
      <c r="C535">
        <v>303.74203679999999</v>
      </c>
      <c r="D535">
        <v>-3.9855584763774932E-3</v>
      </c>
    </row>
    <row r="536" spans="1:4" x14ac:dyDescent="0.25">
      <c r="A536" s="13">
        <v>40954</v>
      </c>
      <c r="B536" t="s">
        <v>31</v>
      </c>
      <c r="C536">
        <v>301.64987020000001</v>
      </c>
      <c r="D536">
        <v>-6.8879718528310763E-3</v>
      </c>
    </row>
    <row r="537" spans="1:4" x14ac:dyDescent="0.25">
      <c r="A537" s="13">
        <v>40955</v>
      </c>
      <c r="B537" t="s">
        <v>31</v>
      </c>
      <c r="C537">
        <v>302.12808180000002</v>
      </c>
      <c r="D537">
        <v>1.5853200920754595E-3</v>
      </c>
    </row>
    <row r="538" spans="1:4" x14ac:dyDescent="0.25">
      <c r="A538" s="13">
        <v>40956</v>
      </c>
      <c r="B538" t="s">
        <v>31</v>
      </c>
      <c r="C538">
        <v>301.19158700000003</v>
      </c>
      <c r="D538">
        <v>-3.0996615555251017E-3</v>
      </c>
    </row>
    <row r="539" spans="1:4" x14ac:dyDescent="0.25">
      <c r="A539" s="13">
        <v>40960</v>
      </c>
      <c r="B539" t="s">
        <v>31</v>
      </c>
      <c r="C539">
        <v>305.8541012</v>
      </c>
      <c r="D539">
        <v>1.5480227208338304E-2</v>
      </c>
    </row>
    <row r="540" spans="1:4" x14ac:dyDescent="0.25">
      <c r="A540" s="13">
        <v>40961</v>
      </c>
      <c r="B540" t="s">
        <v>31</v>
      </c>
      <c r="C540">
        <v>302.835419</v>
      </c>
      <c r="D540">
        <v>-9.8696803088674789E-3</v>
      </c>
    </row>
    <row r="541" spans="1:4" x14ac:dyDescent="0.25">
      <c r="A541" s="13">
        <v>40962</v>
      </c>
      <c r="B541" t="s">
        <v>31</v>
      </c>
      <c r="C541">
        <v>301.92382689999999</v>
      </c>
      <c r="D541">
        <v>-3.010189835159327E-3</v>
      </c>
    </row>
    <row r="542" spans="1:4" x14ac:dyDescent="0.25">
      <c r="A542" s="13">
        <v>40963</v>
      </c>
      <c r="B542" t="s">
        <v>31</v>
      </c>
      <c r="C542">
        <v>303.8117699</v>
      </c>
      <c r="D542">
        <v>6.2530440852728297E-3</v>
      </c>
    </row>
    <row r="543" spans="1:4" x14ac:dyDescent="0.25">
      <c r="A543" s="13">
        <v>40966</v>
      </c>
      <c r="B543" t="s">
        <v>31</v>
      </c>
      <c r="C543">
        <v>303.51785460000002</v>
      </c>
      <c r="D543">
        <v>-9.6742565337981645E-4</v>
      </c>
    </row>
    <row r="544" spans="1:4" x14ac:dyDescent="0.25">
      <c r="A544" s="13">
        <v>40967</v>
      </c>
      <c r="B544" t="s">
        <v>31</v>
      </c>
      <c r="C544">
        <v>308.04090309999998</v>
      </c>
      <c r="D544">
        <v>1.490208378667135E-2</v>
      </c>
    </row>
    <row r="545" spans="1:4" x14ac:dyDescent="0.25">
      <c r="A545" s="13">
        <v>40968</v>
      </c>
      <c r="B545" t="s">
        <v>31</v>
      </c>
      <c r="C545">
        <v>307.97116990000001</v>
      </c>
      <c r="D545">
        <v>-2.2637643020195775E-4</v>
      </c>
    </row>
    <row r="546" spans="1:4" x14ac:dyDescent="0.25">
      <c r="A546" s="13">
        <v>40969</v>
      </c>
      <c r="B546" t="s">
        <v>31</v>
      </c>
      <c r="C546">
        <v>310.03843430000001</v>
      </c>
      <c r="D546">
        <v>6.7125257233371372E-3</v>
      </c>
    </row>
    <row r="547" spans="1:4" x14ac:dyDescent="0.25">
      <c r="A547" s="13">
        <v>40970</v>
      </c>
      <c r="B547" t="s">
        <v>31</v>
      </c>
      <c r="C547">
        <v>309.46558800000003</v>
      </c>
      <c r="D547">
        <v>-1.8476622141810894E-3</v>
      </c>
    </row>
    <row r="548" spans="1:4" x14ac:dyDescent="0.25">
      <c r="A548" s="13">
        <v>40973</v>
      </c>
      <c r="B548" t="s">
        <v>31</v>
      </c>
      <c r="C548">
        <v>305.97864340000001</v>
      </c>
      <c r="D548">
        <v>-1.1267632768267699E-2</v>
      </c>
    </row>
    <row r="549" spans="1:4" x14ac:dyDescent="0.25">
      <c r="A549" s="13">
        <v>40974</v>
      </c>
      <c r="B549" t="s">
        <v>31</v>
      </c>
      <c r="C549">
        <v>301.35098049999999</v>
      </c>
      <c r="D549">
        <v>-1.5124136928571064E-2</v>
      </c>
    </row>
    <row r="550" spans="1:4" x14ac:dyDescent="0.25">
      <c r="A550" s="13">
        <v>40975</v>
      </c>
      <c r="B550" t="s">
        <v>31</v>
      </c>
      <c r="C550">
        <v>302.26754699999998</v>
      </c>
      <c r="D550">
        <v>3.0415248640611736E-3</v>
      </c>
    </row>
    <row r="551" spans="1:4" x14ac:dyDescent="0.25">
      <c r="A551" s="13">
        <v>40976</v>
      </c>
      <c r="B551" t="s">
        <v>31</v>
      </c>
      <c r="C551">
        <v>302.43692019999997</v>
      </c>
      <c r="D551">
        <v>5.6034199397525519E-4</v>
      </c>
    </row>
    <row r="552" spans="1:4" x14ac:dyDescent="0.25">
      <c r="A552" s="13">
        <v>40977</v>
      </c>
      <c r="B552" t="s">
        <v>31</v>
      </c>
      <c r="C552">
        <v>299.00478520000001</v>
      </c>
      <c r="D552">
        <v>-1.1348267260922751E-2</v>
      </c>
    </row>
    <row r="553" spans="1:4" x14ac:dyDescent="0.25">
      <c r="A553" s="13">
        <v>40980</v>
      </c>
      <c r="B553" t="s">
        <v>31</v>
      </c>
      <c r="C553">
        <v>301.44561579999998</v>
      </c>
      <c r="D553">
        <v>8.1631823997978525E-3</v>
      </c>
    </row>
    <row r="554" spans="1:4" x14ac:dyDescent="0.25">
      <c r="A554" s="13">
        <v>40981</v>
      </c>
      <c r="B554" t="s">
        <v>31</v>
      </c>
      <c r="C554">
        <v>307.7370694</v>
      </c>
      <c r="D554">
        <v>2.0870940794090798E-2</v>
      </c>
    </row>
    <row r="555" spans="1:4" x14ac:dyDescent="0.25">
      <c r="A555" s="13">
        <v>40982</v>
      </c>
      <c r="B555" t="s">
        <v>31</v>
      </c>
      <c r="C555">
        <v>306.84540509999999</v>
      </c>
      <c r="D555">
        <v>-2.8974874614179358E-3</v>
      </c>
    </row>
    <row r="556" spans="1:4" x14ac:dyDescent="0.25">
      <c r="A556" s="13">
        <v>40983</v>
      </c>
      <c r="B556" t="s">
        <v>31</v>
      </c>
      <c r="C556">
        <v>309.40580410000001</v>
      </c>
      <c r="D556">
        <v>8.3442637805366537E-3</v>
      </c>
    </row>
    <row r="557" spans="1:4" x14ac:dyDescent="0.25">
      <c r="A557" s="13">
        <v>40984</v>
      </c>
      <c r="B557" t="s">
        <v>31</v>
      </c>
      <c r="C557">
        <v>311.35350010000002</v>
      </c>
      <c r="D557">
        <v>6.29495624901244E-3</v>
      </c>
    </row>
    <row r="558" spans="1:4" x14ac:dyDescent="0.25">
      <c r="A558" s="13">
        <v>40987</v>
      </c>
      <c r="B558" t="s">
        <v>31</v>
      </c>
      <c r="C558">
        <v>315.80681600000003</v>
      </c>
      <c r="D558">
        <v>1.4303086037477319E-2</v>
      </c>
    </row>
    <row r="559" spans="1:4" x14ac:dyDescent="0.25">
      <c r="A559" s="13">
        <v>40988</v>
      </c>
      <c r="B559" t="s">
        <v>31</v>
      </c>
      <c r="C559">
        <v>315.56273590000001</v>
      </c>
      <c r="D559">
        <v>-7.7287787227497962E-4</v>
      </c>
    </row>
    <row r="560" spans="1:4" x14ac:dyDescent="0.25">
      <c r="A560" s="13">
        <v>40989</v>
      </c>
      <c r="B560" t="s">
        <v>31</v>
      </c>
      <c r="C560">
        <v>318.79562120000003</v>
      </c>
      <c r="D560">
        <v>1.0244825932249846E-2</v>
      </c>
    </row>
    <row r="561" spans="1:4" x14ac:dyDescent="0.25">
      <c r="A561" s="13">
        <v>40990</v>
      </c>
      <c r="B561" t="s">
        <v>31</v>
      </c>
      <c r="C561">
        <v>321.81930770000002</v>
      </c>
      <c r="D561">
        <v>9.4847177907222413E-3</v>
      </c>
    </row>
    <row r="562" spans="1:4" x14ac:dyDescent="0.25">
      <c r="A562" s="13">
        <v>40991</v>
      </c>
      <c r="B562" t="s">
        <v>31</v>
      </c>
      <c r="C562">
        <v>320.09576349999998</v>
      </c>
      <c r="D562">
        <v>-5.3556270825326768E-3</v>
      </c>
    </row>
    <row r="563" spans="1:4" x14ac:dyDescent="0.25">
      <c r="A563" s="13">
        <v>40994</v>
      </c>
      <c r="B563" t="s">
        <v>31</v>
      </c>
      <c r="C563">
        <v>323.45316059999999</v>
      </c>
      <c r="D563">
        <v>1.0488727071203519E-2</v>
      </c>
    </row>
    <row r="564" spans="1:4" x14ac:dyDescent="0.25">
      <c r="A564" s="13">
        <v>40995</v>
      </c>
      <c r="B564" t="s">
        <v>31</v>
      </c>
      <c r="C564">
        <v>322.30249359999999</v>
      </c>
      <c r="D564">
        <v>-3.5574455289462126E-3</v>
      </c>
    </row>
    <row r="565" spans="1:4" x14ac:dyDescent="0.25">
      <c r="A565" s="13">
        <v>40996</v>
      </c>
      <c r="B565" t="s">
        <v>31</v>
      </c>
      <c r="C565">
        <v>326.65616949999998</v>
      </c>
      <c r="D565">
        <v>1.3508042867962367E-2</v>
      </c>
    </row>
    <row r="566" spans="1:4" x14ac:dyDescent="0.25">
      <c r="A566" s="13">
        <v>40997</v>
      </c>
      <c r="B566" t="s">
        <v>31</v>
      </c>
      <c r="C566">
        <v>322.99487740000001</v>
      </c>
      <c r="D566">
        <v>-1.1208397213510968E-2</v>
      </c>
    </row>
    <row r="567" spans="1:4" x14ac:dyDescent="0.25">
      <c r="A567" s="13">
        <v>40998</v>
      </c>
      <c r="B567" t="s">
        <v>31</v>
      </c>
      <c r="C567">
        <v>319.42327710000001</v>
      </c>
      <c r="D567">
        <v>-1.1057761438045599E-2</v>
      </c>
    </row>
    <row r="568" spans="1:4" x14ac:dyDescent="0.25">
      <c r="A568" s="13">
        <v>41001</v>
      </c>
      <c r="B568" t="s">
        <v>31</v>
      </c>
      <c r="C568">
        <v>322.25265839999997</v>
      </c>
      <c r="D568">
        <v>8.8577805778198293E-3</v>
      </c>
    </row>
    <row r="569" spans="1:4" x14ac:dyDescent="0.25">
      <c r="A569" s="13">
        <v>41002</v>
      </c>
      <c r="B569" t="s">
        <v>31</v>
      </c>
      <c r="C569">
        <v>320.11068710000001</v>
      </c>
      <c r="D569">
        <v>-6.6468692939104512E-3</v>
      </c>
    </row>
    <row r="570" spans="1:4" x14ac:dyDescent="0.25">
      <c r="A570" s="13">
        <v>41003</v>
      </c>
      <c r="B570" t="s">
        <v>31</v>
      </c>
      <c r="C570">
        <v>316.38964149999998</v>
      </c>
      <c r="D570">
        <v>-1.162424670575779E-2</v>
      </c>
    </row>
    <row r="571" spans="1:4" x14ac:dyDescent="0.25">
      <c r="A571" s="13">
        <v>41004</v>
      </c>
      <c r="B571" t="s">
        <v>31</v>
      </c>
      <c r="C571">
        <v>314.97991000000002</v>
      </c>
      <c r="D571">
        <v>-4.4556815871608091E-3</v>
      </c>
    </row>
    <row r="572" spans="1:4" x14ac:dyDescent="0.25">
      <c r="A572" s="13">
        <v>41008</v>
      </c>
      <c r="B572" t="s">
        <v>31</v>
      </c>
      <c r="C572">
        <v>314.24269570000001</v>
      </c>
      <c r="D572">
        <v>-2.34051212980535E-3</v>
      </c>
    </row>
    <row r="573" spans="1:4" x14ac:dyDescent="0.25">
      <c r="A573" s="13">
        <v>41009</v>
      </c>
      <c r="B573" t="s">
        <v>31</v>
      </c>
      <c r="C573">
        <v>312.26011790000001</v>
      </c>
      <c r="D573">
        <v>-6.3090656588967731E-3</v>
      </c>
    </row>
    <row r="574" spans="1:4" x14ac:dyDescent="0.25">
      <c r="A574" s="13">
        <v>41010</v>
      </c>
      <c r="B574" t="s">
        <v>31</v>
      </c>
      <c r="C574">
        <v>316.79311510000002</v>
      </c>
      <c r="D574">
        <v>1.4516734415157329E-2</v>
      </c>
    </row>
    <row r="575" spans="1:4" x14ac:dyDescent="0.25">
      <c r="A575" s="13">
        <v>41011</v>
      </c>
      <c r="B575" t="s">
        <v>31</v>
      </c>
      <c r="C575">
        <v>324.29004579999997</v>
      </c>
      <c r="D575">
        <v>2.366506828165571E-2</v>
      </c>
    </row>
    <row r="576" spans="1:4" x14ac:dyDescent="0.25">
      <c r="A576" s="13">
        <v>41012</v>
      </c>
      <c r="B576" t="s">
        <v>31</v>
      </c>
      <c r="C576">
        <v>311.13432269999998</v>
      </c>
      <c r="D576">
        <v>-4.0567767251522557E-2</v>
      </c>
    </row>
    <row r="577" spans="1:4" x14ac:dyDescent="0.25">
      <c r="A577" s="13">
        <v>41015</v>
      </c>
      <c r="B577" t="s">
        <v>31</v>
      </c>
      <c r="C577">
        <v>301.90389909999999</v>
      </c>
      <c r="D577">
        <v>-2.9667005298223192E-2</v>
      </c>
    </row>
    <row r="578" spans="1:4" x14ac:dyDescent="0.25">
      <c r="A578" s="13">
        <v>41016</v>
      </c>
      <c r="B578" t="s">
        <v>31</v>
      </c>
      <c r="C578">
        <v>303.64737109999999</v>
      </c>
      <c r="D578">
        <v>5.7749237595057235E-3</v>
      </c>
    </row>
    <row r="579" spans="1:4" x14ac:dyDescent="0.25">
      <c r="A579" s="13">
        <v>41017</v>
      </c>
      <c r="B579" t="s">
        <v>31</v>
      </c>
      <c r="C579">
        <v>302.59133939999998</v>
      </c>
      <c r="D579">
        <v>-3.4778226341114493E-3</v>
      </c>
    </row>
    <row r="580" spans="1:4" x14ac:dyDescent="0.25">
      <c r="A580" s="13">
        <v>41018</v>
      </c>
      <c r="B580" t="s">
        <v>31</v>
      </c>
      <c r="C580">
        <v>298.53154849999999</v>
      </c>
      <c r="D580">
        <v>-1.3416745198491231E-2</v>
      </c>
    </row>
    <row r="581" spans="1:4" x14ac:dyDescent="0.25">
      <c r="A581" s="13">
        <v>41019</v>
      </c>
      <c r="B581" t="s">
        <v>31</v>
      </c>
      <c r="C581">
        <v>296.91759300000001</v>
      </c>
      <c r="D581">
        <v>-5.4063147031174763E-3</v>
      </c>
    </row>
    <row r="582" spans="1:4" x14ac:dyDescent="0.25">
      <c r="A582" s="13">
        <v>41022</v>
      </c>
      <c r="B582" t="s">
        <v>31</v>
      </c>
      <c r="C582">
        <v>297.68471460000001</v>
      </c>
      <c r="D582">
        <v>2.583617872720545E-3</v>
      </c>
    </row>
    <row r="583" spans="1:4" x14ac:dyDescent="0.25">
      <c r="A583" s="13">
        <v>41023</v>
      </c>
      <c r="B583" t="s">
        <v>31</v>
      </c>
      <c r="C583">
        <v>299.5128732</v>
      </c>
      <c r="D583">
        <v>6.1412578823756281E-3</v>
      </c>
    </row>
    <row r="584" spans="1:4" x14ac:dyDescent="0.25">
      <c r="A584" s="13">
        <v>41024</v>
      </c>
      <c r="B584" t="s">
        <v>31</v>
      </c>
      <c r="C584">
        <v>303.72210899999999</v>
      </c>
      <c r="D584">
        <v>1.4053605626457522E-2</v>
      </c>
    </row>
    <row r="585" spans="1:4" x14ac:dyDescent="0.25">
      <c r="A585" s="13">
        <v>41025</v>
      </c>
      <c r="B585" t="s">
        <v>31</v>
      </c>
      <c r="C585">
        <v>306.58637149999998</v>
      </c>
      <c r="D585">
        <v>9.4305367147309305E-3</v>
      </c>
    </row>
    <row r="586" spans="1:4" x14ac:dyDescent="0.25">
      <c r="A586" s="13">
        <v>41026</v>
      </c>
      <c r="B586" t="s">
        <v>31</v>
      </c>
      <c r="C586">
        <v>306.34229190000002</v>
      </c>
      <c r="D586">
        <v>-7.9612018892349923E-4</v>
      </c>
    </row>
    <row r="587" spans="1:4" x14ac:dyDescent="0.25">
      <c r="A587" s="13">
        <v>41029</v>
      </c>
      <c r="B587" t="s">
        <v>31</v>
      </c>
      <c r="C587">
        <v>301.29620139999997</v>
      </c>
      <c r="D587">
        <v>-1.6472066160709065E-2</v>
      </c>
    </row>
    <row r="588" spans="1:4" x14ac:dyDescent="0.25">
      <c r="A588" s="13">
        <v>41030</v>
      </c>
      <c r="B588" t="s">
        <v>31</v>
      </c>
      <c r="C588">
        <v>301.08697260000002</v>
      </c>
      <c r="D588">
        <v>-6.9442893414439766E-4</v>
      </c>
    </row>
    <row r="589" spans="1:4" x14ac:dyDescent="0.25">
      <c r="A589" s="13">
        <v>41031</v>
      </c>
      <c r="B589" t="s">
        <v>31</v>
      </c>
      <c r="C589">
        <v>302.49670409999999</v>
      </c>
      <c r="D589">
        <v>4.6821404719918913E-3</v>
      </c>
    </row>
    <row r="590" spans="1:4" x14ac:dyDescent="0.25">
      <c r="A590" s="13">
        <v>41032</v>
      </c>
      <c r="B590" t="s">
        <v>31</v>
      </c>
      <c r="C590">
        <v>304.36966230000002</v>
      </c>
      <c r="D590">
        <v>6.1916648168862665E-3</v>
      </c>
    </row>
    <row r="591" spans="1:4" x14ac:dyDescent="0.25">
      <c r="A591" s="13">
        <v>41033</v>
      </c>
      <c r="B591" t="s">
        <v>31</v>
      </c>
      <c r="C591">
        <v>297.37090189999998</v>
      </c>
      <c r="D591">
        <v>-2.2994277245350969E-2</v>
      </c>
    </row>
    <row r="592" spans="1:4" x14ac:dyDescent="0.25">
      <c r="A592" s="13">
        <v>41036</v>
      </c>
      <c r="B592" t="s">
        <v>31</v>
      </c>
      <c r="C592">
        <v>302.64114369999999</v>
      </c>
      <c r="D592">
        <v>1.7722789171121578E-2</v>
      </c>
    </row>
    <row r="593" spans="1:4" x14ac:dyDescent="0.25">
      <c r="A593" s="13">
        <v>41037</v>
      </c>
      <c r="B593" t="s">
        <v>31</v>
      </c>
      <c r="C593">
        <v>305.25137790000002</v>
      </c>
      <c r="D593">
        <v>8.6248491136666772E-3</v>
      </c>
    </row>
    <row r="594" spans="1:4" x14ac:dyDescent="0.25">
      <c r="A594" s="13">
        <v>41038</v>
      </c>
      <c r="B594" t="s">
        <v>31</v>
      </c>
      <c r="C594">
        <v>303.4381727</v>
      </c>
      <c r="D594">
        <v>-5.9400393618993519E-3</v>
      </c>
    </row>
    <row r="595" spans="1:4" x14ac:dyDescent="0.25">
      <c r="A595" s="13">
        <v>41039</v>
      </c>
      <c r="B595" t="s">
        <v>31</v>
      </c>
      <c r="C595">
        <v>305.68475899999999</v>
      </c>
      <c r="D595">
        <v>7.4037695389799207E-3</v>
      </c>
    </row>
    <row r="596" spans="1:4" x14ac:dyDescent="0.25">
      <c r="A596" s="13">
        <v>41040</v>
      </c>
      <c r="B596" t="s">
        <v>31</v>
      </c>
      <c r="C596">
        <v>301.48547189999999</v>
      </c>
      <c r="D596">
        <v>-1.3737312628007037E-2</v>
      </c>
    </row>
    <row r="597" spans="1:4" x14ac:dyDescent="0.25">
      <c r="A597" s="13">
        <v>41043</v>
      </c>
      <c r="B597" t="s">
        <v>31</v>
      </c>
      <c r="C597">
        <v>300.8727695</v>
      </c>
      <c r="D597">
        <v>-2.0322783586839144E-3</v>
      </c>
    </row>
    <row r="598" spans="1:4" x14ac:dyDescent="0.25">
      <c r="A598" s="13">
        <v>41044</v>
      </c>
      <c r="B598" t="s">
        <v>31</v>
      </c>
      <c r="C598">
        <v>304.41449269999998</v>
      </c>
      <c r="D598">
        <v>1.1771497985296975E-2</v>
      </c>
    </row>
    <row r="599" spans="1:4" x14ac:dyDescent="0.25">
      <c r="A599" s="13">
        <v>41045</v>
      </c>
      <c r="B599" t="s">
        <v>31</v>
      </c>
      <c r="C599">
        <v>313.2912475</v>
      </c>
      <c r="D599">
        <v>2.9160092613422561E-2</v>
      </c>
    </row>
    <row r="600" spans="1:4" x14ac:dyDescent="0.25">
      <c r="A600" s="13">
        <v>41046</v>
      </c>
      <c r="B600" t="s">
        <v>31</v>
      </c>
      <c r="C600">
        <v>310.36222670000001</v>
      </c>
      <c r="D600">
        <v>-9.3491944743844257E-3</v>
      </c>
    </row>
    <row r="601" spans="1:4" x14ac:dyDescent="0.25">
      <c r="A601" s="13">
        <v>41047</v>
      </c>
      <c r="B601" t="s">
        <v>31</v>
      </c>
      <c r="C601">
        <v>299.07949209999998</v>
      </c>
      <c r="D601">
        <v>-3.6353440043159768E-2</v>
      </c>
    </row>
    <row r="602" spans="1:4" x14ac:dyDescent="0.25">
      <c r="A602" s="13">
        <v>41050</v>
      </c>
      <c r="B602" t="s">
        <v>31</v>
      </c>
      <c r="C602">
        <v>305.9089108</v>
      </c>
      <c r="D602">
        <v>2.2834794362017075E-2</v>
      </c>
    </row>
    <row r="603" spans="1:4" x14ac:dyDescent="0.25">
      <c r="A603" s="13">
        <v>41051</v>
      </c>
      <c r="B603" t="s">
        <v>31</v>
      </c>
      <c r="C603">
        <v>299.27874179999998</v>
      </c>
      <c r="D603">
        <v>-2.1673670710215975E-2</v>
      </c>
    </row>
    <row r="604" spans="1:4" x14ac:dyDescent="0.25">
      <c r="A604" s="13">
        <v>41052</v>
      </c>
      <c r="B604" t="s">
        <v>31</v>
      </c>
      <c r="C604">
        <v>303.5925919</v>
      </c>
      <c r="D604">
        <v>1.4414154757717013E-2</v>
      </c>
    </row>
    <row r="605" spans="1:4" x14ac:dyDescent="0.25">
      <c r="A605" s="13">
        <v>41053</v>
      </c>
      <c r="B605" t="s">
        <v>31</v>
      </c>
      <c r="C605">
        <v>300.70339630000001</v>
      </c>
      <c r="D605">
        <v>-9.5166867607614503E-3</v>
      </c>
    </row>
    <row r="606" spans="1:4" x14ac:dyDescent="0.25">
      <c r="A606" s="13">
        <v>41054</v>
      </c>
      <c r="B606" t="s">
        <v>31</v>
      </c>
      <c r="C606">
        <v>294.66105800000003</v>
      </c>
      <c r="D606">
        <v>-2.009401414931733E-2</v>
      </c>
    </row>
    <row r="607" spans="1:4" x14ac:dyDescent="0.25">
      <c r="A607" s="13">
        <v>41058</v>
      </c>
      <c r="B607" t="s">
        <v>31</v>
      </c>
      <c r="C607">
        <v>296.06081039999998</v>
      </c>
      <c r="D607">
        <v>4.75038136868422E-3</v>
      </c>
    </row>
    <row r="608" spans="1:4" x14ac:dyDescent="0.25">
      <c r="A608" s="13">
        <v>41059</v>
      </c>
      <c r="B608" t="s">
        <v>31</v>
      </c>
      <c r="C608">
        <v>293.01719559999998</v>
      </c>
      <c r="D608">
        <v>-1.0280370427574792E-2</v>
      </c>
    </row>
    <row r="609" spans="1:4" x14ac:dyDescent="0.25">
      <c r="A609" s="13">
        <v>41060</v>
      </c>
      <c r="B609" t="s">
        <v>31</v>
      </c>
      <c r="C609">
        <v>289.34595530000001</v>
      </c>
      <c r="D609">
        <v>-1.2529095067211005E-2</v>
      </c>
    </row>
    <row r="610" spans="1:4" x14ac:dyDescent="0.25">
      <c r="A610" s="13">
        <v>41061</v>
      </c>
      <c r="B610" t="s">
        <v>31</v>
      </c>
      <c r="C610">
        <v>284.42440749999997</v>
      </c>
      <c r="D610">
        <v>-1.7009215818818979E-2</v>
      </c>
    </row>
    <row r="611" spans="1:4" x14ac:dyDescent="0.25">
      <c r="A611" s="13">
        <v>41064</v>
      </c>
      <c r="B611" t="s">
        <v>31</v>
      </c>
      <c r="C611">
        <v>288.21518520000001</v>
      </c>
      <c r="D611">
        <v>1.3327891700011918E-2</v>
      </c>
    </row>
    <row r="612" spans="1:4" x14ac:dyDescent="0.25">
      <c r="A612" s="13">
        <v>41065</v>
      </c>
      <c r="B612" t="s">
        <v>31</v>
      </c>
      <c r="C612">
        <v>284.1404713</v>
      </c>
      <c r="D612">
        <v>-1.4137748839196163E-2</v>
      </c>
    </row>
    <row r="613" spans="1:4" x14ac:dyDescent="0.25">
      <c r="A613" s="13">
        <v>41066</v>
      </c>
      <c r="B613" t="s">
        <v>31</v>
      </c>
      <c r="C613">
        <v>289.2014848</v>
      </c>
      <c r="D613">
        <v>1.7811660116015204E-2</v>
      </c>
    </row>
    <row r="614" spans="1:4" x14ac:dyDescent="0.25">
      <c r="A614" s="13">
        <v>41067</v>
      </c>
      <c r="B614" t="s">
        <v>31</v>
      </c>
      <c r="C614">
        <v>288.03586389999998</v>
      </c>
      <c r="D614">
        <v>-4.0304803442006154E-3</v>
      </c>
    </row>
    <row r="615" spans="1:4" x14ac:dyDescent="0.25">
      <c r="A615" s="13">
        <v>41068</v>
      </c>
      <c r="B615" t="s">
        <v>31</v>
      </c>
      <c r="C615">
        <v>289.1417313</v>
      </c>
      <c r="D615">
        <v>3.8393392580584607E-3</v>
      </c>
    </row>
    <row r="616" spans="1:4" x14ac:dyDescent="0.25">
      <c r="A616" s="13">
        <v>41071</v>
      </c>
      <c r="B616" t="s">
        <v>31</v>
      </c>
      <c r="C616">
        <v>283.18902300000002</v>
      </c>
      <c r="D616">
        <v>-2.0587510053412972E-2</v>
      </c>
    </row>
    <row r="617" spans="1:4" x14ac:dyDescent="0.25">
      <c r="A617" s="13">
        <v>41072</v>
      </c>
      <c r="B617" t="s">
        <v>31</v>
      </c>
      <c r="C617">
        <v>281.49535580000003</v>
      </c>
      <c r="D617">
        <v>-5.9806950921257318E-3</v>
      </c>
    </row>
    <row r="618" spans="1:4" x14ac:dyDescent="0.25">
      <c r="A618" s="13">
        <v>41073</v>
      </c>
      <c r="B618" t="s">
        <v>31</v>
      </c>
      <c r="C618">
        <v>279.49785489999999</v>
      </c>
      <c r="D618">
        <v>-7.0960350103226322E-3</v>
      </c>
    </row>
    <row r="619" spans="1:4" x14ac:dyDescent="0.25">
      <c r="A619" s="13">
        <v>41074</v>
      </c>
      <c r="B619" t="s">
        <v>31</v>
      </c>
      <c r="C619">
        <v>278.48164789999998</v>
      </c>
      <c r="D619">
        <v>-3.6358311242267183E-3</v>
      </c>
    </row>
    <row r="620" spans="1:4" x14ac:dyDescent="0.25">
      <c r="A620" s="13">
        <v>41075</v>
      </c>
      <c r="B620" t="s">
        <v>31</v>
      </c>
      <c r="C620">
        <v>281.2014709</v>
      </c>
      <c r="D620">
        <v>9.7666148577828515E-3</v>
      </c>
    </row>
    <row r="621" spans="1:4" x14ac:dyDescent="0.25">
      <c r="A621" s="13">
        <v>41078</v>
      </c>
      <c r="B621" t="s">
        <v>31</v>
      </c>
      <c r="C621">
        <v>284.35964869999998</v>
      </c>
      <c r="D621">
        <v>1.1231014510315607E-2</v>
      </c>
    </row>
    <row r="622" spans="1:4" x14ac:dyDescent="0.25">
      <c r="A622" s="13">
        <v>41079</v>
      </c>
      <c r="B622" t="s">
        <v>31</v>
      </c>
      <c r="C622">
        <v>289.67969590000001</v>
      </c>
      <c r="D622">
        <v>1.8708868238941578E-2</v>
      </c>
    </row>
    <row r="623" spans="1:4" x14ac:dyDescent="0.25">
      <c r="A623" s="13">
        <v>41080</v>
      </c>
      <c r="B623" t="s">
        <v>31</v>
      </c>
      <c r="C623">
        <v>287.67722070000002</v>
      </c>
      <c r="D623">
        <v>-6.9127219765214853E-3</v>
      </c>
    </row>
    <row r="624" spans="1:4" x14ac:dyDescent="0.25">
      <c r="A624" s="13">
        <v>41081</v>
      </c>
      <c r="B624" t="s">
        <v>31</v>
      </c>
      <c r="C624">
        <v>281.55016540000003</v>
      </c>
      <c r="D624">
        <v>-2.1298367959378672E-2</v>
      </c>
    </row>
    <row r="625" spans="1:4" x14ac:dyDescent="0.25">
      <c r="A625" s="13">
        <v>41082</v>
      </c>
      <c r="B625" t="s">
        <v>31</v>
      </c>
      <c r="C625">
        <v>284.67346199999997</v>
      </c>
      <c r="D625">
        <v>1.1093215291003933E-2</v>
      </c>
    </row>
    <row r="626" spans="1:4" x14ac:dyDescent="0.25">
      <c r="A626" s="13">
        <v>41085</v>
      </c>
      <c r="B626" t="s">
        <v>31</v>
      </c>
      <c r="C626">
        <v>279.30357959999998</v>
      </c>
      <c r="D626">
        <v>-1.886330521388746E-2</v>
      </c>
    </row>
    <row r="627" spans="1:4" x14ac:dyDescent="0.25">
      <c r="A627" s="13">
        <v>41086</v>
      </c>
      <c r="B627" t="s">
        <v>31</v>
      </c>
      <c r="C627">
        <v>281.28615739999998</v>
      </c>
      <c r="D627">
        <v>7.0982899783786912E-3</v>
      </c>
    </row>
    <row r="628" spans="1:4" x14ac:dyDescent="0.25">
      <c r="A628" s="13">
        <v>41087</v>
      </c>
      <c r="B628" t="s">
        <v>31</v>
      </c>
      <c r="C628">
        <v>283.58752229999999</v>
      </c>
      <c r="D628">
        <v>8.1815789346768586E-3</v>
      </c>
    </row>
    <row r="629" spans="1:4" x14ac:dyDescent="0.25">
      <c r="A629" s="13">
        <v>41088</v>
      </c>
      <c r="B629" t="s">
        <v>31</v>
      </c>
      <c r="C629">
        <v>281.10183080000002</v>
      </c>
      <c r="D629">
        <v>-8.7651652648187417E-3</v>
      </c>
    </row>
    <row r="630" spans="1:4" x14ac:dyDescent="0.25">
      <c r="A630" s="13">
        <v>41089</v>
      </c>
      <c r="B630" t="s">
        <v>31</v>
      </c>
      <c r="C630">
        <v>288.95243040000003</v>
      </c>
      <c r="D630">
        <v>2.792795613482002E-2</v>
      </c>
    </row>
    <row r="631" spans="1:4" x14ac:dyDescent="0.25">
      <c r="A631" s="13">
        <v>41092</v>
      </c>
      <c r="B631" t="s">
        <v>31</v>
      </c>
      <c r="C631">
        <v>289.15168</v>
      </c>
      <c r="D631">
        <v>6.8955848450258372E-4</v>
      </c>
    </row>
    <row r="632" spans="1:4" x14ac:dyDescent="0.25">
      <c r="A632" s="13">
        <v>41093</v>
      </c>
      <c r="B632" t="s">
        <v>31</v>
      </c>
      <c r="C632">
        <v>292.81794600000001</v>
      </c>
      <c r="D632">
        <v>1.2679386818710503E-2</v>
      </c>
    </row>
    <row r="633" spans="1:4" x14ac:dyDescent="0.25">
      <c r="A633" s="13">
        <v>41095</v>
      </c>
      <c r="B633" t="s">
        <v>31</v>
      </c>
      <c r="C633">
        <v>296.84785979999998</v>
      </c>
      <c r="D633">
        <v>1.3762523284689632E-2</v>
      </c>
    </row>
    <row r="634" spans="1:4" x14ac:dyDescent="0.25">
      <c r="A634" s="13">
        <v>41096</v>
      </c>
      <c r="B634" t="s">
        <v>31</v>
      </c>
      <c r="C634">
        <v>291.89640509999998</v>
      </c>
      <c r="D634">
        <v>-1.6680109141888444E-2</v>
      </c>
    </row>
    <row r="635" spans="1:4" x14ac:dyDescent="0.25">
      <c r="A635" s="13">
        <v>41099</v>
      </c>
      <c r="B635" t="s">
        <v>31</v>
      </c>
      <c r="C635">
        <v>291.91135860000003</v>
      </c>
      <c r="D635">
        <v>5.1228791238200344E-5</v>
      </c>
    </row>
    <row r="636" spans="1:4" x14ac:dyDescent="0.25">
      <c r="A636" s="13">
        <v>41100</v>
      </c>
      <c r="B636" t="s">
        <v>31</v>
      </c>
      <c r="C636">
        <v>289.76438250000001</v>
      </c>
      <c r="D636">
        <v>-7.3548905746486648E-3</v>
      </c>
    </row>
    <row r="637" spans="1:4" x14ac:dyDescent="0.25">
      <c r="A637" s="13">
        <v>41101</v>
      </c>
      <c r="B637" t="s">
        <v>31</v>
      </c>
      <c r="C637">
        <v>284.52899150000002</v>
      </c>
      <c r="D637">
        <v>-1.8067751995019532E-2</v>
      </c>
    </row>
    <row r="638" spans="1:4" x14ac:dyDescent="0.25">
      <c r="A638" s="13">
        <v>41102</v>
      </c>
      <c r="B638" t="s">
        <v>31</v>
      </c>
      <c r="C638">
        <v>284.17532260000002</v>
      </c>
      <c r="D638">
        <v>-1.2429977631998046E-3</v>
      </c>
    </row>
    <row r="639" spans="1:4" x14ac:dyDescent="0.25">
      <c r="A639" s="13">
        <v>41103</v>
      </c>
      <c r="B639" t="s">
        <v>31</v>
      </c>
      <c r="C639">
        <v>287.18405569999999</v>
      </c>
      <c r="D639">
        <v>1.0587594561245695E-2</v>
      </c>
    </row>
    <row r="640" spans="1:4" x14ac:dyDescent="0.25">
      <c r="A640" s="13">
        <v>41106</v>
      </c>
      <c r="B640" t="s">
        <v>31</v>
      </c>
      <c r="C640">
        <v>286.38705700000003</v>
      </c>
      <c r="D640">
        <v>-2.7752191815012539E-3</v>
      </c>
    </row>
    <row r="641" spans="1:4" x14ac:dyDescent="0.25">
      <c r="A641" s="13">
        <v>41107</v>
      </c>
      <c r="B641" t="s">
        <v>31</v>
      </c>
      <c r="C641">
        <v>287.28867000000002</v>
      </c>
      <c r="D641">
        <v>3.1482323588387651E-3</v>
      </c>
    </row>
    <row r="642" spans="1:4" x14ac:dyDescent="0.25">
      <c r="A642" s="13">
        <v>41108</v>
      </c>
      <c r="B642" t="s">
        <v>31</v>
      </c>
      <c r="C642">
        <v>289.29615050000001</v>
      </c>
      <c r="D642">
        <v>6.9876772376717966E-3</v>
      </c>
    </row>
    <row r="643" spans="1:4" x14ac:dyDescent="0.25">
      <c r="A643" s="13">
        <v>41109</v>
      </c>
      <c r="B643" t="s">
        <v>31</v>
      </c>
      <c r="C643">
        <v>295.42317489999999</v>
      </c>
      <c r="D643">
        <v>2.1179073380030999E-2</v>
      </c>
    </row>
    <row r="644" spans="1:4" x14ac:dyDescent="0.25">
      <c r="A644" s="13">
        <v>41110</v>
      </c>
      <c r="B644" t="s">
        <v>31</v>
      </c>
      <c r="C644">
        <v>304.27005309999998</v>
      </c>
      <c r="D644">
        <v>2.9946459694621508E-2</v>
      </c>
    </row>
    <row r="645" spans="1:4" x14ac:dyDescent="0.25">
      <c r="A645" s="13">
        <v>41113</v>
      </c>
      <c r="B645" t="s">
        <v>31</v>
      </c>
      <c r="C645">
        <v>306.60629979999999</v>
      </c>
      <c r="D645">
        <v>7.6782012432625724E-3</v>
      </c>
    </row>
    <row r="646" spans="1:4" x14ac:dyDescent="0.25">
      <c r="A646" s="13">
        <v>41114</v>
      </c>
      <c r="B646" t="s">
        <v>31</v>
      </c>
      <c r="C646">
        <v>302.65112329999999</v>
      </c>
      <c r="D646">
        <v>-1.2899853990540833E-2</v>
      </c>
    </row>
    <row r="647" spans="1:4" x14ac:dyDescent="0.25">
      <c r="A647" s="13">
        <v>41115</v>
      </c>
      <c r="B647" t="s">
        <v>31</v>
      </c>
      <c r="C647">
        <v>302.86032169999999</v>
      </c>
      <c r="D647">
        <v>6.9121963837104339E-4</v>
      </c>
    </row>
    <row r="648" spans="1:4" x14ac:dyDescent="0.25">
      <c r="A648" s="13">
        <v>41116</v>
      </c>
      <c r="B648" t="s">
        <v>31</v>
      </c>
      <c r="C648">
        <v>305.53531409999999</v>
      </c>
      <c r="D648">
        <v>8.8324293687098709E-3</v>
      </c>
    </row>
    <row r="649" spans="1:4" x14ac:dyDescent="0.25">
      <c r="A649" s="13">
        <v>41117</v>
      </c>
      <c r="B649" t="s">
        <v>31</v>
      </c>
      <c r="C649">
        <v>316.29500669999999</v>
      </c>
      <c r="D649">
        <v>3.5215872285317529E-2</v>
      </c>
    </row>
    <row r="650" spans="1:4" x14ac:dyDescent="0.25">
      <c r="A650" s="13">
        <v>41120</v>
      </c>
      <c r="B650" t="s">
        <v>31</v>
      </c>
      <c r="C650">
        <v>314.96996130000002</v>
      </c>
      <c r="D650">
        <v>-4.189270686959512E-3</v>
      </c>
    </row>
    <row r="651" spans="1:4" x14ac:dyDescent="0.25">
      <c r="A651" s="13">
        <v>41121</v>
      </c>
      <c r="B651" t="s">
        <v>31</v>
      </c>
      <c r="C651">
        <v>315.3037023</v>
      </c>
      <c r="D651">
        <v>1.0595962822057547E-3</v>
      </c>
    </row>
    <row r="652" spans="1:4" x14ac:dyDescent="0.25">
      <c r="A652" s="13">
        <v>41122</v>
      </c>
      <c r="B652" t="s">
        <v>31</v>
      </c>
      <c r="C652">
        <v>315.1592622</v>
      </c>
      <c r="D652">
        <v>-4.5809833169219161E-4</v>
      </c>
    </row>
    <row r="653" spans="1:4" x14ac:dyDescent="0.25">
      <c r="A653" s="13">
        <v>41123</v>
      </c>
      <c r="B653" t="s">
        <v>31</v>
      </c>
      <c r="C653">
        <v>313.20158709999998</v>
      </c>
      <c r="D653">
        <v>-6.2117009867781459E-3</v>
      </c>
    </row>
    <row r="654" spans="1:4" x14ac:dyDescent="0.25">
      <c r="A654" s="13">
        <v>41124</v>
      </c>
      <c r="B654" t="s">
        <v>31</v>
      </c>
      <c r="C654">
        <v>319.4681076</v>
      </c>
      <c r="D654">
        <v>2.0007946185787384E-2</v>
      </c>
    </row>
    <row r="655" spans="1:4" x14ac:dyDescent="0.25">
      <c r="A655" s="13">
        <v>41127</v>
      </c>
      <c r="B655" t="s">
        <v>31</v>
      </c>
      <c r="C655">
        <v>320.21032709999997</v>
      </c>
      <c r="D655">
        <v>2.3232976386153847E-3</v>
      </c>
    </row>
    <row r="656" spans="1:4" x14ac:dyDescent="0.25">
      <c r="A656" s="13">
        <v>41128</v>
      </c>
      <c r="B656" t="s">
        <v>31</v>
      </c>
      <c r="C656">
        <v>319.07458259999999</v>
      </c>
      <c r="D656">
        <v>-3.5468703032969229E-3</v>
      </c>
    </row>
    <row r="657" spans="1:4" x14ac:dyDescent="0.25">
      <c r="A657" s="13">
        <v>41129</v>
      </c>
      <c r="B657" t="s">
        <v>31</v>
      </c>
      <c r="C657">
        <v>319.91641170000003</v>
      </c>
      <c r="D657">
        <v>2.6383458473575594E-3</v>
      </c>
    </row>
    <row r="658" spans="1:4" x14ac:dyDescent="0.25">
      <c r="A658" s="13">
        <v>41130</v>
      </c>
      <c r="B658" t="s">
        <v>31</v>
      </c>
      <c r="C658">
        <v>319.97619570000001</v>
      </c>
      <c r="D658">
        <v>1.8687381395121605E-4</v>
      </c>
    </row>
    <row r="659" spans="1:4" x14ac:dyDescent="0.25">
      <c r="A659" s="13">
        <v>41131</v>
      </c>
      <c r="B659" t="s">
        <v>31</v>
      </c>
      <c r="C659">
        <v>319.80184819999999</v>
      </c>
      <c r="D659">
        <v>-5.4487647000922568E-4</v>
      </c>
    </row>
    <row r="660" spans="1:4" x14ac:dyDescent="0.25">
      <c r="A660" s="13">
        <v>41134</v>
      </c>
      <c r="B660" t="s">
        <v>31</v>
      </c>
      <c r="C660">
        <v>328.77323819999998</v>
      </c>
      <c r="D660">
        <v>2.8052964829613503E-2</v>
      </c>
    </row>
    <row r="661" spans="1:4" x14ac:dyDescent="0.25">
      <c r="A661" s="13">
        <v>41135</v>
      </c>
      <c r="B661" t="s">
        <v>31</v>
      </c>
      <c r="C661">
        <v>333.08211399999999</v>
      </c>
      <c r="D661">
        <v>1.310592012777767E-2</v>
      </c>
    </row>
    <row r="662" spans="1:4" x14ac:dyDescent="0.25">
      <c r="A662" s="13">
        <v>41136</v>
      </c>
      <c r="B662" t="s">
        <v>31</v>
      </c>
      <c r="C662">
        <v>332.52419070000002</v>
      </c>
      <c r="D662">
        <v>-1.6750323014942392E-3</v>
      </c>
    </row>
    <row r="663" spans="1:4" x14ac:dyDescent="0.25">
      <c r="A663" s="13">
        <v>41137</v>
      </c>
      <c r="B663" t="s">
        <v>31</v>
      </c>
      <c r="C663">
        <v>335.17925539999999</v>
      </c>
      <c r="D663">
        <v>7.9845760827528256E-3</v>
      </c>
    </row>
    <row r="664" spans="1:4" x14ac:dyDescent="0.25">
      <c r="A664" s="13">
        <v>41138</v>
      </c>
      <c r="B664" t="s">
        <v>31</v>
      </c>
      <c r="C664">
        <v>337.30627279999999</v>
      </c>
      <c r="D664">
        <v>6.3459100339060548E-3</v>
      </c>
    </row>
    <row r="665" spans="1:4" x14ac:dyDescent="0.25">
      <c r="A665" s="13">
        <v>41141</v>
      </c>
      <c r="B665" t="s">
        <v>31</v>
      </c>
      <c r="C665">
        <v>336.50927460000003</v>
      </c>
      <c r="D665">
        <v>-2.3628324293646363E-3</v>
      </c>
    </row>
    <row r="666" spans="1:4" x14ac:dyDescent="0.25">
      <c r="A666" s="13">
        <v>41142</v>
      </c>
      <c r="B666" t="s">
        <v>31</v>
      </c>
      <c r="C666">
        <v>333.505516</v>
      </c>
      <c r="D666">
        <v>-8.926228269846348E-3</v>
      </c>
    </row>
    <row r="667" spans="1:4" x14ac:dyDescent="0.25">
      <c r="A667" s="13">
        <v>41143</v>
      </c>
      <c r="B667" t="s">
        <v>31</v>
      </c>
      <c r="C667">
        <v>337.32620109999999</v>
      </c>
      <c r="D667">
        <v>1.1456137655006637E-2</v>
      </c>
    </row>
    <row r="668" spans="1:4" x14ac:dyDescent="0.25">
      <c r="A668" s="13">
        <v>41144</v>
      </c>
      <c r="B668" t="s">
        <v>31</v>
      </c>
      <c r="C668">
        <v>337.13690009999999</v>
      </c>
      <c r="D668">
        <v>-5.6118083736955704E-4</v>
      </c>
    </row>
    <row r="669" spans="1:4" x14ac:dyDescent="0.25">
      <c r="A669" s="13">
        <v>41145</v>
      </c>
      <c r="B669" t="s">
        <v>31</v>
      </c>
      <c r="C669">
        <v>338.04849230000002</v>
      </c>
      <c r="D669">
        <v>2.7039229456331526E-3</v>
      </c>
    </row>
    <row r="670" spans="1:4" x14ac:dyDescent="0.25">
      <c r="A670" s="13">
        <v>41148</v>
      </c>
      <c r="B670" t="s">
        <v>31</v>
      </c>
      <c r="C670">
        <v>333.36104549999999</v>
      </c>
      <c r="D670">
        <v>-1.3866196438587219E-2</v>
      </c>
    </row>
    <row r="671" spans="1:4" x14ac:dyDescent="0.25">
      <c r="A671" s="13">
        <v>41149</v>
      </c>
      <c r="B671" t="s">
        <v>31</v>
      </c>
      <c r="C671">
        <v>337.36108280000002</v>
      </c>
      <c r="D671">
        <v>1.1999114335631056E-2</v>
      </c>
    </row>
    <row r="672" spans="1:4" x14ac:dyDescent="0.25">
      <c r="A672" s="13">
        <v>41150</v>
      </c>
      <c r="B672" t="s">
        <v>31</v>
      </c>
      <c r="C672">
        <v>342.72098560000001</v>
      </c>
      <c r="D672">
        <v>1.5887732975938818E-2</v>
      </c>
    </row>
    <row r="673" spans="1:4" x14ac:dyDescent="0.25">
      <c r="A673" s="13">
        <v>41151</v>
      </c>
      <c r="B673" t="s">
        <v>31</v>
      </c>
      <c r="C673">
        <v>339.5678125</v>
      </c>
      <c r="D673">
        <v>-9.200408590328224E-3</v>
      </c>
    </row>
    <row r="674" spans="1:4" x14ac:dyDescent="0.25">
      <c r="A674" s="13">
        <v>41152</v>
      </c>
      <c r="B674" t="s">
        <v>31</v>
      </c>
      <c r="C674">
        <v>341.26642370000002</v>
      </c>
      <c r="D674">
        <v>5.0022738830701741E-3</v>
      </c>
    </row>
    <row r="675" spans="1:4" x14ac:dyDescent="0.25">
      <c r="A675" s="13">
        <v>41156</v>
      </c>
      <c r="B675" t="s">
        <v>31</v>
      </c>
      <c r="C675">
        <v>339.24899499999998</v>
      </c>
      <c r="D675">
        <v>-5.9115944607943671E-3</v>
      </c>
    </row>
    <row r="676" spans="1:4" x14ac:dyDescent="0.25">
      <c r="A676" s="13">
        <v>41157</v>
      </c>
      <c r="B676" t="s">
        <v>31</v>
      </c>
      <c r="C676">
        <v>339.08960139999999</v>
      </c>
      <c r="D676">
        <v>-4.6984251198733951E-4</v>
      </c>
    </row>
    <row r="677" spans="1:4" x14ac:dyDescent="0.25">
      <c r="A677" s="13">
        <v>41158</v>
      </c>
      <c r="B677" t="s">
        <v>31</v>
      </c>
      <c r="C677">
        <v>348.39473199999998</v>
      </c>
      <c r="D677">
        <v>2.7441509741324532E-2</v>
      </c>
    </row>
    <row r="678" spans="1:4" x14ac:dyDescent="0.25">
      <c r="A678" s="13">
        <v>41159</v>
      </c>
      <c r="B678" t="s">
        <v>31</v>
      </c>
      <c r="C678">
        <v>351.75713389999999</v>
      </c>
      <c r="D678">
        <v>9.651127273646587E-3</v>
      </c>
    </row>
    <row r="679" spans="1:4" x14ac:dyDescent="0.25">
      <c r="A679" s="13">
        <v>41162</v>
      </c>
      <c r="B679" t="s">
        <v>31</v>
      </c>
      <c r="C679">
        <v>349.0771671</v>
      </c>
      <c r="D679">
        <v>-7.6187987157123604E-3</v>
      </c>
    </row>
    <row r="680" spans="1:4" x14ac:dyDescent="0.25">
      <c r="A680" s="13">
        <v>41163</v>
      </c>
      <c r="B680" t="s">
        <v>31</v>
      </c>
      <c r="C680">
        <v>344.80317309999998</v>
      </c>
      <c r="D680">
        <v>-1.2243693953135737E-2</v>
      </c>
    </row>
    <row r="681" spans="1:4" x14ac:dyDescent="0.25">
      <c r="A681" s="13">
        <v>41164</v>
      </c>
      <c r="B681" t="s">
        <v>31</v>
      </c>
      <c r="C681">
        <v>344.15064489999997</v>
      </c>
      <c r="D681">
        <v>-1.8924657628099917E-3</v>
      </c>
    </row>
    <row r="682" spans="1:4" x14ac:dyDescent="0.25">
      <c r="A682" s="13">
        <v>41165</v>
      </c>
      <c r="B682" t="s">
        <v>31</v>
      </c>
      <c r="C682">
        <v>351.70232429999999</v>
      </c>
      <c r="D682">
        <v>2.1942947113158251E-2</v>
      </c>
    </row>
    <row r="683" spans="1:4" x14ac:dyDescent="0.25">
      <c r="A683" s="13">
        <v>41166</v>
      </c>
      <c r="B683" t="s">
        <v>31</v>
      </c>
      <c r="C683">
        <v>353.51555990000003</v>
      </c>
      <c r="D683">
        <v>5.1555974320298681E-3</v>
      </c>
    </row>
    <row r="684" spans="1:4" x14ac:dyDescent="0.25">
      <c r="A684" s="13">
        <v>41169</v>
      </c>
      <c r="B684" t="s">
        <v>31</v>
      </c>
      <c r="C684">
        <v>353.66497390000001</v>
      </c>
      <c r="D684">
        <v>4.2265183473744194E-4</v>
      </c>
    </row>
    <row r="685" spans="1:4" x14ac:dyDescent="0.25">
      <c r="A685" s="13">
        <v>41170</v>
      </c>
      <c r="B685" t="s">
        <v>31</v>
      </c>
      <c r="C685">
        <v>357.79950259999998</v>
      </c>
      <c r="D685">
        <v>1.1690523532502883E-2</v>
      </c>
    </row>
    <row r="686" spans="1:4" x14ac:dyDescent="0.25">
      <c r="A686" s="13">
        <v>41171</v>
      </c>
      <c r="B686" t="s">
        <v>31</v>
      </c>
      <c r="C686">
        <v>362.39228379999997</v>
      </c>
      <c r="D686">
        <v>1.2836186653770953E-2</v>
      </c>
    </row>
    <row r="687" spans="1:4" x14ac:dyDescent="0.25">
      <c r="A687" s="13">
        <v>41172</v>
      </c>
      <c r="B687" t="s">
        <v>31</v>
      </c>
      <c r="C687">
        <v>362.70112260000002</v>
      </c>
      <c r="D687">
        <v>8.5222233972981343E-4</v>
      </c>
    </row>
    <row r="688" spans="1:4" x14ac:dyDescent="0.25">
      <c r="A688" s="13">
        <v>41173</v>
      </c>
      <c r="B688" t="s">
        <v>31</v>
      </c>
      <c r="C688">
        <v>365.62516909999999</v>
      </c>
      <c r="D688">
        <v>8.0618622821984065E-3</v>
      </c>
    </row>
    <row r="689" spans="1:4" x14ac:dyDescent="0.25">
      <c r="A689" s="13">
        <v>41176</v>
      </c>
      <c r="B689" t="s">
        <v>31</v>
      </c>
      <c r="C689">
        <v>373.29144200000002</v>
      </c>
      <c r="D689">
        <v>2.0967574302586556E-2</v>
      </c>
    </row>
    <row r="690" spans="1:4" x14ac:dyDescent="0.25">
      <c r="A690" s="13">
        <v>41177</v>
      </c>
      <c r="B690" t="s">
        <v>31</v>
      </c>
      <c r="C690">
        <v>373.1818533</v>
      </c>
      <c r="D690">
        <v>-2.9357410234975845E-4</v>
      </c>
    </row>
    <row r="691" spans="1:4" x14ac:dyDescent="0.25">
      <c r="A691" s="13">
        <v>41178</v>
      </c>
      <c r="B691" t="s">
        <v>31</v>
      </c>
      <c r="C691">
        <v>375.32385499999998</v>
      </c>
      <c r="D691">
        <v>5.739833491523072E-3</v>
      </c>
    </row>
    <row r="692" spans="1:4" x14ac:dyDescent="0.25">
      <c r="A692" s="13">
        <v>41179</v>
      </c>
      <c r="B692" t="s">
        <v>31</v>
      </c>
      <c r="C692">
        <v>376.83817049999999</v>
      </c>
      <c r="D692">
        <v>4.0346902543670904E-3</v>
      </c>
    </row>
    <row r="693" spans="1:4" x14ac:dyDescent="0.25">
      <c r="A693" s="13">
        <v>41180</v>
      </c>
      <c r="B693" t="s">
        <v>31</v>
      </c>
      <c r="C693">
        <v>375.84189179999998</v>
      </c>
      <c r="D693">
        <v>-2.6437839316492129E-3</v>
      </c>
    </row>
    <row r="694" spans="1:4" x14ac:dyDescent="0.25">
      <c r="A694" s="13">
        <v>41183</v>
      </c>
      <c r="B694" t="s">
        <v>31</v>
      </c>
      <c r="C694">
        <v>379.46830210000002</v>
      </c>
      <c r="D694">
        <v>9.648765555729355E-3</v>
      </c>
    </row>
    <row r="695" spans="1:4" x14ac:dyDescent="0.25">
      <c r="A695" s="13">
        <v>41184</v>
      </c>
      <c r="B695" t="s">
        <v>31</v>
      </c>
      <c r="C695">
        <v>377.08225069999997</v>
      </c>
      <c r="D695">
        <v>-6.2878806656457842E-3</v>
      </c>
    </row>
    <row r="696" spans="1:4" x14ac:dyDescent="0.25">
      <c r="A696" s="13">
        <v>41185</v>
      </c>
      <c r="B696" t="s">
        <v>31</v>
      </c>
      <c r="C696">
        <v>379.82697569999999</v>
      </c>
      <c r="D696">
        <v>7.2788496273819003E-3</v>
      </c>
    </row>
    <row r="697" spans="1:4" x14ac:dyDescent="0.25">
      <c r="A697" s="13">
        <v>41186</v>
      </c>
      <c r="B697" t="s">
        <v>31</v>
      </c>
      <c r="C697">
        <v>382.59159829999999</v>
      </c>
      <c r="D697">
        <v>7.2786367921997552E-3</v>
      </c>
    </row>
    <row r="698" spans="1:4" x14ac:dyDescent="0.25">
      <c r="A698" s="13">
        <v>41187</v>
      </c>
      <c r="B698" t="s">
        <v>31</v>
      </c>
      <c r="C698">
        <v>382.39234859999999</v>
      </c>
      <c r="D698">
        <v>-5.2078953350087609E-4</v>
      </c>
    </row>
    <row r="699" spans="1:4" x14ac:dyDescent="0.25">
      <c r="A699" s="13">
        <v>41190</v>
      </c>
      <c r="B699" t="s">
        <v>31</v>
      </c>
      <c r="C699">
        <v>377.50565210000002</v>
      </c>
      <c r="D699">
        <v>-1.2779273743031117E-2</v>
      </c>
    </row>
    <row r="700" spans="1:4" x14ac:dyDescent="0.25">
      <c r="A700" s="13">
        <v>41191</v>
      </c>
      <c r="B700" t="s">
        <v>31</v>
      </c>
      <c r="C700">
        <v>370.65633609999998</v>
      </c>
      <c r="D700">
        <v>-1.8143611789382397E-2</v>
      </c>
    </row>
    <row r="701" spans="1:4" x14ac:dyDescent="0.25">
      <c r="A701" s="13">
        <v>41192</v>
      </c>
      <c r="B701" t="s">
        <v>31</v>
      </c>
      <c r="C701">
        <v>370.89043709999999</v>
      </c>
      <c r="D701">
        <v>6.3158504846616559E-4</v>
      </c>
    </row>
    <row r="702" spans="1:4" x14ac:dyDescent="0.25">
      <c r="A702" s="13">
        <v>41193</v>
      </c>
      <c r="B702" t="s">
        <v>31</v>
      </c>
      <c r="C702">
        <v>374.33752559999999</v>
      </c>
      <c r="D702">
        <v>9.2940883754051296E-3</v>
      </c>
    </row>
    <row r="703" spans="1:4" x14ac:dyDescent="0.25">
      <c r="A703" s="13">
        <v>41194</v>
      </c>
      <c r="B703" t="s">
        <v>31</v>
      </c>
      <c r="C703">
        <v>370.98510279999999</v>
      </c>
      <c r="D703">
        <v>-8.9556151086552793E-3</v>
      </c>
    </row>
    <row r="704" spans="1:4" x14ac:dyDescent="0.25">
      <c r="A704" s="13">
        <v>41197</v>
      </c>
      <c r="B704" t="s">
        <v>31</v>
      </c>
      <c r="C704">
        <v>369.10713929999997</v>
      </c>
      <c r="D704">
        <v>-5.0620994908586736E-3</v>
      </c>
    </row>
    <row r="705" spans="1:4" x14ac:dyDescent="0.25">
      <c r="A705" s="13">
        <v>41198</v>
      </c>
      <c r="B705" t="s">
        <v>31</v>
      </c>
      <c r="C705">
        <v>370.96020010000001</v>
      </c>
      <c r="D705">
        <v>5.020387314952357E-3</v>
      </c>
    </row>
    <row r="706" spans="1:4" x14ac:dyDescent="0.25">
      <c r="A706" s="13">
        <v>41199</v>
      </c>
      <c r="B706" t="s">
        <v>31</v>
      </c>
      <c r="C706">
        <v>376.33505680000002</v>
      </c>
      <c r="D706">
        <v>1.4489038712377056E-2</v>
      </c>
    </row>
    <row r="707" spans="1:4" x14ac:dyDescent="0.25">
      <c r="A707" s="13">
        <v>41200</v>
      </c>
      <c r="B707" t="s">
        <v>31</v>
      </c>
      <c r="C707">
        <v>346.20295579999998</v>
      </c>
      <c r="D707">
        <v>-8.0067217910058996E-2</v>
      </c>
    </row>
    <row r="708" spans="1:4" x14ac:dyDescent="0.25">
      <c r="A708" s="13">
        <v>41201</v>
      </c>
      <c r="B708" t="s">
        <v>31</v>
      </c>
      <c r="C708">
        <v>339.62259160000002</v>
      </c>
      <c r="D708">
        <v>-1.9007244420528369E-2</v>
      </c>
    </row>
    <row r="709" spans="1:4" x14ac:dyDescent="0.25">
      <c r="A709" s="13">
        <v>41204</v>
      </c>
      <c r="B709" t="s">
        <v>31</v>
      </c>
      <c r="C709">
        <v>338.06842010000003</v>
      </c>
      <c r="D709">
        <v>-4.5761723113828534E-3</v>
      </c>
    </row>
    <row r="710" spans="1:4" x14ac:dyDescent="0.25">
      <c r="A710" s="13">
        <v>41205</v>
      </c>
      <c r="B710" t="s">
        <v>31</v>
      </c>
      <c r="C710">
        <v>338.90527479999997</v>
      </c>
      <c r="D710">
        <v>2.4754003930695934E-3</v>
      </c>
    </row>
    <row r="711" spans="1:4" x14ac:dyDescent="0.25">
      <c r="A711" s="13">
        <v>41206</v>
      </c>
      <c r="B711" t="s">
        <v>31</v>
      </c>
      <c r="C711">
        <v>337.38598500000001</v>
      </c>
      <c r="D711">
        <v>-4.4829334712968016E-3</v>
      </c>
    </row>
    <row r="712" spans="1:4" x14ac:dyDescent="0.25">
      <c r="A712" s="13">
        <v>41207</v>
      </c>
      <c r="B712" t="s">
        <v>31</v>
      </c>
      <c r="C712">
        <v>337.6151112</v>
      </c>
      <c r="D712">
        <v>6.7912186690266552E-4</v>
      </c>
    </row>
    <row r="713" spans="1:4" x14ac:dyDescent="0.25">
      <c r="A713" s="13">
        <v>41208</v>
      </c>
      <c r="B713" t="s">
        <v>31</v>
      </c>
      <c r="C713">
        <v>336.31499930000001</v>
      </c>
      <c r="D713">
        <v>-3.850869990324024E-3</v>
      </c>
    </row>
    <row r="714" spans="1:4" x14ac:dyDescent="0.25">
      <c r="A714" s="13">
        <v>41213</v>
      </c>
      <c r="B714" t="s">
        <v>31</v>
      </c>
      <c r="C714">
        <v>338.88037220000001</v>
      </c>
      <c r="D714">
        <v>7.6278872644381934E-3</v>
      </c>
    </row>
    <row r="715" spans="1:4" x14ac:dyDescent="0.25">
      <c r="A715" s="13">
        <v>41214</v>
      </c>
      <c r="B715" t="s">
        <v>31</v>
      </c>
      <c r="C715">
        <v>342.5117568</v>
      </c>
      <c r="D715">
        <v>1.0715830416571981E-2</v>
      </c>
    </row>
    <row r="716" spans="1:4" x14ac:dyDescent="0.25">
      <c r="A716" s="13">
        <v>41215</v>
      </c>
      <c r="B716" t="s">
        <v>31</v>
      </c>
      <c r="C716">
        <v>342.67615510000002</v>
      </c>
      <c r="D716">
        <v>4.7997856054915466E-4</v>
      </c>
    </row>
    <row r="717" spans="1:4" x14ac:dyDescent="0.25">
      <c r="A717" s="13">
        <v>41218</v>
      </c>
      <c r="B717" t="s">
        <v>31</v>
      </c>
      <c r="C717">
        <v>340.20541759999998</v>
      </c>
      <c r="D717">
        <v>-7.2101237953923203E-3</v>
      </c>
    </row>
    <row r="718" spans="1:4" x14ac:dyDescent="0.25">
      <c r="A718" s="13">
        <v>41219</v>
      </c>
      <c r="B718" t="s">
        <v>31</v>
      </c>
      <c r="C718">
        <v>339.58774030000001</v>
      </c>
      <c r="D718">
        <v>-1.8156010105818687E-3</v>
      </c>
    </row>
    <row r="719" spans="1:4" x14ac:dyDescent="0.25">
      <c r="A719" s="13">
        <v>41220</v>
      </c>
      <c r="B719" t="s">
        <v>31</v>
      </c>
      <c r="C719">
        <v>332.31496190000001</v>
      </c>
      <c r="D719">
        <v>-2.1416492814419708E-2</v>
      </c>
    </row>
    <row r="720" spans="1:4" x14ac:dyDescent="0.25">
      <c r="A720" s="13">
        <v>41221</v>
      </c>
      <c r="B720" t="s">
        <v>31</v>
      </c>
      <c r="C720">
        <v>324.9276509</v>
      </c>
      <c r="D720">
        <v>-2.2229847725673602E-2</v>
      </c>
    </row>
    <row r="721" spans="1:4" x14ac:dyDescent="0.25">
      <c r="A721" s="13">
        <v>41222</v>
      </c>
      <c r="B721" t="s">
        <v>31</v>
      </c>
      <c r="C721">
        <v>330.27760499999999</v>
      </c>
      <c r="D721">
        <v>1.646506256140845E-2</v>
      </c>
    </row>
    <row r="722" spans="1:4" x14ac:dyDescent="0.25">
      <c r="A722" s="13">
        <v>41225</v>
      </c>
      <c r="B722" t="s">
        <v>31</v>
      </c>
      <c r="C722">
        <v>331.7072642</v>
      </c>
      <c r="D722">
        <v>4.3286592198705787E-3</v>
      </c>
    </row>
    <row r="723" spans="1:4" x14ac:dyDescent="0.25">
      <c r="A723" s="13">
        <v>41226</v>
      </c>
      <c r="B723" t="s">
        <v>31</v>
      </c>
      <c r="C723">
        <v>328.29502710000003</v>
      </c>
      <c r="D723">
        <v>-1.0286892897053312E-2</v>
      </c>
    </row>
    <row r="724" spans="1:4" x14ac:dyDescent="0.25">
      <c r="A724" s="13">
        <v>41227</v>
      </c>
      <c r="B724" t="s">
        <v>31</v>
      </c>
      <c r="C724">
        <v>325.05716740000003</v>
      </c>
      <c r="D724">
        <v>-9.8626522874918354E-3</v>
      </c>
    </row>
    <row r="725" spans="1:4" x14ac:dyDescent="0.25">
      <c r="A725" s="13">
        <v>41228</v>
      </c>
      <c r="B725" t="s">
        <v>31</v>
      </c>
      <c r="C725">
        <v>322.42203110000003</v>
      </c>
      <c r="D725">
        <v>-8.1066857287823701E-3</v>
      </c>
    </row>
    <row r="726" spans="1:4" x14ac:dyDescent="0.25">
      <c r="A726" s="13">
        <v>41229</v>
      </c>
      <c r="B726" t="s">
        <v>31</v>
      </c>
      <c r="C726">
        <v>322.38217500000002</v>
      </c>
      <c r="D726">
        <v>-1.2361469178778783E-4</v>
      </c>
    </row>
    <row r="727" spans="1:4" x14ac:dyDescent="0.25">
      <c r="A727" s="13">
        <v>41232</v>
      </c>
      <c r="B727" t="s">
        <v>31</v>
      </c>
      <c r="C727">
        <v>332.85793180000002</v>
      </c>
      <c r="D727">
        <v>3.2494838773266643E-2</v>
      </c>
    </row>
    <row r="728" spans="1:4" x14ac:dyDescent="0.25">
      <c r="A728" s="13">
        <v>41233</v>
      </c>
      <c r="B728" t="s">
        <v>31</v>
      </c>
      <c r="C728">
        <v>333.73464209999997</v>
      </c>
      <c r="D728">
        <v>2.6338873622717696E-3</v>
      </c>
    </row>
    <row r="729" spans="1:4" x14ac:dyDescent="0.25">
      <c r="A729" s="13">
        <v>41234</v>
      </c>
      <c r="B729" t="s">
        <v>31</v>
      </c>
      <c r="C729">
        <v>331.69231079999997</v>
      </c>
      <c r="D729">
        <v>-6.1196263209261081E-3</v>
      </c>
    </row>
    <row r="730" spans="1:4" x14ac:dyDescent="0.25">
      <c r="A730" s="13">
        <v>41236</v>
      </c>
      <c r="B730" t="s">
        <v>31</v>
      </c>
      <c r="C730">
        <v>332.73839379999998</v>
      </c>
      <c r="D730">
        <v>3.1537752487447168E-3</v>
      </c>
    </row>
    <row r="731" spans="1:4" x14ac:dyDescent="0.25">
      <c r="A731" s="13">
        <v>41239</v>
      </c>
      <c r="B731" t="s">
        <v>31</v>
      </c>
      <c r="C731">
        <v>329.3411102</v>
      </c>
      <c r="D731">
        <v>-1.0210073929857288E-2</v>
      </c>
    </row>
    <row r="732" spans="1:4" x14ac:dyDescent="0.25">
      <c r="A732" s="13">
        <v>41240</v>
      </c>
      <c r="B732" t="s">
        <v>31</v>
      </c>
      <c r="C732">
        <v>334.1032644</v>
      </c>
      <c r="D732">
        <v>1.445964093917107E-2</v>
      </c>
    </row>
    <row r="733" spans="1:4" x14ac:dyDescent="0.25">
      <c r="A733" s="13">
        <v>41241</v>
      </c>
      <c r="B733" t="s">
        <v>31</v>
      </c>
      <c r="C733">
        <v>340.55908590000001</v>
      </c>
      <c r="D733">
        <v>1.9322832752304064E-2</v>
      </c>
    </row>
    <row r="734" spans="1:4" x14ac:dyDescent="0.25">
      <c r="A734" s="13">
        <v>41242</v>
      </c>
      <c r="B734" t="s">
        <v>31</v>
      </c>
      <c r="C734">
        <v>344.6537586</v>
      </c>
      <c r="D734">
        <v>1.2023384104344004E-2</v>
      </c>
    </row>
    <row r="735" spans="1:4" x14ac:dyDescent="0.25">
      <c r="A735" s="13">
        <v>41243</v>
      </c>
      <c r="B735" t="s">
        <v>31</v>
      </c>
      <c r="C735">
        <v>347.8816392</v>
      </c>
      <c r="D735">
        <v>9.3655749268826138E-3</v>
      </c>
    </row>
    <row r="736" spans="1:4" x14ac:dyDescent="0.25">
      <c r="A736" s="13">
        <v>41246</v>
      </c>
      <c r="B736" t="s">
        <v>31</v>
      </c>
      <c r="C736">
        <v>346.32746759999998</v>
      </c>
      <c r="D736">
        <v>-4.4675298287487619E-3</v>
      </c>
    </row>
    <row r="737" spans="1:4" x14ac:dyDescent="0.25">
      <c r="A737" s="13">
        <v>41247</v>
      </c>
      <c r="B737" t="s">
        <v>31</v>
      </c>
      <c r="C737">
        <v>344.22535240000002</v>
      </c>
      <c r="D737">
        <v>-6.0697328299349484E-3</v>
      </c>
    </row>
    <row r="738" spans="1:4" x14ac:dyDescent="0.25">
      <c r="A738" s="13">
        <v>41248</v>
      </c>
      <c r="B738" t="s">
        <v>31</v>
      </c>
      <c r="C738">
        <v>342.62635030000001</v>
      </c>
      <c r="D738">
        <v>-4.6452188627348345E-3</v>
      </c>
    </row>
    <row r="739" spans="1:4" x14ac:dyDescent="0.25">
      <c r="A739" s="13">
        <v>41249</v>
      </c>
      <c r="B739" t="s">
        <v>31</v>
      </c>
      <c r="C739">
        <v>344.27515720000002</v>
      </c>
      <c r="D739">
        <v>4.8122594732025181E-3</v>
      </c>
    </row>
    <row r="740" spans="1:4" x14ac:dyDescent="0.25">
      <c r="A740" s="13">
        <v>41250</v>
      </c>
      <c r="B740" t="s">
        <v>31</v>
      </c>
      <c r="C740">
        <v>340.82806870000002</v>
      </c>
      <c r="D740">
        <v>-1.0012597272586521E-2</v>
      </c>
    </row>
    <row r="741" spans="1:4" x14ac:dyDescent="0.25">
      <c r="A741" s="13">
        <v>41253</v>
      </c>
      <c r="B741" t="s">
        <v>31</v>
      </c>
      <c r="C741">
        <v>341.43082249999998</v>
      </c>
      <c r="D741">
        <v>1.7684981236991693E-3</v>
      </c>
    </row>
    <row r="742" spans="1:4" x14ac:dyDescent="0.25">
      <c r="A742" s="13">
        <v>41254</v>
      </c>
      <c r="B742" t="s">
        <v>31</v>
      </c>
      <c r="C742">
        <v>347.13941970000002</v>
      </c>
      <c r="D742">
        <v>1.6719630519005158E-2</v>
      </c>
    </row>
    <row r="743" spans="1:4" x14ac:dyDescent="0.25">
      <c r="A743" s="13">
        <v>41255</v>
      </c>
      <c r="B743" t="s">
        <v>31</v>
      </c>
      <c r="C743">
        <v>347.47816549999999</v>
      </c>
      <c r="D743">
        <v>9.7582060917411617E-4</v>
      </c>
    </row>
    <row r="744" spans="1:4" x14ac:dyDescent="0.25">
      <c r="A744" s="13">
        <v>41256</v>
      </c>
      <c r="B744" t="s">
        <v>31</v>
      </c>
      <c r="C744">
        <v>350.03856400000001</v>
      </c>
      <c r="D744">
        <v>7.3685162240790802E-3</v>
      </c>
    </row>
    <row r="745" spans="1:4" x14ac:dyDescent="0.25">
      <c r="A745" s="13">
        <v>41257</v>
      </c>
      <c r="B745" t="s">
        <v>31</v>
      </c>
      <c r="C745">
        <v>349.66994169999998</v>
      </c>
      <c r="D745">
        <v>-1.0530905389042333E-3</v>
      </c>
    </row>
    <row r="746" spans="1:4" x14ac:dyDescent="0.25">
      <c r="A746" s="13">
        <v>41260</v>
      </c>
      <c r="B746" t="s">
        <v>31</v>
      </c>
      <c r="C746">
        <v>359.04483579999999</v>
      </c>
      <c r="D746">
        <v>2.6810694835311955E-2</v>
      </c>
    </row>
    <row r="747" spans="1:4" x14ac:dyDescent="0.25">
      <c r="A747" s="13">
        <v>41261</v>
      </c>
      <c r="B747" t="s">
        <v>31</v>
      </c>
      <c r="C747">
        <v>359.18927539999999</v>
      </c>
      <c r="D747">
        <v>4.0228847653023259E-4</v>
      </c>
    </row>
    <row r="748" spans="1:4" x14ac:dyDescent="0.25">
      <c r="A748" s="13">
        <v>41262</v>
      </c>
      <c r="B748" t="s">
        <v>31</v>
      </c>
      <c r="C748">
        <v>358.71109480000001</v>
      </c>
      <c r="D748">
        <v>-1.3312774983814668E-3</v>
      </c>
    </row>
    <row r="749" spans="1:4" x14ac:dyDescent="0.25">
      <c r="A749" s="13">
        <v>41263</v>
      </c>
      <c r="B749" t="s">
        <v>31</v>
      </c>
      <c r="C749">
        <v>359.83188530000001</v>
      </c>
      <c r="D749">
        <v>3.1244935443797139E-3</v>
      </c>
    </row>
    <row r="750" spans="1:4" x14ac:dyDescent="0.25">
      <c r="A750" s="13">
        <v>41264</v>
      </c>
      <c r="B750" t="s">
        <v>31</v>
      </c>
      <c r="C750">
        <v>356.4794321</v>
      </c>
      <c r="D750">
        <v>-9.3167207714374145E-3</v>
      </c>
    </row>
    <row r="751" spans="1:4" x14ac:dyDescent="0.25">
      <c r="A751" s="13">
        <v>41267</v>
      </c>
      <c r="B751" t="s">
        <v>31</v>
      </c>
      <c r="C751">
        <v>353.4258686</v>
      </c>
      <c r="D751">
        <v>-8.5658897120981514E-3</v>
      </c>
    </row>
    <row r="752" spans="1:4" x14ac:dyDescent="0.25">
      <c r="A752" s="13">
        <v>41269</v>
      </c>
      <c r="B752" t="s">
        <v>31</v>
      </c>
      <c r="C752">
        <v>353.11205580000001</v>
      </c>
      <c r="D752">
        <v>-8.8791689539613472E-4</v>
      </c>
    </row>
    <row r="753" spans="1:4" x14ac:dyDescent="0.25">
      <c r="A753" s="13">
        <v>41270</v>
      </c>
      <c r="B753" t="s">
        <v>31</v>
      </c>
      <c r="C753">
        <v>351.82686649999999</v>
      </c>
      <c r="D753">
        <v>-3.6396075378630766E-3</v>
      </c>
    </row>
    <row r="754" spans="1:4" x14ac:dyDescent="0.25">
      <c r="A754" s="13">
        <v>41271</v>
      </c>
      <c r="B754" t="s">
        <v>31</v>
      </c>
      <c r="C754">
        <v>348.69859609999997</v>
      </c>
      <c r="D754">
        <v>-8.8915051630942266E-3</v>
      </c>
    </row>
    <row r="755" spans="1:4" x14ac:dyDescent="0.25">
      <c r="A755" s="13">
        <v>41274</v>
      </c>
      <c r="B755" t="s">
        <v>31</v>
      </c>
      <c r="C755">
        <v>352.36983629999997</v>
      </c>
      <c r="D755">
        <v>1.0528405451185607E-2</v>
      </c>
    </row>
    <row r="756" spans="1:4" x14ac:dyDescent="0.25">
      <c r="A756" s="13">
        <v>41276</v>
      </c>
      <c r="B756" t="s">
        <v>31</v>
      </c>
      <c r="C756">
        <v>360.275215</v>
      </c>
      <c r="D756">
        <v>2.2434890520168116E-2</v>
      </c>
    </row>
    <row r="757" spans="1:4" x14ac:dyDescent="0.25">
      <c r="A757" s="13">
        <v>41277</v>
      </c>
      <c r="B757" t="s">
        <v>31</v>
      </c>
      <c r="C757">
        <v>360.48444380000001</v>
      </c>
      <c r="D757">
        <v>5.8074713799016742E-4</v>
      </c>
    </row>
    <row r="758" spans="1:4" x14ac:dyDescent="0.25">
      <c r="A758" s="13">
        <v>41278</v>
      </c>
      <c r="B758" t="s">
        <v>31</v>
      </c>
      <c r="C758">
        <v>367.6077469</v>
      </c>
      <c r="D758">
        <v>1.9760361986527419E-2</v>
      </c>
    </row>
    <row r="759" spans="1:4" x14ac:dyDescent="0.25">
      <c r="A759" s="13">
        <v>41281</v>
      </c>
      <c r="B759" t="s">
        <v>31</v>
      </c>
      <c r="C759">
        <v>366.00377099999997</v>
      </c>
      <c r="D759">
        <v>-4.3632810067965044E-3</v>
      </c>
    </row>
    <row r="760" spans="1:4" x14ac:dyDescent="0.25">
      <c r="A760" s="13">
        <v>41282</v>
      </c>
      <c r="B760" t="s">
        <v>31</v>
      </c>
      <c r="C760">
        <v>365.28144900000001</v>
      </c>
      <c r="D760">
        <v>-1.9735370431469557E-3</v>
      </c>
    </row>
    <row r="761" spans="1:4" x14ac:dyDescent="0.25">
      <c r="A761" s="13">
        <v>41283</v>
      </c>
      <c r="B761" t="s">
        <v>31</v>
      </c>
      <c r="C761">
        <v>367.68245439999998</v>
      </c>
      <c r="D761">
        <v>6.573028568992445E-3</v>
      </c>
    </row>
    <row r="762" spans="1:4" x14ac:dyDescent="0.25">
      <c r="A762" s="13">
        <v>41284</v>
      </c>
      <c r="B762" t="s">
        <v>31</v>
      </c>
      <c r="C762">
        <v>369.35619380000003</v>
      </c>
      <c r="D762">
        <v>4.5521329069979632E-3</v>
      </c>
    </row>
    <row r="763" spans="1:4" x14ac:dyDescent="0.25">
      <c r="A763" s="13">
        <v>41285</v>
      </c>
      <c r="B763" t="s">
        <v>31</v>
      </c>
      <c r="C763">
        <v>368.6139743</v>
      </c>
      <c r="D763">
        <v>-2.0094952039763081E-3</v>
      </c>
    </row>
    <row r="764" spans="1:4" x14ac:dyDescent="0.25">
      <c r="A764" s="13">
        <v>41288</v>
      </c>
      <c r="B764" t="s">
        <v>31</v>
      </c>
      <c r="C764">
        <v>360.275215</v>
      </c>
      <c r="D764">
        <v>-2.2621929393304541E-2</v>
      </c>
    </row>
    <row r="765" spans="1:4" x14ac:dyDescent="0.25">
      <c r="A765" s="13">
        <v>41289</v>
      </c>
      <c r="B765" t="s">
        <v>31</v>
      </c>
      <c r="C765">
        <v>361.11209969999999</v>
      </c>
      <c r="D765">
        <v>2.3229038944574398E-3</v>
      </c>
    </row>
    <row r="766" spans="1:4" x14ac:dyDescent="0.25">
      <c r="A766" s="13">
        <v>41290</v>
      </c>
      <c r="B766" t="s">
        <v>31</v>
      </c>
      <c r="C766">
        <v>356.2602546</v>
      </c>
      <c r="D766">
        <v>-1.3435841956087158E-2</v>
      </c>
    </row>
    <row r="767" spans="1:4" x14ac:dyDescent="0.25">
      <c r="A767" s="13">
        <v>41291</v>
      </c>
      <c r="B767" t="s">
        <v>31</v>
      </c>
      <c r="C767">
        <v>354.33248639999999</v>
      </c>
      <c r="D767">
        <v>-5.4111233995620678E-3</v>
      </c>
    </row>
    <row r="768" spans="1:4" x14ac:dyDescent="0.25">
      <c r="A768" s="13">
        <v>41292</v>
      </c>
      <c r="B768" t="s">
        <v>31</v>
      </c>
      <c r="C768">
        <v>350.94020740000002</v>
      </c>
      <c r="D768">
        <v>-9.5737171447793923E-3</v>
      </c>
    </row>
    <row r="769" spans="1:4" x14ac:dyDescent="0.25">
      <c r="A769" s="13">
        <v>41296</v>
      </c>
      <c r="B769" t="s">
        <v>31</v>
      </c>
      <c r="C769">
        <v>350.12325060000001</v>
      </c>
      <c r="D769">
        <v>-2.3279088083196786E-3</v>
      </c>
    </row>
    <row r="770" spans="1:4" x14ac:dyDescent="0.25">
      <c r="A770" s="13">
        <v>41297</v>
      </c>
      <c r="B770" t="s">
        <v>31</v>
      </c>
      <c r="C770">
        <v>369.36617289999998</v>
      </c>
      <c r="D770">
        <v>5.4960423985050078E-2</v>
      </c>
    </row>
    <row r="771" spans="1:4" x14ac:dyDescent="0.25">
      <c r="A771" s="13">
        <v>41298</v>
      </c>
      <c r="B771" t="s">
        <v>31</v>
      </c>
      <c r="C771">
        <v>375.69745219999999</v>
      </c>
      <c r="D771">
        <v>1.714092887903429E-2</v>
      </c>
    </row>
    <row r="772" spans="1:4" x14ac:dyDescent="0.25">
      <c r="A772" s="13">
        <v>41299</v>
      </c>
      <c r="B772" t="s">
        <v>31</v>
      </c>
      <c r="C772">
        <v>375.42843900000003</v>
      </c>
      <c r="D772">
        <v>-7.160367961631664E-4</v>
      </c>
    </row>
    <row r="773" spans="1:4" x14ac:dyDescent="0.25">
      <c r="A773" s="13">
        <v>41302</v>
      </c>
      <c r="B773" t="s">
        <v>31</v>
      </c>
      <c r="C773">
        <v>373.96392839999999</v>
      </c>
      <c r="D773">
        <v>-3.9009048006617419E-3</v>
      </c>
    </row>
    <row r="774" spans="1:4" x14ac:dyDescent="0.25">
      <c r="A774" s="13">
        <v>41303</v>
      </c>
      <c r="B774" t="s">
        <v>31</v>
      </c>
      <c r="C774">
        <v>375.43344430000002</v>
      </c>
      <c r="D774">
        <v>3.929565897671905E-3</v>
      </c>
    </row>
    <row r="775" spans="1:4" x14ac:dyDescent="0.25">
      <c r="A775" s="13">
        <v>41304</v>
      </c>
      <c r="B775" t="s">
        <v>31</v>
      </c>
      <c r="C775">
        <v>375.50815130000001</v>
      </c>
      <c r="D775">
        <v>1.9898866532597204E-4</v>
      </c>
    </row>
    <row r="776" spans="1:4" x14ac:dyDescent="0.25">
      <c r="A776" s="13">
        <v>41305</v>
      </c>
      <c r="B776" t="s">
        <v>31</v>
      </c>
      <c r="C776">
        <v>376.43466649999999</v>
      </c>
      <c r="D776">
        <v>2.467363749075524E-3</v>
      </c>
    </row>
    <row r="777" spans="1:4" x14ac:dyDescent="0.25">
      <c r="A777" s="13">
        <v>41306</v>
      </c>
      <c r="B777" t="s">
        <v>31</v>
      </c>
      <c r="C777">
        <v>386.35253039999998</v>
      </c>
      <c r="D777">
        <v>2.6346839923681697E-2</v>
      </c>
    </row>
    <row r="778" spans="1:4" x14ac:dyDescent="0.25">
      <c r="A778" s="13">
        <v>41309</v>
      </c>
      <c r="B778" t="s">
        <v>31</v>
      </c>
      <c r="C778">
        <v>378.09345239999999</v>
      </c>
      <c r="D778">
        <v>-2.1377051656551016E-2</v>
      </c>
    </row>
    <row r="779" spans="1:4" x14ac:dyDescent="0.25">
      <c r="A779" s="13">
        <v>41310</v>
      </c>
      <c r="B779" t="s">
        <v>31</v>
      </c>
      <c r="C779">
        <v>381.44093120000002</v>
      </c>
      <c r="D779">
        <v>8.8535751644240879E-3</v>
      </c>
    </row>
    <row r="780" spans="1:4" x14ac:dyDescent="0.25">
      <c r="A780" s="13">
        <v>41311</v>
      </c>
      <c r="B780" t="s">
        <v>31</v>
      </c>
      <c r="C780">
        <v>383.64766090000001</v>
      </c>
      <c r="D780">
        <v>5.785246205900485E-3</v>
      </c>
    </row>
    <row r="781" spans="1:4" x14ac:dyDescent="0.25">
      <c r="A781" s="13">
        <v>41312</v>
      </c>
      <c r="B781" t="s">
        <v>31</v>
      </c>
      <c r="C781">
        <v>385.53059869999998</v>
      </c>
      <c r="D781">
        <v>4.9079871765222993E-3</v>
      </c>
    </row>
    <row r="782" spans="1:4" x14ac:dyDescent="0.25">
      <c r="A782" s="13">
        <v>41313</v>
      </c>
      <c r="B782" t="s">
        <v>31</v>
      </c>
      <c r="C782">
        <v>391.21929849999998</v>
      </c>
      <c r="D782">
        <v>1.475550791346314E-2</v>
      </c>
    </row>
    <row r="783" spans="1:4" x14ac:dyDescent="0.25">
      <c r="A783" s="13">
        <v>41316</v>
      </c>
      <c r="B783" t="s">
        <v>31</v>
      </c>
      <c r="C783">
        <v>389.7497831</v>
      </c>
      <c r="D783">
        <v>-3.7562446577517061E-3</v>
      </c>
    </row>
    <row r="784" spans="1:4" x14ac:dyDescent="0.25">
      <c r="A784" s="13">
        <v>41317</v>
      </c>
      <c r="B784" t="s">
        <v>31</v>
      </c>
      <c r="C784">
        <v>388.89300109999999</v>
      </c>
      <c r="D784">
        <v>-2.1982873041912487E-3</v>
      </c>
    </row>
    <row r="785" spans="1:4" x14ac:dyDescent="0.25">
      <c r="A785" s="13">
        <v>41318</v>
      </c>
      <c r="B785" t="s">
        <v>31</v>
      </c>
      <c r="C785">
        <v>389.9689611</v>
      </c>
      <c r="D785">
        <v>2.7667250296523616E-3</v>
      </c>
    </row>
    <row r="786" spans="1:4" x14ac:dyDescent="0.25">
      <c r="A786" s="13">
        <v>41319</v>
      </c>
      <c r="B786" t="s">
        <v>31</v>
      </c>
      <c r="C786">
        <v>392.4397295</v>
      </c>
      <c r="D786">
        <v>6.3358078371944515E-3</v>
      </c>
    </row>
    <row r="787" spans="1:4" x14ac:dyDescent="0.25">
      <c r="A787" s="13">
        <v>41320</v>
      </c>
      <c r="B787" t="s">
        <v>31</v>
      </c>
      <c r="C787">
        <v>394.96524629999999</v>
      </c>
      <c r="D787">
        <v>6.4354259014949289E-3</v>
      </c>
    </row>
    <row r="788" spans="1:4" x14ac:dyDescent="0.25">
      <c r="A788" s="13">
        <v>41324</v>
      </c>
      <c r="B788" t="s">
        <v>31</v>
      </c>
      <c r="C788">
        <v>401.91920709999999</v>
      </c>
      <c r="D788">
        <v>1.7606513142976787E-2</v>
      </c>
    </row>
    <row r="789" spans="1:4" x14ac:dyDescent="0.25">
      <c r="A789" s="13">
        <v>41325</v>
      </c>
      <c r="B789" t="s">
        <v>31</v>
      </c>
      <c r="C789">
        <v>394.75104320000003</v>
      </c>
      <c r="D789">
        <v>-1.7834837881277155E-2</v>
      </c>
    </row>
    <row r="790" spans="1:4" x14ac:dyDescent="0.25">
      <c r="A790" s="13">
        <v>41326</v>
      </c>
      <c r="B790" t="s">
        <v>31</v>
      </c>
      <c r="C790">
        <v>396.2803121</v>
      </c>
      <c r="D790">
        <v>3.8740085082566988E-3</v>
      </c>
    </row>
    <row r="791" spans="1:4" x14ac:dyDescent="0.25">
      <c r="A791" s="13">
        <v>41327</v>
      </c>
      <c r="B791" t="s">
        <v>31</v>
      </c>
      <c r="C791">
        <v>398.36252990000003</v>
      </c>
      <c r="D791">
        <v>5.2544063795796347E-3</v>
      </c>
    </row>
    <row r="792" spans="1:4" x14ac:dyDescent="0.25">
      <c r="A792" s="13">
        <v>41330</v>
      </c>
      <c r="B792" t="s">
        <v>31</v>
      </c>
      <c r="C792">
        <v>393.90921409999999</v>
      </c>
      <c r="D792">
        <v>-1.1179052912225318E-2</v>
      </c>
    </row>
    <row r="793" spans="1:4" x14ac:dyDescent="0.25">
      <c r="A793" s="13">
        <v>41331</v>
      </c>
      <c r="B793" t="s">
        <v>31</v>
      </c>
      <c r="C793">
        <v>393.59039660000002</v>
      </c>
      <c r="D793">
        <v>-8.0936796751096551E-4</v>
      </c>
    </row>
    <row r="794" spans="1:4" x14ac:dyDescent="0.25">
      <c r="A794" s="13">
        <v>41332</v>
      </c>
      <c r="B794" t="s">
        <v>31</v>
      </c>
      <c r="C794">
        <v>398.39738130000001</v>
      </c>
      <c r="D794">
        <v>1.2213165619701982E-2</v>
      </c>
    </row>
    <row r="795" spans="1:4" x14ac:dyDescent="0.25">
      <c r="A795" s="13">
        <v>41333</v>
      </c>
      <c r="B795" t="s">
        <v>31</v>
      </c>
      <c r="C795">
        <v>399.1047494</v>
      </c>
      <c r="D795">
        <v>1.7755340100173989E-3</v>
      </c>
    </row>
    <row r="796" spans="1:4" x14ac:dyDescent="0.25">
      <c r="A796" s="13">
        <v>41334</v>
      </c>
      <c r="B796" t="s">
        <v>31</v>
      </c>
      <c r="C796">
        <v>401.59044089999998</v>
      </c>
      <c r="D796">
        <v>6.2281681782461185E-3</v>
      </c>
    </row>
    <row r="797" spans="1:4" x14ac:dyDescent="0.25">
      <c r="A797" s="13">
        <v>41337</v>
      </c>
      <c r="B797" t="s">
        <v>31</v>
      </c>
      <c r="C797">
        <v>409.21685780000001</v>
      </c>
      <c r="D797">
        <v>1.8990533945251631E-2</v>
      </c>
    </row>
    <row r="798" spans="1:4" x14ac:dyDescent="0.25">
      <c r="A798" s="13">
        <v>41338</v>
      </c>
      <c r="B798" t="s">
        <v>31</v>
      </c>
      <c r="C798">
        <v>417.73493889999997</v>
      </c>
      <c r="D798">
        <v>2.0815567437260984E-2</v>
      </c>
    </row>
    <row r="799" spans="1:4" x14ac:dyDescent="0.25">
      <c r="A799" s="13">
        <v>41339</v>
      </c>
      <c r="B799" t="s">
        <v>31</v>
      </c>
      <c r="C799">
        <v>414.1384056</v>
      </c>
      <c r="D799">
        <v>-8.6096061523379674E-3</v>
      </c>
    </row>
    <row r="800" spans="1:4" x14ac:dyDescent="0.25">
      <c r="A800" s="13">
        <v>41340</v>
      </c>
      <c r="B800" t="s">
        <v>31</v>
      </c>
      <c r="C800">
        <v>414.74613369999997</v>
      </c>
      <c r="D800">
        <v>1.4674516822932304E-3</v>
      </c>
    </row>
    <row r="801" spans="1:4" x14ac:dyDescent="0.25">
      <c r="A801" s="13">
        <v>41341</v>
      </c>
      <c r="B801" t="s">
        <v>31</v>
      </c>
      <c r="C801">
        <v>414.20816860000002</v>
      </c>
      <c r="D801">
        <v>-1.2970949124967435E-3</v>
      </c>
    </row>
    <row r="802" spans="1:4" x14ac:dyDescent="0.25">
      <c r="A802" s="13">
        <v>41344</v>
      </c>
      <c r="B802" t="s">
        <v>31</v>
      </c>
      <c r="C802">
        <v>415.8520011</v>
      </c>
      <c r="D802">
        <v>3.9686143939556828E-3</v>
      </c>
    </row>
    <row r="803" spans="1:4" x14ac:dyDescent="0.25">
      <c r="A803" s="13">
        <v>41345</v>
      </c>
      <c r="B803" t="s">
        <v>31</v>
      </c>
      <c r="C803">
        <v>412.2604422</v>
      </c>
      <c r="D803">
        <v>-8.6366276716228763E-3</v>
      </c>
    </row>
    <row r="804" spans="1:4" x14ac:dyDescent="0.25">
      <c r="A804" s="13">
        <v>41346</v>
      </c>
      <c r="B804" t="s">
        <v>31</v>
      </c>
      <c r="C804">
        <v>411.11474900000002</v>
      </c>
      <c r="D804">
        <v>-2.7790519844350658E-3</v>
      </c>
    </row>
    <row r="805" spans="1:4" x14ac:dyDescent="0.25">
      <c r="A805" s="13">
        <v>41347</v>
      </c>
      <c r="B805" t="s">
        <v>31</v>
      </c>
      <c r="C805">
        <v>409.23678560000002</v>
      </c>
      <c r="D805">
        <v>-4.5679786594082783E-3</v>
      </c>
    </row>
    <row r="806" spans="1:4" x14ac:dyDescent="0.25">
      <c r="A806" s="13">
        <v>41348</v>
      </c>
      <c r="B806" t="s">
        <v>31</v>
      </c>
      <c r="C806">
        <v>405.63030350000002</v>
      </c>
      <c r="D806">
        <v>-8.8127026379418716E-3</v>
      </c>
    </row>
    <row r="807" spans="1:4" x14ac:dyDescent="0.25">
      <c r="A807" s="13">
        <v>41351</v>
      </c>
      <c r="B807" t="s">
        <v>31</v>
      </c>
      <c r="C807">
        <v>402.38743909999999</v>
      </c>
      <c r="D807">
        <v>-7.9946305096508796E-3</v>
      </c>
    </row>
    <row r="808" spans="1:4" x14ac:dyDescent="0.25">
      <c r="A808" s="13">
        <v>41352</v>
      </c>
      <c r="B808" t="s">
        <v>31</v>
      </c>
      <c r="C808">
        <v>404.14586509999998</v>
      </c>
      <c r="D808">
        <v>4.3699823332781218E-3</v>
      </c>
    </row>
    <row r="809" spans="1:4" x14ac:dyDescent="0.25">
      <c r="A809" s="13">
        <v>41353</v>
      </c>
      <c r="B809" t="s">
        <v>31</v>
      </c>
      <c r="C809">
        <v>405.8345276</v>
      </c>
      <c r="D809">
        <v>4.1783490710269877E-3</v>
      </c>
    </row>
    <row r="810" spans="1:4" x14ac:dyDescent="0.25">
      <c r="A810" s="13">
        <v>41354</v>
      </c>
      <c r="B810" t="s">
        <v>31</v>
      </c>
      <c r="C810">
        <v>404.11595770000002</v>
      </c>
      <c r="D810">
        <v>-4.2346566965683063E-3</v>
      </c>
    </row>
    <row r="811" spans="1:4" x14ac:dyDescent="0.25">
      <c r="A811" s="13">
        <v>41355</v>
      </c>
      <c r="B811" t="s">
        <v>31</v>
      </c>
      <c r="C811">
        <v>403.64275140000001</v>
      </c>
      <c r="D811">
        <v>-1.1709666272354813E-3</v>
      </c>
    </row>
    <row r="812" spans="1:4" x14ac:dyDescent="0.25">
      <c r="A812" s="13">
        <v>41358</v>
      </c>
      <c r="B812" t="s">
        <v>31</v>
      </c>
      <c r="C812">
        <v>403.3089799</v>
      </c>
      <c r="D812">
        <v>-8.2689828776150165E-4</v>
      </c>
    </row>
    <row r="813" spans="1:4" x14ac:dyDescent="0.25">
      <c r="A813" s="13">
        <v>41359</v>
      </c>
      <c r="B813" t="s">
        <v>31</v>
      </c>
      <c r="C813">
        <v>404.6938093</v>
      </c>
      <c r="D813">
        <v>3.4336686486460266E-3</v>
      </c>
    </row>
    <row r="814" spans="1:4" x14ac:dyDescent="0.25">
      <c r="A814" s="13">
        <v>41360</v>
      </c>
      <c r="B814" t="s">
        <v>31</v>
      </c>
      <c r="C814">
        <v>399.83201489999999</v>
      </c>
      <c r="D814">
        <v>-1.2013513150619937E-2</v>
      </c>
    </row>
    <row r="815" spans="1:4" x14ac:dyDescent="0.25">
      <c r="A815" s="13">
        <v>41361</v>
      </c>
      <c r="B815" t="s">
        <v>31</v>
      </c>
      <c r="C815">
        <v>395.61283049999997</v>
      </c>
      <c r="D815">
        <v>-1.0552392611820394E-2</v>
      </c>
    </row>
    <row r="816" spans="1:4" x14ac:dyDescent="0.25">
      <c r="A816" s="13">
        <v>41365</v>
      </c>
      <c r="B816" t="s">
        <v>31</v>
      </c>
      <c r="C816">
        <v>399.09977509999999</v>
      </c>
      <c r="D816">
        <v>8.8140331434474195E-3</v>
      </c>
    </row>
    <row r="817" spans="1:4" x14ac:dyDescent="0.25">
      <c r="A817" s="13">
        <v>41366</v>
      </c>
      <c r="B817" t="s">
        <v>31</v>
      </c>
      <c r="C817">
        <v>405.00264759999999</v>
      </c>
      <c r="D817">
        <v>1.4790468119209033E-2</v>
      </c>
    </row>
    <row r="818" spans="1:4" x14ac:dyDescent="0.25">
      <c r="A818" s="13">
        <v>41367</v>
      </c>
      <c r="B818" t="s">
        <v>31</v>
      </c>
      <c r="C818">
        <v>401.59541530000001</v>
      </c>
      <c r="D818">
        <v>-8.412864261976627E-3</v>
      </c>
    </row>
    <row r="819" spans="1:4" x14ac:dyDescent="0.25">
      <c r="A819" s="13">
        <v>41368</v>
      </c>
      <c r="B819" t="s">
        <v>31</v>
      </c>
      <c r="C819">
        <v>396.05118590000001</v>
      </c>
      <c r="D819">
        <v>-1.3805509696514728E-2</v>
      </c>
    </row>
    <row r="820" spans="1:4" x14ac:dyDescent="0.25">
      <c r="A820" s="13">
        <v>41369</v>
      </c>
      <c r="B820" t="s">
        <v>31</v>
      </c>
      <c r="C820">
        <v>390.06362680000001</v>
      </c>
      <c r="D820">
        <v>-1.5118144606469652E-2</v>
      </c>
    </row>
    <row r="821" spans="1:4" x14ac:dyDescent="0.25">
      <c r="A821" s="13">
        <v>41372</v>
      </c>
      <c r="B821" t="s">
        <v>31</v>
      </c>
      <c r="C821">
        <v>385.97893319999997</v>
      </c>
      <c r="D821">
        <v>-1.0471864894222471E-2</v>
      </c>
    </row>
    <row r="822" spans="1:4" x14ac:dyDescent="0.25">
      <c r="A822" s="13">
        <v>41373</v>
      </c>
      <c r="B822" t="s">
        <v>31</v>
      </c>
      <c r="C822">
        <v>387.37368029999999</v>
      </c>
      <c r="D822">
        <v>3.6135316724068556E-3</v>
      </c>
    </row>
    <row r="823" spans="1:4" x14ac:dyDescent="0.25">
      <c r="A823" s="13">
        <v>41374</v>
      </c>
      <c r="B823" t="s">
        <v>31</v>
      </c>
      <c r="C823">
        <v>393.61529869999998</v>
      </c>
      <c r="D823">
        <v>1.6112654827674877E-2</v>
      </c>
    </row>
    <row r="824" spans="1:4" x14ac:dyDescent="0.25">
      <c r="A824" s="13">
        <v>41375</v>
      </c>
      <c r="B824" t="s">
        <v>31</v>
      </c>
      <c r="C824">
        <v>393.71991359999998</v>
      </c>
      <c r="D824">
        <v>2.6577955771922568E-4</v>
      </c>
    </row>
    <row r="825" spans="1:4" x14ac:dyDescent="0.25">
      <c r="A825" s="13">
        <v>41376</v>
      </c>
      <c r="B825" t="s">
        <v>31</v>
      </c>
      <c r="C825">
        <v>393.55054050000001</v>
      </c>
      <c r="D825">
        <v>-4.3018677529238492E-4</v>
      </c>
    </row>
    <row r="826" spans="1:4" x14ac:dyDescent="0.25">
      <c r="A826" s="13">
        <v>41379</v>
      </c>
      <c r="B826" t="s">
        <v>31</v>
      </c>
      <c r="C826">
        <v>389.50570349999998</v>
      </c>
      <c r="D826">
        <v>-1.0277808270472977E-2</v>
      </c>
    </row>
    <row r="827" spans="1:4" x14ac:dyDescent="0.25">
      <c r="A827" s="13">
        <v>41380</v>
      </c>
      <c r="B827" t="s">
        <v>31</v>
      </c>
      <c r="C827">
        <v>395.20435209999999</v>
      </c>
      <c r="D827">
        <v>1.4630462529286126E-2</v>
      </c>
    </row>
    <row r="828" spans="1:4" x14ac:dyDescent="0.25">
      <c r="A828" s="13">
        <v>41381</v>
      </c>
      <c r="B828" t="s">
        <v>31</v>
      </c>
      <c r="C828">
        <v>389.81954660000002</v>
      </c>
      <c r="D828">
        <v>-1.3625369941871024E-2</v>
      </c>
    </row>
    <row r="829" spans="1:4" x14ac:dyDescent="0.25">
      <c r="A829" s="13">
        <v>41382</v>
      </c>
      <c r="B829" t="s">
        <v>31</v>
      </c>
      <c r="C829">
        <v>381.52561780000002</v>
      </c>
      <c r="D829">
        <v>-2.1276328681666956E-2</v>
      </c>
    </row>
    <row r="830" spans="1:4" x14ac:dyDescent="0.25">
      <c r="A830" s="13">
        <v>41383</v>
      </c>
      <c r="B830" t="s">
        <v>31</v>
      </c>
      <c r="C830">
        <v>398.4422118</v>
      </c>
      <c r="D830">
        <v>4.433933977368687E-2</v>
      </c>
    </row>
    <row r="831" spans="1:4" x14ac:dyDescent="0.25">
      <c r="A831" s="13">
        <v>41386</v>
      </c>
      <c r="B831" t="s">
        <v>31</v>
      </c>
      <c r="C831">
        <v>398.56177960000002</v>
      </c>
      <c r="D831">
        <v>3.0008818458227005E-4</v>
      </c>
    </row>
    <row r="832" spans="1:4" x14ac:dyDescent="0.25">
      <c r="A832" s="13">
        <v>41387</v>
      </c>
      <c r="B832" t="s">
        <v>31</v>
      </c>
      <c r="C832">
        <v>402.44224919999999</v>
      </c>
      <c r="D832">
        <v>9.7361809350973161E-3</v>
      </c>
    </row>
    <row r="833" spans="1:4" x14ac:dyDescent="0.25">
      <c r="A833" s="13">
        <v>41388</v>
      </c>
      <c r="B833" t="s">
        <v>31</v>
      </c>
      <c r="C833">
        <v>405.20687170000002</v>
      </c>
      <c r="D833">
        <v>6.8696129829701746E-3</v>
      </c>
    </row>
    <row r="834" spans="1:4" x14ac:dyDescent="0.25">
      <c r="A834" s="13">
        <v>41389</v>
      </c>
      <c r="B834" t="s">
        <v>31</v>
      </c>
      <c r="C834">
        <v>403.03999759999999</v>
      </c>
      <c r="D834">
        <v>-5.3475749088586211E-3</v>
      </c>
    </row>
    <row r="835" spans="1:4" x14ac:dyDescent="0.25">
      <c r="A835" s="13">
        <v>41390</v>
      </c>
      <c r="B835" t="s">
        <v>31</v>
      </c>
      <c r="C835">
        <v>399.21433819999999</v>
      </c>
      <c r="D835">
        <v>-9.4920092863756134E-3</v>
      </c>
    </row>
    <row r="836" spans="1:4" x14ac:dyDescent="0.25">
      <c r="A836" s="13">
        <v>41393</v>
      </c>
      <c r="B836" t="s">
        <v>31</v>
      </c>
      <c r="C836">
        <v>408.00140160000001</v>
      </c>
      <c r="D836">
        <v>2.2010891291178725E-2</v>
      </c>
    </row>
    <row r="837" spans="1:4" x14ac:dyDescent="0.25">
      <c r="A837" s="13">
        <v>41394</v>
      </c>
      <c r="B837" t="s">
        <v>31</v>
      </c>
      <c r="C837">
        <v>410.74612669999999</v>
      </c>
      <c r="D837">
        <v>6.7272442918979714E-3</v>
      </c>
    </row>
    <row r="838" spans="1:4" x14ac:dyDescent="0.25">
      <c r="A838" s="13">
        <v>41395</v>
      </c>
      <c r="B838" t="s">
        <v>31</v>
      </c>
      <c r="C838">
        <v>408.68386700000002</v>
      </c>
      <c r="D838">
        <v>-5.0207648129722005E-3</v>
      </c>
    </row>
    <row r="839" spans="1:4" x14ac:dyDescent="0.25">
      <c r="A839" s="13">
        <v>41396</v>
      </c>
      <c r="B839" t="s">
        <v>31</v>
      </c>
      <c r="C839">
        <v>413.25672040000001</v>
      </c>
      <c r="D839">
        <v>1.1189219270062223E-2</v>
      </c>
    </row>
    <row r="840" spans="1:4" x14ac:dyDescent="0.25">
      <c r="A840" s="13">
        <v>41397</v>
      </c>
      <c r="B840" t="s">
        <v>31</v>
      </c>
      <c r="C840">
        <v>421.2816674</v>
      </c>
      <c r="D840">
        <v>1.9418793703421144E-2</v>
      </c>
    </row>
    <row r="841" spans="1:4" x14ac:dyDescent="0.25">
      <c r="A841" s="13">
        <v>41400</v>
      </c>
      <c r="B841" t="s">
        <v>31</v>
      </c>
      <c r="C841">
        <v>429.16711780000003</v>
      </c>
      <c r="D841">
        <v>1.8717762984243214E-2</v>
      </c>
    </row>
    <row r="842" spans="1:4" x14ac:dyDescent="0.25">
      <c r="A842" s="13">
        <v>41401</v>
      </c>
      <c r="B842" t="s">
        <v>31</v>
      </c>
      <c r="C842">
        <v>427.01516679999997</v>
      </c>
      <c r="D842">
        <v>-5.0142494863805176E-3</v>
      </c>
    </row>
    <row r="843" spans="1:4" x14ac:dyDescent="0.25">
      <c r="A843" s="13">
        <v>41402</v>
      </c>
      <c r="B843" t="s">
        <v>31</v>
      </c>
      <c r="C843">
        <v>435.18458429999998</v>
      </c>
      <c r="D843">
        <v>1.9131445754539955E-2</v>
      </c>
    </row>
    <row r="844" spans="1:4" x14ac:dyDescent="0.25">
      <c r="A844" s="13">
        <v>41403</v>
      </c>
      <c r="B844" t="s">
        <v>31</v>
      </c>
      <c r="C844">
        <v>434.1135678</v>
      </c>
      <c r="D844">
        <v>-2.4610625896198668E-3</v>
      </c>
    </row>
    <row r="845" spans="1:4" x14ac:dyDescent="0.25">
      <c r="A845" s="13">
        <v>41404</v>
      </c>
      <c r="B845" t="s">
        <v>31</v>
      </c>
      <c r="C845">
        <v>438.47224840000001</v>
      </c>
      <c r="D845">
        <v>1.0040415511749501E-2</v>
      </c>
    </row>
    <row r="846" spans="1:4" x14ac:dyDescent="0.25">
      <c r="A846" s="13">
        <v>41407</v>
      </c>
      <c r="B846" t="s">
        <v>31</v>
      </c>
      <c r="C846">
        <v>437.12730599999998</v>
      </c>
      <c r="D846">
        <v>-3.0673375679025616E-3</v>
      </c>
    </row>
    <row r="847" spans="1:4" x14ac:dyDescent="0.25">
      <c r="A847" s="13">
        <v>41408</v>
      </c>
      <c r="B847" t="s">
        <v>31</v>
      </c>
      <c r="C847">
        <v>441.89443469999998</v>
      </c>
      <c r="D847">
        <v>1.0905584333365859E-2</v>
      </c>
    </row>
    <row r="848" spans="1:4" x14ac:dyDescent="0.25">
      <c r="A848" s="13">
        <v>41409</v>
      </c>
      <c r="B848" t="s">
        <v>31</v>
      </c>
      <c r="C848">
        <v>456.23570660000001</v>
      </c>
      <c r="D848">
        <v>3.2454067699984268E-2</v>
      </c>
    </row>
    <row r="849" spans="1:4" x14ac:dyDescent="0.25">
      <c r="A849" s="13">
        <v>41410</v>
      </c>
      <c r="B849" t="s">
        <v>31</v>
      </c>
      <c r="C849">
        <v>450.24814739999999</v>
      </c>
      <c r="D849">
        <v>-1.3123828567958906E-2</v>
      </c>
    </row>
    <row r="850" spans="1:4" x14ac:dyDescent="0.25">
      <c r="A850" s="13">
        <v>41411</v>
      </c>
      <c r="B850" t="s">
        <v>31</v>
      </c>
      <c r="C850">
        <v>452.89323250000001</v>
      </c>
      <c r="D850">
        <v>5.8747273370791664E-3</v>
      </c>
    </row>
    <row r="851" spans="1:4" x14ac:dyDescent="0.25">
      <c r="A851" s="13">
        <v>41414</v>
      </c>
      <c r="B851" t="s">
        <v>31</v>
      </c>
      <c r="C851">
        <v>452.56944060000001</v>
      </c>
      <c r="D851">
        <v>-7.1494091049373321E-4</v>
      </c>
    </row>
    <row r="852" spans="1:4" x14ac:dyDescent="0.25">
      <c r="A852" s="13">
        <v>41415</v>
      </c>
      <c r="B852" t="s">
        <v>31</v>
      </c>
      <c r="C852">
        <v>451.7923394</v>
      </c>
      <c r="D852">
        <v>-1.7170872142179272E-3</v>
      </c>
    </row>
    <row r="853" spans="1:4" x14ac:dyDescent="0.25">
      <c r="A853" s="13">
        <v>41416</v>
      </c>
      <c r="B853" t="s">
        <v>31</v>
      </c>
      <c r="C853">
        <v>443.0501064</v>
      </c>
      <c r="D853">
        <v>-1.9350113398580615E-2</v>
      </c>
    </row>
    <row r="854" spans="1:4" x14ac:dyDescent="0.25">
      <c r="A854" s="13">
        <v>41417</v>
      </c>
      <c r="B854" t="s">
        <v>31</v>
      </c>
      <c r="C854">
        <v>439.74748849999997</v>
      </c>
      <c r="D854">
        <v>-7.454276282282013E-3</v>
      </c>
    </row>
    <row r="855" spans="1:4" x14ac:dyDescent="0.25">
      <c r="A855" s="13">
        <v>41418</v>
      </c>
      <c r="B855" t="s">
        <v>31</v>
      </c>
      <c r="C855">
        <v>435.03013429999999</v>
      </c>
      <c r="D855">
        <v>-1.0727415899727144E-2</v>
      </c>
    </row>
    <row r="856" spans="1:4" x14ac:dyDescent="0.25">
      <c r="A856" s="13">
        <v>41422</v>
      </c>
      <c r="B856" t="s">
        <v>31</v>
      </c>
      <c r="C856">
        <v>438.99031550000001</v>
      </c>
      <c r="D856">
        <v>9.1032342078378736E-3</v>
      </c>
    </row>
    <row r="857" spans="1:4" x14ac:dyDescent="0.25">
      <c r="A857" s="13">
        <v>41423</v>
      </c>
      <c r="B857" t="s">
        <v>31</v>
      </c>
      <c r="C857">
        <v>432.534494</v>
      </c>
      <c r="D857">
        <v>-1.4706068156986496E-2</v>
      </c>
    </row>
    <row r="858" spans="1:4" x14ac:dyDescent="0.25">
      <c r="A858" s="13">
        <v>41424</v>
      </c>
      <c r="B858" t="s">
        <v>31</v>
      </c>
      <c r="C858">
        <v>433.75492459999998</v>
      </c>
      <c r="D858">
        <v>2.8215798206372433E-3</v>
      </c>
    </row>
    <row r="859" spans="1:4" x14ac:dyDescent="0.25">
      <c r="A859" s="13">
        <v>41425</v>
      </c>
      <c r="B859" t="s">
        <v>31</v>
      </c>
      <c r="C859">
        <v>433.98408160000002</v>
      </c>
      <c r="D859">
        <v>5.2830985195462254E-4</v>
      </c>
    </row>
    <row r="860" spans="1:4" x14ac:dyDescent="0.25">
      <c r="A860" s="13">
        <v>41428</v>
      </c>
      <c r="B860" t="s">
        <v>31</v>
      </c>
      <c r="C860">
        <v>432.19577909999998</v>
      </c>
      <c r="D860">
        <v>-4.1206638119236638E-3</v>
      </c>
    </row>
    <row r="861" spans="1:4" x14ac:dyDescent="0.25">
      <c r="A861" s="13">
        <v>41429</v>
      </c>
      <c r="B861" t="s">
        <v>31</v>
      </c>
      <c r="C861">
        <v>427.94668730000001</v>
      </c>
      <c r="D861">
        <v>-9.8314051304440042E-3</v>
      </c>
    </row>
    <row r="862" spans="1:4" x14ac:dyDescent="0.25">
      <c r="A862" s="13">
        <v>41430</v>
      </c>
      <c r="B862" t="s">
        <v>31</v>
      </c>
      <c r="C862">
        <v>428.2455769</v>
      </c>
      <c r="D862">
        <v>6.9842718467039155E-4</v>
      </c>
    </row>
    <row r="863" spans="1:4" x14ac:dyDescent="0.25">
      <c r="A863" s="13">
        <v>41431</v>
      </c>
      <c r="B863" t="s">
        <v>31</v>
      </c>
      <c r="C863">
        <v>430.7063354</v>
      </c>
      <c r="D863">
        <v>5.74613874079688E-3</v>
      </c>
    </row>
    <row r="864" spans="1:4" x14ac:dyDescent="0.25">
      <c r="A864" s="13">
        <v>41432</v>
      </c>
      <c r="B864" t="s">
        <v>31</v>
      </c>
      <c r="C864">
        <v>438.22319390000001</v>
      </c>
      <c r="D864">
        <v>1.7452398263468893E-2</v>
      </c>
    </row>
    <row r="865" spans="1:4" x14ac:dyDescent="0.25">
      <c r="A865" s="13">
        <v>41435</v>
      </c>
      <c r="B865" t="s">
        <v>31</v>
      </c>
      <c r="C865">
        <v>443.4486058</v>
      </c>
      <c r="D865">
        <v>1.1924087936779459E-2</v>
      </c>
    </row>
    <row r="866" spans="1:4" x14ac:dyDescent="0.25">
      <c r="A866" s="13">
        <v>41436</v>
      </c>
      <c r="B866" t="s">
        <v>31</v>
      </c>
      <c r="C866">
        <v>438.26305000000002</v>
      </c>
      <c r="D866">
        <v>-1.16937018905382E-2</v>
      </c>
    </row>
    <row r="867" spans="1:4" x14ac:dyDescent="0.25">
      <c r="A867" s="13">
        <v>41437</v>
      </c>
      <c r="B867" t="s">
        <v>31</v>
      </c>
      <c r="C867">
        <v>434.36265259999999</v>
      </c>
      <c r="D867">
        <v>-8.899672012048554E-3</v>
      </c>
    </row>
    <row r="868" spans="1:4" x14ac:dyDescent="0.25">
      <c r="A868" s="13">
        <v>41438</v>
      </c>
      <c r="B868" t="s">
        <v>31</v>
      </c>
      <c r="C868">
        <v>436.8632672</v>
      </c>
      <c r="D868">
        <v>5.7569742357725939E-3</v>
      </c>
    </row>
    <row r="869" spans="1:4" x14ac:dyDescent="0.25">
      <c r="A869" s="13">
        <v>41439</v>
      </c>
      <c r="B869" t="s">
        <v>31</v>
      </c>
      <c r="C869">
        <v>435.88694720000001</v>
      </c>
      <c r="D869">
        <v>-2.2348411352081099E-3</v>
      </c>
    </row>
    <row r="870" spans="1:4" x14ac:dyDescent="0.25">
      <c r="A870" s="13">
        <v>41442</v>
      </c>
      <c r="B870" t="s">
        <v>31</v>
      </c>
      <c r="C870">
        <v>441.47103270000002</v>
      </c>
      <c r="D870">
        <v>1.2810857347003379E-2</v>
      </c>
    </row>
    <row r="871" spans="1:4" x14ac:dyDescent="0.25">
      <c r="A871" s="13">
        <v>41443</v>
      </c>
      <c r="B871" t="s">
        <v>31</v>
      </c>
      <c r="C871">
        <v>448.62918719999999</v>
      </c>
      <c r="D871">
        <v>1.6214324315281248E-2</v>
      </c>
    </row>
    <row r="872" spans="1:4" x14ac:dyDescent="0.25">
      <c r="A872" s="13">
        <v>41444</v>
      </c>
      <c r="B872" t="s">
        <v>31</v>
      </c>
      <c r="C872">
        <v>448.6590946</v>
      </c>
      <c r="D872">
        <v>6.6663964033875089E-5</v>
      </c>
    </row>
    <row r="873" spans="1:4" x14ac:dyDescent="0.25">
      <c r="A873" s="13">
        <v>41445</v>
      </c>
      <c r="B873" t="s">
        <v>31</v>
      </c>
      <c r="C873">
        <v>440.71883409999998</v>
      </c>
      <c r="D873">
        <v>-1.7697758934495988E-2</v>
      </c>
    </row>
    <row r="874" spans="1:4" x14ac:dyDescent="0.25">
      <c r="A874" s="13">
        <v>41446</v>
      </c>
      <c r="B874" t="s">
        <v>31</v>
      </c>
      <c r="C874">
        <v>438.82094289999998</v>
      </c>
      <c r="D874">
        <v>-4.3063537411005548E-3</v>
      </c>
    </row>
    <row r="875" spans="1:4" x14ac:dyDescent="0.25">
      <c r="A875" s="13">
        <v>41449</v>
      </c>
      <c r="B875" t="s">
        <v>31</v>
      </c>
      <c r="C875">
        <v>433.27173920000001</v>
      </c>
      <c r="D875">
        <v>-1.2645712994752256E-2</v>
      </c>
    </row>
    <row r="876" spans="1:4" x14ac:dyDescent="0.25">
      <c r="A876" s="13">
        <v>41450</v>
      </c>
      <c r="B876" t="s">
        <v>31</v>
      </c>
      <c r="C876">
        <v>431.48343620000003</v>
      </c>
      <c r="D876">
        <v>-4.1274397524794226E-3</v>
      </c>
    </row>
    <row r="877" spans="1:4" x14ac:dyDescent="0.25">
      <c r="A877" s="13">
        <v>41451</v>
      </c>
      <c r="B877" t="s">
        <v>31</v>
      </c>
      <c r="C877">
        <v>435.19453299999998</v>
      </c>
      <c r="D877">
        <v>8.6007862380139688E-3</v>
      </c>
    </row>
    <row r="878" spans="1:4" x14ac:dyDescent="0.25">
      <c r="A878" s="13">
        <v>41452</v>
      </c>
      <c r="B878" t="s">
        <v>31</v>
      </c>
      <c r="C878">
        <v>436.89814899999999</v>
      </c>
      <c r="D878">
        <v>3.9146079989933469E-3</v>
      </c>
    </row>
    <row r="879" spans="1:4" x14ac:dyDescent="0.25">
      <c r="A879" s="13">
        <v>41453</v>
      </c>
      <c r="B879" t="s">
        <v>31</v>
      </c>
      <c r="C879">
        <v>438.54198100000002</v>
      </c>
      <c r="D879">
        <v>3.7625062128612274E-3</v>
      </c>
    </row>
    <row r="880" spans="1:4" x14ac:dyDescent="0.25">
      <c r="A880" s="13">
        <v>41456</v>
      </c>
      <c r="B880" t="s">
        <v>31</v>
      </c>
      <c r="C880">
        <v>442.28298480000001</v>
      </c>
      <c r="D880">
        <v>8.5305488689348952E-3</v>
      </c>
    </row>
    <row r="881" spans="1:4" x14ac:dyDescent="0.25">
      <c r="A881" s="13">
        <v>41457</v>
      </c>
      <c r="B881" t="s">
        <v>31</v>
      </c>
      <c r="C881">
        <v>439.50838320000003</v>
      </c>
      <c r="D881">
        <v>-6.2733627459230501E-3</v>
      </c>
    </row>
    <row r="882" spans="1:4" x14ac:dyDescent="0.25">
      <c r="A882" s="13">
        <v>41458</v>
      </c>
      <c r="B882" t="s">
        <v>31</v>
      </c>
      <c r="C882">
        <v>441.56069359999998</v>
      </c>
      <c r="D882">
        <v>4.6695591675802728E-3</v>
      </c>
    </row>
    <row r="883" spans="1:4" x14ac:dyDescent="0.25">
      <c r="A883" s="13">
        <v>41460</v>
      </c>
      <c r="B883" t="s">
        <v>31</v>
      </c>
      <c r="C883">
        <v>445.07751469999999</v>
      </c>
      <c r="D883">
        <v>7.9645248115898237E-3</v>
      </c>
    </row>
    <row r="884" spans="1:4" x14ac:dyDescent="0.25">
      <c r="A884" s="13">
        <v>41463</v>
      </c>
      <c r="B884" t="s">
        <v>31</v>
      </c>
      <c r="C884">
        <v>450.85584510000001</v>
      </c>
      <c r="D884">
        <v>1.2982750665117004E-2</v>
      </c>
    </row>
    <row r="885" spans="1:4" x14ac:dyDescent="0.25">
      <c r="A885" s="13">
        <v>41464</v>
      </c>
      <c r="B885" t="s">
        <v>31</v>
      </c>
      <c r="C885">
        <v>450.93058300000001</v>
      </c>
      <c r="D885">
        <v>1.6576894990327773E-4</v>
      </c>
    </row>
    <row r="886" spans="1:4" x14ac:dyDescent="0.25">
      <c r="A886" s="13">
        <v>41465</v>
      </c>
      <c r="B886" t="s">
        <v>31</v>
      </c>
      <c r="C886">
        <v>451.3041796</v>
      </c>
      <c r="D886">
        <v>8.2850135715895057E-4</v>
      </c>
    </row>
    <row r="887" spans="1:4" x14ac:dyDescent="0.25">
      <c r="A887" s="13">
        <v>41466</v>
      </c>
      <c r="B887" t="s">
        <v>31</v>
      </c>
      <c r="C887">
        <v>458.40258060000002</v>
      </c>
      <c r="D887">
        <v>1.5728640063319421E-2</v>
      </c>
    </row>
    <row r="888" spans="1:4" x14ac:dyDescent="0.25">
      <c r="A888" s="13">
        <v>41467</v>
      </c>
      <c r="B888" t="s">
        <v>31</v>
      </c>
      <c r="C888">
        <v>459.77743029999999</v>
      </c>
      <c r="D888">
        <v>2.9992189358978294E-3</v>
      </c>
    </row>
    <row r="889" spans="1:4" x14ac:dyDescent="0.25">
      <c r="A889" s="13">
        <v>41470</v>
      </c>
      <c r="B889" t="s">
        <v>31</v>
      </c>
      <c r="C889">
        <v>460.61928979999999</v>
      </c>
      <c r="D889">
        <v>1.8310152793943324E-3</v>
      </c>
    </row>
    <row r="890" spans="1:4" x14ac:dyDescent="0.25">
      <c r="A890" s="13">
        <v>41471</v>
      </c>
      <c r="B890" t="s">
        <v>31</v>
      </c>
      <c r="C890">
        <v>458.08876780000003</v>
      </c>
      <c r="D890">
        <v>-5.4937386601823235E-3</v>
      </c>
    </row>
    <row r="891" spans="1:4" x14ac:dyDescent="0.25">
      <c r="A891" s="13">
        <v>41472</v>
      </c>
      <c r="B891" t="s">
        <v>31</v>
      </c>
      <c r="C891">
        <v>457.56075149999998</v>
      </c>
      <c r="D891">
        <v>-1.1526506151545712E-3</v>
      </c>
    </row>
    <row r="892" spans="1:4" x14ac:dyDescent="0.25">
      <c r="A892" s="13">
        <v>41473</v>
      </c>
      <c r="B892" t="s">
        <v>31</v>
      </c>
      <c r="C892">
        <v>453.6404263</v>
      </c>
      <c r="D892">
        <v>-8.5678791005306953E-3</v>
      </c>
    </row>
    <row r="893" spans="1:4" x14ac:dyDescent="0.25">
      <c r="A893" s="13">
        <v>41474</v>
      </c>
      <c r="B893" t="s">
        <v>31</v>
      </c>
      <c r="C893">
        <v>446.62671189999998</v>
      </c>
      <c r="D893">
        <v>-1.5460955402951115E-2</v>
      </c>
    </row>
    <row r="894" spans="1:4" x14ac:dyDescent="0.25">
      <c r="A894" s="13">
        <v>41477</v>
      </c>
      <c r="B894" t="s">
        <v>31</v>
      </c>
      <c r="C894">
        <v>453.650375</v>
      </c>
      <c r="D894">
        <v>1.5726025588842507E-2</v>
      </c>
    </row>
    <row r="895" spans="1:4" x14ac:dyDescent="0.25">
      <c r="A895" s="13">
        <v>41478</v>
      </c>
      <c r="B895" t="s">
        <v>31</v>
      </c>
      <c r="C895">
        <v>450.21326570000002</v>
      </c>
      <c r="D895">
        <v>-7.5765600326020976E-3</v>
      </c>
    </row>
    <row r="896" spans="1:4" x14ac:dyDescent="0.25">
      <c r="A896" s="13">
        <v>41479</v>
      </c>
      <c r="B896" t="s">
        <v>31</v>
      </c>
      <c r="C896">
        <v>449.76493110000001</v>
      </c>
      <c r="D896">
        <v>-9.9582716493906709E-4</v>
      </c>
    </row>
    <row r="897" spans="1:4" x14ac:dyDescent="0.25">
      <c r="A897" s="13">
        <v>41480</v>
      </c>
      <c r="B897" t="s">
        <v>31</v>
      </c>
      <c r="C897">
        <v>442.19332439999999</v>
      </c>
      <c r="D897">
        <v>-1.6834586639474014E-2</v>
      </c>
    </row>
    <row r="898" spans="1:4" x14ac:dyDescent="0.25">
      <c r="A898" s="13">
        <v>41481</v>
      </c>
      <c r="B898" t="s">
        <v>31</v>
      </c>
      <c r="C898">
        <v>441.02269819999998</v>
      </c>
      <c r="D898">
        <v>-2.6473176671955034E-3</v>
      </c>
    </row>
    <row r="899" spans="1:4" x14ac:dyDescent="0.25">
      <c r="A899" s="13">
        <v>41484</v>
      </c>
      <c r="B899" t="s">
        <v>31</v>
      </c>
      <c r="C899">
        <v>439.48845490000002</v>
      </c>
      <c r="D899">
        <v>-3.4788306957030946E-3</v>
      </c>
    </row>
    <row r="900" spans="1:4" x14ac:dyDescent="0.25">
      <c r="A900" s="13">
        <v>41485</v>
      </c>
      <c r="B900" t="s">
        <v>31</v>
      </c>
      <c r="C900">
        <v>443.79730030000002</v>
      </c>
      <c r="D900">
        <v>9.8042288755466611E-3</v>
      </c>
    </row>
    <row r="901" spans="1:4" x14ac:dyDescent="0.25">
      <c r="A901" s="13">
        <v>41486</v>
      </c>
      <c r="B901" t="s">
        <v>31</v>
      </c>
      <c r="C901">
        <v>442.21822650000001</v>
      </c>
      <c r="D901">
        <v>-3.5580969035471366E-3</v>
      </c>
    </row>
    <row r="902" spans="1:4" x14ac:dyDescent="0.25">
      <c r="A902" s="13">
        <v>41487</v>
      </c>
      <c r="B902" t="s">
        <v>31</v>
      </c>
      <c r="C902">
        <v>450.4224949</v>
      </c>
      <c r="D902">
        <v>1.8552533361037238E-2</v>
      </c>
    </row>
    <row r="903" spans="1:4" x14ac:dyDescent="0.25">
      <c r="A903" s="13">
        <v>41488</v>
      </c>
      <c r="B903" t="s">
        <v>31</v>
      </c>
      <c r="C903">
        <v>451.59309020000001</v>
      </c>
      <c r="D903">
        <v>2.5988828561058774E-3</v>
      </c>
    </row>
    <row r="904" spans="1:4" x14ac:dyDescent="0.25">
      <c r="A904" s="13">
        <v>41491</v>
      </c>
      <c r="B904" t="s">
        <v>31</v>
      </c>
      <c r="C904">
        <v>450.81101460000002</v>
      </c>
      <c r="D904">
        <v>-1.7318148062310801E-3</v>
      </c>
    </row>
    <row r="905" spans="1:4" x14ac:dyDescent="0.25">
      <c r="A905" s="13">
        <v>41492</v>
      </c>
      <c r="B905" t="s">
        <v>31</v>
      </c>
      <c r="C905">
        <v>446.61175800000001</v>
      </c>
      <c r="D905">
        <v>-9.3148935230119578E-3</v>
      </c>
    </row>
    <row r="906" spans="1:4" x14ac:dyDescent="0.25">
      <c r="A906" s="13">
        <v>41493</v>
      </c>
      <c r="B906" t="s">
        <v>31</v>
      </c>
      <c r="C906">
        <v>443.66280890000002</v>
      </c>
      <c r="D906">
        <v>-6.6029365487506597E-3</v>
      </c>
    </row>
    <row r="907" spans="1:4" x14ac:dyDescent="0.25">
      <c r="A907" s="13">
        <v>41494</v>
      </c>
      <c r="B907" t="s">
        <v>31</v>
      </c>
      <c r="C907">
        <v>444.66406189999998</v>
      </c>
      <c r="D907">
        <v>2.2567882182471521E-3</v>
      </c>
    </row>
    <row r="908" spans="1:4" x14ac:dyDescent="0.25">
      <c r="A908" s="13">
        <v>41495</v>
      </c>
      <c r="B908" t="s">
        <v>31</v>
      </c>
      <c r="C908">
        <v>443.54324100000002</v>
      </c>
      <c r="D908">
        <v>-2.520601496803665E-3</v>
      </c>
    </row>
    <row r="909" spans="1:4" x14ac:dyDescent="0.25">
      <c r="A909" s="13">
        <v>41498</v>
      </c>
      <c r="B909" t="s">
        <v>31</v>
      </c>
      <c r="C909">
        <v>441.1024104</v>
      </c>
      <c r="D909">
        <v>-5.5030273812695096E-3</v>
      </c>
    </row>
    <row r="910" spans="1:4" x14ac:dyDescent="0.25">
      <c r="A910" s="13">
        <v>41499</v>
      </c>
      <c r="B910" t="s">
        <v>31</v>
      </c>
      <c r="C910">
        <v>438.9803364</v>
      </c>
      <c r="D910">
        <v>-4.8108419948911241E-3</v>
      </c>
    </row>
    <row r="911" spans="1:4" x14ac:dyDescent="0.25">
      <c r="A911" s="13">
        <v>41500</v>
      </c>
      <c r="B911" t="s">
        <v>31</v>
      </c>
      <c r="C911">
        <v>433.28168790000001</v>
      </c>
      <c r="D911">
        <v>-1.298155754932806E-2</v>
      </c>
    </row>
    <row r="912" spans="1:4" x14ac:dyDescent="0.25">
      <c r="A912" s="13">
        <v>41501</v>
      </c>
      <c r="B912" t="s">
        <v>31</v>
      </c>
      <c r="C912">
        <v>428.2256486</v>
      </c>
      <c r="D912">
        <v>-1.1669173752773321E-2</v>
      </c>
    </row>
    <row r="913" spans="1:4" x14ac:dyDescent="0.25">
      <c r="A913" s="13">
        <v>41502</v>
      </c>
      <c r="B913" t="s">
        <v>31</v>
      </c>
      <c r="C913">
        <v>426.85577330000001</v>
      </c>
      <c r="D913">
        <v>-3.1989566820168625E-3</v>
      </c>
    </row>
    <row r="914" spans="1:4" x14ac:dyDescent="0.25">
      <c r="A914" s="13">
        <v>41505</v>
      </c>
      <c r="B914" t="s">
        <v>31</v>
      </c>
      <c r="C914">
        <v>431.20944909999997</v>
      </c>
      <c r="D914">
        <v>1.0199407088586243E-2</v>
      </c>
    </row>
    <row r="915" spans="1:4" x14ac:dyDescent="0.25">
      <c r="A915" s="13">
        <v>41506</v>
      </c>
      <c r="B915" t="s">
        <v>31</v>
      </c>
      <c r="C915">
        <v>431.09488599999997</v>
      </c>
      <c r="D915">
        <v>-2.6567854725612072E-4</v>
      </c>
    </row>
    <row r="916" spans="1:4" x14ac:dyDescent="0.25">
      <c r="A916" s="13">
        <v>41507</v>
      </c>
      <c r="B916" t="s">
        <v>31</v>
      </c>
      <c r="C916">
        <v>433.0425821</v>
      </c>
      <c r="D916">
        <v>4.5180218166633868E-3</v>
      </c>
    </row>
    <row r="917" spans="1:4" x14ac:dyDescent="0.25">
      <c r="A917" s="13">
        <v>41508</v>
      </c>
      <c r="B917" t="s">
        <v>31</v>
      </c>
      <c r="C917">
        <v>435.2244096</v>
      </c>
      <c r="D917">
        <v>5.0383671033444877E-3</v>
      </c>
    </row>
    <row r="918" spans="1:4" x14ac:dyDescent="0.25">
      <c r="A918" s="13">
        <v>41509</v>
      </c>
      <c r="B918" t="s">
        <v>31</v>
      </c>
      <c r="C918">
        <v>433.4809679</v>
      </c>
      <c r="D918">
        <v>-4.0058454019211709E-3</v>
      </c>
    </row>
    <row r="919" spans="1:4" x14ac:dyDescent="0.25">
      <c r="A919" s="13">
        <v>41512</v>
      </c>
      <c r="B919" t="s">
        <v>31</v>
      </c>
      <c r="C919">
        <v>431.5780714</v>
      </c>
      <c r="D919">
        <v>-4.389804030425104E-3</v>
      </c>
    </row>
    <row r="920" spans="1:4" x14ac:dyDescent="0.25">
      <c r="A920" s="13">
        <v>41513</v>
      </c>
      <c r="B920" t="s">
        <v>31</v>
      </c>
      <c r="C920">
        <v>423.48839700000002</v>
      </c>
      <c r="D920">
        <v>-1.8744405557394983E-2</v>
      </c>
    </row>
    <row r="921" spans="1:4" x14ac:dyDescent="0.25">
      <c r="A921" s="13">
        <v>41514</v>
      </c>
      <c r="B921" t="s">
        <v>31</v>
      </c>
      <c r="C921">
        <v>422.69136800000001</v>
      </c>
      <c r="D921">
        <v>-1.8820562868928636E-3</v>
      </c>
    </row>
    <row r="922" spans="1:4" x14ac:dyDescent="0.25">
      <c r="A922" s="13">
        <v>41515</v>
      </c>
      <c r="B922" t="s">
        <v>31</v>
      </c>
      <c r="C922">
        <v>426.11852859999999</v>
      </c>
      <c r="D922">
        <v>8.1079502905769818E-3</v>
      </c>
    </row>
    <row r="923" spans="1:4" x14ac:dyDescent="0.25">
      <c r="A923" s="13">
        <v>41516</v>
      </c>
      <c r="B923" t="s">
        <v>31</v>
      </c>
      <c r="C923">
        <v>421.86946719999997</v>
      </c>
      <c r="D923">
        <v>-9.971548090058846E-3</v>
      </c>
    </row>
    <row r="924" spans="1:4" x14ac:dyDescent="0.25">
      <c r="A924" s="13">
        <v>41520</v>
      </c>
      <c r="B924" t="s">
        <v>31</v>
      </c>
      <c r="C924">
        <v>428.58429189999998</v>
      </c>
      <c r="D924">
        <v>1.5916830256920811E-2</v>
      </c>
    </row>
    <row r="925" spans="1:4" x14ac:dyDescent="0.25">
      <c r="A925" s="13">
        <v>41521</v>
      </c>
      <c r="B925" t="s">
        <v>31</v>
      </c>
      <c r="C925">
        <v>434.18830559999998</v>
      </c>
      <c r="D925">
        <v>1.3075639508756343E-2</v>
      </c>
    </row>
    <row r="926" spans="1:4" x14ac:dyDescent="0.25">
      <c r="A926" s="13">
        <v>41522</v>
      </c>
      <c r="B926" t="s">
        <v>31</v>
      </c>
      <c r="C926">
        <v>438.13850780000001</v>
      </c>
      <c r="D926">
        <v>9.0979009546130474E-3</v>
      </c>
    </row>
    <row r="927" spans="1:4" x14ac:dyDescent="0.25">
      <c r="A927" s="13">
        <v>41523</v>
      </c>
      <c r="B927" t="s">
        <v>31</v>
      </c>
      <c r="C927">
        <v>438.14845650000001</v>
      </c>
      <c r="D927">
        <v>2.270674643489734E-5</v>
      </c>
    </row>
    <row r="928" spans="1:4" x14ac:dyDescent="0.25">
      <c r="A928" s="13">
        <v>41526</v>
      </c>
      <c r="B928" t="s">
        <v>31</v>
      </c>
      <c r="C928">
        <v>442.36767140000001</v>
      </c>
      <c r="D928">
        <v>9.6296468409446945E-3</v>
      </c>
    </row>
    <row r="929" spans="1:4" x14ac:dyDescent="0.25">
      <c r="A929" s="13">
        <v>41527</v>
      </c>
      <c r="B929" t="s">
        <v>31</v>
      </c>
      <c r="C929">
        <v>442.67650980000002</v>
      </c>
      <c r="D929">
        <v>6.9814866674722253E-4</v>
      </c>
    </row>
    <row r="930" spans="1:4" x14ac:dyDescent="0.25">
      <c r="A930" s="13">
        <v>41528</v>
      </c>
      <c r="B930" t="s">
        <v>31</v>
      </c>
      <c r="C930">
        <v>446.42245750000001</v>
      </c>
      <c r="D930">
        <v>8.4620430880608666E-3</v>
      </c>
    </row>
    <row r="931" spans="1:4" x14ac:dyDescent="0.25">
      <c r="A931" s="13">
        <v>41529</v>
      </c>
      <c r="B931" t="s">
        <v>31</v>
      </c>
      <c r="C931">
        <v>444.86331159999997</v>
      </c>
      <c r="D931">
        <v>-3.4925346469605323E-3</v>
      </c>
    </row>
    <row r="932" spans="1:4" x14ac:dyDescent="0.25">
      <c r="A932" s="13">
        <v>41530</v>
      </c>
      <c r="B932" t="s">
        <v>31</v>
      </c>
      <c r="C932">
        <v>442.87575939999999</v>
      </c>
      <c r="D932">
        <v>-4.4677817841429768E-3</v>
      </c>
    </row>
    <row r="933" spans="1:4" x14ac:dyDescent="0.25">
      <c r="A933" s="13">
        <v>41533</v>
      </c>
      <c r="B933" t="s">
        <v>31</v>
      </c>
      <c r="C933">
        <v>442.22320089999999</v>
      </c>
      <c r="D933">
        <v>-1.4734572533029455E-3</v>
      </c>
    </row>
    <row r="934" spans="1:4" x14ac:dyDescent="0.25">
      <c r="A934" s="13">
        <v>41534</v>
      </c>
      <c r="B934" t="s">
        <v>31</v>
      </c>
      <c r="C934">
        <v>441.4012697</v>
      </c>
      <c r="D934">
        <v>-1.8586342786339749E-3</v>
      </c>
    </row>
    <row r="935" spans="1:4" x14ac:dyDescent="0.25">
      <c r="A935" s="13">
        <v>41535</v>
      </c>
      <c r="B935" t="s">
        <v>31</v>
      </c>
      <c r="C935">
        <v>449.97416040000002</v>
      </c>
      <c r="D935">
        <v>1.9421989215904656E-2</v>
      </c>
    </row>
    <row r="936" spans="1:4" x14ac:dyDescent="0.25">
      <c r="A936" s="13">
        <v>41536</v>
      </c>
      <c r="B936" t="s">
        <v>31</v>
      </c>
      <c r="C936">
        <v>447.5183758</v>
      </c>
      <c r="D936">
        <v>-5.4576124944973881E-3</v>
      </c>
    </row>
    <row r="937" spans="1:4" x14ac:dyDescent="0.25">
      <c r="A937" s="13">
        <v>41537</v>
      </c>
      <c r="B937" t="s">
        <v>31</v>
      </c>
      <c r="C937">
        <v>449.86954600000001</v>
      </c>
      <c r="D937">
        <v>5.2537958822294062E-3</v>
      </c>
    </row>
    <row r="938" spans="1:4" x14ac:dyDescent="0.25">
      <c r="A938" s="13">
        <v>41540</v>
      </c>
      <c r="B938" t="s">
        <v>31</v>
      </c>
      <c r="C938">
        <v>441.59554500000002</v>
      </c>
      <c r="D938">
        <v>-1.8392000689017474E-2</v>
      </c>
    </row>
    <row r="939" spans="1:4" x14ac:dyDescent="0.25">
      <c r="A939" s="13">
        <v>41541</v>
      </c>
      <c r="B939" t="s">
        <v>31</v>
      </c>
      <c r="C939">
        <v>441.76491759999999</v>
      </c>
      <c r="D939">
        <v>3.8354689470421199E-4</v>
      </c>
    </row>
    <row r="940" spans="1:4" x14ac:dyDescent="0.25">
      <c r="A940" s="13">
        <v>41542</v>
      </c>
      <c r="B940" t="s">
        <v>31</v>
      </c>
      <c r="C940">
        <v>436.97786120000001</v>
      </c>
      <c r="D940">
        <v>-1.083620769618121E-2</v>
      </c>
    </row>
    <row r="941" spans="1:4" x14ac:dyDescent="0.25">
      <c r="A941" s="13">
        <v>41543</v>
      </c>
      <c r="B941" t="s">
        <v>31</v>
      </c>
      <c r="C941">
        <v>437.44609309999998</v>
      </c>
      <c r="D941">
        <v>1.0715231630136213E-3</v>
      </c>
    </row>
    <row r="942" spans="1:4" x14ac:dyDescent="0.25">
      <c r="A942" s="13">
        <v>41544</v>
      </c>
      <c r="B942" t="s">
        <v>31</v>
      </c>
      <c r="C942">
        <v>436.55943409999998</v>
      </c>
      <c r="D942">
        <v>-2.0268988887673922E-3</v>
      </c>
    </row>
    <row r="943" spans="1:4" x14ac:dyDescent="0.25">
      <c r="A943" s="13">
        <v>41547</v>
      </c>
      <c r="B943" t="s">
        <v>31</v>
      </c>
      <c r="C943">
        <v>436.32032830000003</v>
      </c>
      <c r="D943">
        <v>-5.4770503469447895E-4</v>
      </c>
    </row>
    <row r="944" spans="1:4" x14ac:dyDescent="0.25">
      <c r="A944" s="13">
        <v>41548</v>
      </c>
      <c r="B944" t="s">
        <v>31</v>
      </c>
      <c r="C944">
        <v>441.84462989999997</v>
      </c>
      <c r="D944">
        <v>1.2661114419132868E-2</v>
      </c>
    </row>
    <row r="945" spans="1:4" x14ac:dyDescent="0.25">
      <c r="A945" s="13">
        <v>41549</v>
      </c>
      <c r="B945" t="s">
        <v>31</v>
      </c>
      <c r="C945">
        <v>442.33776399999999</v>
      </c>
      <c r="D945">
        <v>1.1160803292136201E-3</v>
      </c>
    </row>
    <row r="946" spans="1:4" x14ac:dyDescent="0.25">
      <c r="A946" s="13">
        <v>41550</v>
      </c>
      <c r="B946" t="s">
        <v>31</v>
      </c>
      <c r="C946">
        <v>436.40998919999998</v>
      </c>
      <c r="D946">
        <v>-1.3401014524276555E-2</v>
      </c>
    </row>
    <row r="947" spans="1:4" x14ac:dyDescent="0.25">
      <c r="A947" s="13">
        <v>41551</v>
      </c>
      <c r="B947" t="s">
        <v>31</v>
      </c>
      <c r="C947">
        <v>434.54694890000002</v>
      </c>
      <c r="D947">
        <v>-4.269013877100214E-3</v>
      </c>
    </row>
    <row r="948" spans="1:4" x14ac:dyDescent="0.25">
      <c r="A948" s="13">
        <v>41554</v>
      </c>
      <c r="B948" t="s">
        <v>31</v>
      </c>
      <c r="C948">
        <v>431.25430999999998</v>
      </c>
      <c r="D948">
        <v>-7.5771764324543689E-3</v>
      </c>
    </row>
    <row r="949" spans="1:4" x14ac:dyDescent="0.25">
      <c r="A949" s="13">
        <v>41555</v>
      </c>
      <c r="B949" t="s">
        <v>31</v>
      </c>
      <c r="C949">
        <v>425.24181829999998</v>
      </c>
      <c r="D949">
        <v>-1.3941870401248835E-2</v>
      </c>
    </row>
    <row r="950" spans="1:4" x14ac:dyDescent="0.25">
      <c r="A950" s="13">
        <v>41556</v>
      </c>
      <c r="B950" t="s">
        <v>31</v>
      </c>
      <c r="C950">
        <v>426.33273179999998</v>
      </c>
      <c r="D950">
        <v>2.5653956244500176E-3</v>
      </c>
    </row>
    <row r="951" spans="1:4" x14ac:dyDescent="0.25">
      <c r="A951" s="13">
        <v>41557</v>
      </c>
      <c r="B951" t="s">
        <v>31</v>
      </c>
      <c r="C951">
        <v>432.49964319999998</v>
      </c>
      <c r="D951">
        <v>1.4465019783873823E-2</v>
      </c>
    </row>
    <row r="952" spans="1:4" x14ac:dyDescent="0.25">
      <c r="A952" s="13">
        <v>41558</v>
      </c>
      <c r="B952" t="s">
        <v>31</v>
      </c>
      <c r="C952">
        <v>434.36762700000003</v>
      </c>
      <c r="D952">
        <v>4.3190412509455101E-3</v>
      </c>
    </row>
    <row r="953" spans="1:4" x14ac:dyDescent="0.25">
      <c r="A953" s="13">
        <v>41561</v>
      </c>
      <c r="B953" t="s">
        <v>31</v>
      </c>
      <c r="C953">
        <v>436.41993789999998</v>
      </c>
      <c r="D953">
        <v>4.7248247162765544E-3</v>
      </c>
    </row>
    <row r="954" spans="1:4" x14ac:dyDescent="0.25">
      <c r="A954" s="13">
        <v>41562</v>
      </c>
      <c r="B954" t="s">
        <v>31</v>
      </c>
      <c r="C954">
        <v>439.35893829999998</v>
      </c>
      <c r="D954">
        <v>6.7343403560848891E-3</v>
      </c>
    </row>
    <row r="955" spans="1:4" x14ac:dyDescent="0.25">
      <c r="A955" s="13">
        <v>41563</v>
      </c>
      <c r="B955" t="s">
        <v>31</v>
      </c>
      <c r="C955">
        <v>447.33902399999999</v>
      </c>
      <c r="D955">
        <v>1.8163021175527039E-2</v>
      </c>
    </row>
    <row r="956" spans="1:4" x14ac:dyDescent="0.25">
      <c r="A956" s="13">
        <v>41564</v>
      </c>
      <c r="B956" t="s">
        <v>31</v>
      </c>
      <c r="C956">
        <v>442.73626330000002</v>
      </c>
      <c r="D956">
        <v>-1.0289200031875501E-2</v>
      </c>
    </row>
    <row r="957" spans="1:4" x14ac:dyDescent="0.25">
      <c r="A957" s="13">
        <v>41565</v>
      </c>
      <c r="B957" t="s">
        <v>31</v>
      </c>
      <c r="C957">
        <v>503.81742259999999</v>
      </c>
      <c r="D957">
        <v>0.13796285591047486</v>
      </c>
    </row>
    <row r="958" spans="1:4" x14ac:dyDescent="0.25">
      <c r="A958" s="13">
        <v>41568</v>
      </c>
      <c r="B958" t="s">
        <v>31</v>
      </c>
      <c r="C958">
        <v>499.77755999999999</v>
      </c>
      <c r="D958">
        <v>-8.0185051544106045E-3</v>
      </c>
    </row>
    <row r="959" spans="1:4" x14ac:dyDescent="0.25">
      <c r="A959" s="13">
        <v>41569</v>
      </c>
      <c r="B959" t="s">
        <v>31</v>
      </c>
      <c r="C959">
        <v>501.62067209999998</v>
      </c>
      <c r="D959">
        <v>3.6878648573177575E-3</v>
      </c>
    </row>
    <row r="960" spans="1:4" x14ac:dyDescent="0.25">
      <c r="A960" s="13">
        <v>41570</v>
      </c>
      <c r="B960" t="s">
        <v>31</v>
      </c>
      <c r="C960">
        <v>513.78011700000002</v>
      </c>
      <c r="D960">
        <v>2.4240318583951925E-2</v>
      </c>
    </row>
    <row r="961" spans="1:4" x14ac:dyDescent="0.25">
      <c r="A961" s="13">
        <v>41571</v>
      </c>
      <c r="B961" t="s">
        <v>31</v>
      </c>
      <c r="C961">
        <v>510.86104440000003</v>
      </c>
      <c r="D961">
        <v>-5.6815600748519879E-3</v>
      </c>
    </row>
    <row r="962" spans="1:4" x14ac:dyDescent="0.25">
      <c r="A962" s="13">
        <v>41572</v>
      </c>
      <c r="B962" t="s">
        <v>31</v>
      </c>
      <c r="C962">
        <v>505.70536559999999</v>
      </c>
      <c r="D962">
        <v>-1.0092135339963781E-2</v>
      </c>
    </row>
    <row r="963" spans="1:4" x14ac:dyDescent="0.25">
      <c r="A963" s="13">
        <v>41575</v>
      </c>
      <c r="B963" t="s">
        <v>31</v>
      </c>
      <c r="C963">
        <v>505.60572509999997</v>
      </c>
      <c r="D963">
        <v>-1.9703271267801359E-4</v>
      </c>
    </row>
    <row r="964" spans="1:4" x14ac:dyDescent="0.25">
      <c r="A964" s="13">
        <v>41576</v>
      </c>
      <c r="B964" t="s">
        <v>31</v>
      </c>
      <c r="C964">
        <v>516.18606590000002</v>
      </c>
      <c r="D964">
        <v>2.092607000822122E-2</v>
      </c>
    </row>
    <row r="965" spans="1:4" x14ac:dyDescent="0.25">
      <c r="A965" s="13">
        <v>41577</v>
      </c>
      <c r="B965" t="s">
        <v>31</v>
      </c>
      <c r="C965">
        <v>513.28695200000004</v>
      </c>
      <c r="D965">
        <v>-5.6164125526039221E-3</v>
      </c>
    </row>
    <row r="966" spans="1:4" x14ac:dyDescent="0.25">
      <c r="A966" s="13">
        <v>41578</v>
      </c>
      <c r="B966" t="s">
        <v>31</v>
      </c>
      <c r="C966">
        <v>513.3666637</v>
      </c>
      <c r="D966">
        <v>1.5529656401613856E-4</v>
      </c>
    </row>
    <row r="967" spans="1:4" x14ac:dyDescent="0.25">
      <c r="A967" s="13">
        <v>41579</v>
      </c>
      <c r="B967" t="s">
        <v>31</v>
      </c>
      <c r="C967">
        <v>511.6032639</v>
      </c>
      <c r="D967">
        <v>-3.4349713853458752E-3</v>
      </c>
    </row>
    <row r="968" spans="1:4" x14ac:dyDescent="0.25">
      <c r="A968" s="13">
        <v>41582</v>
      </c>
      <c r="B968" t="s">
        <v>31</v>
      </c>
      <c r="C968">
        <v>511.14000629999998</v>
      </c>
      <c r="D968">
        <v>-9.055016507685254E-4</v>
      </c>
    </row>
    <row r="969" spans="1:4" x14ac:dyDescent="0.25">
      <c r="A969" s="13">
        <v>41583</v>
      </c>
      <c r="B969" t="s">
        <v>31</v>
      </c>
      <c r="C969">
        <v>508.85356439999998</v>
      </c>
      <c r="D969">
        <v>-4.4732203932752457E-3</v>
      </c>
    </row>
    <row r="970" spans="1:4" x14ac:dyDescent="0.25">
      <c r="A970" s="13">
        <v>41584</v>
      </c>
      <c r="B970" t="s">
        <v>31</v>
      </c>
      <c r="C970">
        <v>509.46626689999999</v>
      </c>
      <c r="D970">
        <v>1.2040841272724645E-3</v>
      </c>
    </row>
    <row r="971" spans="1:4" x14ac:dyDescent="0.25">
      <c r="A971" s="13">
        <v>41585</v>
      </c>
      <c r="B971" t="s">
        <v>31</v>
      </c>
      <c r="C971">
        <v>502.09387839999999</v>
      </c>
      <c r="D971">
        <v>-1.4470807939570784E-2</v>
      </c>
    </row>
    <row r="972" spans="1:4" x14ac:dyDescent="0.25">
      <c r="A972" s="13">
        <v>41586</v>
      </c>
      <c r="B972" t="s">
        <v>31</v>
      </c>
      <c r="C972">
        <v>506.11881840000001</v>
      </c>
      <c r="D972">
        <v>8.0163096447742888E-3</v>
      </c>
    </row>
    <row r="973" spans="1:4" x14ac:dyDescent="0.25">
      <c r="A973" s="13">
        <v>41589</v>
      </c>
      <c r="B973" t="s">
        <v>31</v>
      </c>
      <c r="C973">
        <v>503.40897460000002</v>
      </c>
      <c r="D973">
        <v>-5.3541652700578313E-3</v>
      </c>
    </row>
    <row r="974" spans="1:4" x14ac:dyDescent="0.25">
      <c r="A974" s="13">
        <v>41590</v>
      </c>
      <c r="B974" t="s">
        <v>31</v>
      </c>
      <c r="C974">
        <v>504.00174920000001</v>
      </c>
      <c r="D974">
        <v>1.1775209221707161E-3</v>
      </c>
    </row>
    <row r="975" spans="1:4" x14ac:dyDescent="0.25">
      <c r="A975" s="13">
        <v>41591</v>
      </c>
      <c r="B975" t="s">
        <v>31</v>
      </c>
      <c r="C975">
        <v>514.30813290000003</v>
      </c>
      <c r="D975">
        <v>2.0449103036565441E-2</v>
      </c>
    </row>
    <row r="976" spans="1:4" x14ac:dyDescent="0.25">
      <c r="A976" s="13">
        <v>41592</v>
      </c>
      <c r="B976" t="s">
        <v>31</v>
      </c>
      <c r="C976">
        <v>515.68295220000005</v>
      </c>
      <c r="D976">
        <v>2.6731432230089336E-3</v>
      </c>
    </row>
    <row r="977" spans="1:4" x14ac:dyDescent="0.25">
      <c r="A977" s="13">
        <v>41593</v>
      </c>
      <c r="B977" t="s">
        <v>31</v>
      </c>
      <c r="C977">
        <v>514.85110269999996</v>
      </c>
      <c r="D977">
        <v>-1.6131025787283759E-3</v>
      </c>
    </row>
    <row r="978" spans="1:4" x14ac:dyDescent="0.25">
      <c r="A978" s="13">
        <v>41596</v>
      </c>
      <c r="B978" t="s">
        <v>31</v>
      </c>
      <c r="C978">
        <v>513.84981919999996</v>
      </c>
      <c r="D978">
        <v>-1.9448020888933604E-3</v>
      </c>
    </row>
    <row r="979" spans="1:4" x14ac:dyDescent="0.25">
      <c r="A979" s="13">
        <v>41597</v>
      </c>
      <c r="B979" t="s">
        <v>31</v>
      </c>
      <c r="C979">
        <v>510.68669740000001</v>
      </c>
      <c r="D979">
        <v>-6.1557320481780975E-3</v>
      </c>
    </row>
    <row r="980" spans="1:4" x14ac:dyDescent="0.25">
      <c r="A980" s="13">
        <v>41598</v>
      </c>
      <c r="B980" t="s">
        <v>31</v>
      </c>
      <c r="C980">
        <v>509.24708889999999</v>
      </c>
      <c r="D980">
        <v>-2.8189661241018182E-3</v>
      </c>
    </row>
    <row r="981" spans="1:4" x14ac:dyDescent="0.25">
      <c r="A981" s="13">
        <v>41599</v>
      </c>
      <c r="B981" t="s">
        <v>31</v>
      </c>
      <c r="C981">
        <v>515.10513149999997</v>
      </c>
      <c r="D981">
        <v>1.1503340377759796E-2</v>
      </c>
    </row>
    <row r="982" spans="1:4" x14ac:dyDescent="0.25">
      <c r="A982" s="13">
        <v>41600</v>
      </c>
      <c r="B982" t="s">
        <v>31</v>
      </c>
      <c r="C982">
        <v>514.01919190000001</v>
      </c>
      <c r="D982">
        <v>-2.1081902190289714E-3</v>
      </c>
    </row>
    <row r="983" spans="1:4" x14ac:dyDescent="0.25">
      <c r="A983" s="13">
        <v>41603</v>
      </c>
      <c r="B983" t="s">
        <v>31</v>
      </c>
      <c r="C983">
        <v>521.01303919999998</v>
      </c>
      <c r="D983">
        <v>1.3606198776641376E-2</v>
      </c>
    </row>
    <row r="984" spans="1:4" x14ac:dyDescent="0.25">
      <c r="A984" s="13">
        <v>41604</v>
      </c>
      <c r="B984" t="s">
        <v>31</v>
      </c>
      <c r="C984">
        <v>527.2297251</v>
      </c>
      <c r="D984">
        <v>1.1931919994834672E-2</v>
      </c>
    </row>
    <row r="985" spans="1:4" x14ac:dyDescent="0.25">
      <c r="A985" s="13">
        <v>41605</v>
      </c>
      <c r="B985" t="s">
        <v>31</v>
      </c>
      <c r="C985">
        <v>529.57097650000003</v>
      </c>
      <c r="D985">
        <v>4.440666541621896E-3</v>
      </c>
    </row>
    <row r="986" spans="1:4" x14ac:dyDescent="0.25">
      <c r="A986" s="13">
        <v>41607</v>
      </c>
      <c r="B986" t="s">
        <v>31</v>
      </c>
      <c r="C986">
        <v>527.81749449999995</v>
      </c>
      <c r="D986">
        <v>-3.3111368972466027E-3</v>
      </c>
    </row>
    <row r="987" spans="1:4" x14ac:dyDescent="0.25">
      <c r="A987" s="13">
        <v>41610</v>
      </c>
      <c r="B987" t="s">
        <v>31</v>
      </c>
      <c r="C987">
        <v>525.27207980000003</v>
      </c>
      <c r="D987">
        <v>-4.8225281020879418E-3</v>
      </c>
    </row>
    <row r="988" spans="1:4" x14ac:dyDescent="0.25">
      <c r="A988" s="13">
        <v>41611</v>
      </c>
      <c r="B988" t="s">
        <v>31</v>
      </c>
      <c r="C988">
        <v>524.6643517</v>
      </c>
      <c r="D988">
        <v>-1.1569777328188646E-3</v>
      </c>
    </row>
    <row r="989" spans="1:4" x14ac:dyDescent="0.25">
      <c r="A989" s="13">
        <v>41612</v>
      </c>
      <c r="B989" t="s">
        <v>31</v>
      </c>
      <c r="C989">
        <v>527.1151615</v>
      </c>
      <c r="D989">
        <v>4.6711955787714921E-3</v>
      </c>
    </row>
    <row r="990" spans="1:4" x14ac:dyDescent="0.25">
      <c r="A990" s="13">
        <v>41613</v>
      </c>
      <c r="B990" t="s">
        <v>31</v>
      </c>
      <c r="C990">
        <v>526.69670389999999</v>
      </c>
      <c r="D990">
        <v>-7.9386371435274938E-4</v>
      </c>
    </row>
    <row r="991" spans="1:4" x14ac:dyDescent="0.25">
      <c r="A991" s="13">
        <v>41614</v>
      </c>
      <c r="B991" t="s">
        <v>31</v>
      </c>
      <c r="C991">
        <v>532.9383527</v>
      </c>
      <c r="D991">
        <v>1.1850556029272319E-2</v>
      </c>
    </row>
    <row r="992" spans="1:4" x14ac:dyDescent="0.25">
      <c r="A992" s="13">
        <v>41617</v>
      </c>
      <c r="B992" t="s">
        <v>31</v>
      </c>
      <c r="C992">
        <v>537.05792750000001</v>
      </c>
      <c r="D992">
        <v>7.7299274468223267E-3</v>
      </c>
    </row>
    <row r="993" spans="1:4" x14ac:dyDescent="0.25">
      <c r="A993" s="13">
        <v>41618</v>
      </c>
      <c r="B993" t="s">
        <v>31</v>
      </c>
      <c r="C993">
        <v>540.30573600000002</v>
      </c>
      <c r="D993">
        <v>6.047408172743296E-3</v>
      </c>
    </row>
    <row r="994" spans="1:4" x14ac:dyDescent="0.25">
      <c r="A994" s="13">
        <v>41619</v>
      </c>
      <c r="B994" t="s">
        <v>31</v>
      </c>
      <c r="C994">
        <v>536.63446529999999</v>
      </c>
      <c r="D994">
        <v>-6.7948023783335199E-3</v>
      </c>
    </row>
    <row r="995" spans="1:4" x14ac:dyDescent="0.25">
      <c r="A995" s="13">
        <v>41620</v>
      </c>
      <c r="B995" t="s">
        <v>31</v>
      </c>
      <c r="C995">
        <v>532.98315279999997</v>
      </c>
      <c r="D995">
        <v>-6.8040961512950693E-3</v>
      </c>
    </row>
    <row r="996" spans="1:4" x14ac:dyDescent="0.25">
      <c r="A996" s="13">
        <v>41621</v>
      </c>
      <c r="B996" t="s">
        <v>31</v>
      </c>
      <c r="C996">
        <v>528.41527380000002</v>
      </c>
      <c r="D996">
        <v>-8.5704003513109583E-3</v>
      </c>
    </row>
    <row r="997" spans="1:4" x14ac:dyDescent="0.25">
      <c r="A997" s="13">
        <v>41624</v>
      </c>
      <c r="B997" t="s">
        <v>31</v>
      </c>
      <c r="C997">
        <v>534.48754989999998</v>
      </c>
      <c r="D997">
        <v>1.1491484824676546E-2</v>
      </c>
    </row>
    <row r="998" spans="1:4" x14ac:dyDescent="0.25">
      <c r="A998" s="13">
        <v>41625</v>
      </c>
      <c r="B998" t="s">
        <v>31</v>
      </c>
      <c r="C998">
        <v>532.93334800000002</v>
      </c>
      <c r="D998">
        <v>-2.907835552560134E-3</v>
      </c>
    </row>
    <row r="999" spans="1:4" x14ac:dyDescent="0.25">
      <c r="A999" s="13">
        <v>41626</v>
      </c>
      <c r="B999" t="s">
        <v>31</v>
      </c>
      <c r="C999">
        <v>540.35053600000003</v>
      </c>
      <c r="D999">
        <v>1.3917665366288912E-2</v>
      </c>
    </row>
    <row r="1000" spans="1:4" x14ac:dyDescent="0.25">
      <c r="A1000" s="13">
        <v>41627</v>
      </c>
      <c r="B1000" t="s">
        <v>31</v>
      </c>
      <c r="C1000">
        <v>541.08283719999997</v>
      </c>
      <c r="D1000">
        <v>1.3552335959927664E-3</v>
      </c>
    </row>
    <row r="1001" spans="1:4" x14ac:dyDescent="0.25">
      <c r="A1001" s="13">
        <v>41628</v>
      </c>
      <c r="B1001" t="s">
        <v>31</v>
      </c>
      <c r="C1001">
        <v>548.25594509999996</v>
      </c>
      <c r="D1001">
        <v>1.3256949595961132E-2</v>
      </c>
    </row>
    <row r="1002" spans="1:4" x14ac:dyDescent="0.25">
      <c r="A1002" s="13">
        <v>41631</v>
      </c>
      <c r="B1002" t="s">
        <v>31</v>
      </c>
      <c r="C1002">
        <v>555.46890919999998</v>
      </c>
      <c r="D1002">
        <v>1.3156198604803881E-2</v>
      </c>
    </row>
    <row r="1003" spans="1:4" x14ac:dyDescent="0.25">
      <c r="A1003" s="13">
        <v>41632</v>
      </c>
      <c r="B1003" t="s">
        <v>31</v>
      </c>
      <c r="C1003">
        <v>553.84500500000001</v>
      </c>
      <c r="D1003">
        <v>-2.9234835165459216E-3</v>
      </c>
    </row>
    <row r="1004" spans="1:4" x14ac:dyDescent="0.25">
      <c r="A1004" s="13">
        <v>41634</v>
      </c>
      <c r="B1004" t="s">
        <v>31</v>
      </c>
      <c r="C1004">
        <v>556.64450920000002</v>
      </c>
      <c r="D1004">
        <v>5.0546708460428302E-3</v>
      </c>
    </row>
    <row r="1005" spans="1:4" x14ac:dyDescent="0.25">
      <c r="A1005" s="13">
        <v>41635</v>
      </c>
      <c r="B1005" t="s">
        <v>31</v>
      </c>
      <c r="C1005">
        <v>557.11277159999997</v>
      </c>
      <c r="D1005">
        <v>8.4122342403580852E-4</v>
      </c>
    </row>
    <row r="1006" spans="1:4" x14ac:dyDescent="0.25">
      <c r="A1006" s="13">
        <v>41638</v>
      </c>
      <c r="B1006" t="s">
        <v>31</v>
      </c>
      <c r="C1006">
        <v>552.65945620000002</v>
      </c>
      <c r="D1006">
        <v>-7.9935618550087684E-3</v>
      </c>
    </row>
    <row r="1007" spans="1:4" x14ac:dyDescent="0.25">
      <c r="A1007" s="13">
        <v>41639</v>
      </c>
      <c r="B1007" t="s">
        <v>31</v>
      </c>
      <c r="C1007">
        <v>558.26346950000004</v>
      </c>
      <c r="D1007">
        <v>1.01400839832404E-2</v>
      </c>
    </row>
    <row r="1008" spans="1:4" x14ac:dyDescent="0.25">
      <c r="A1008" s="13">
        <v>41641</v>
      </c>
      <c r="B1008" t="s">
        <v>31</v>
      </c>
      <c r="C1008">
        <v>554.48264040000004</v>
      </c>
      <c r="D1008">
        <v>-6.7724816445293712E-3</v>
      </c>
    </row>
    <row r="1009" spans="1:4" x14ac:dyDescent="0.25">
      <c r="A1009" s="13">
        <v>41642</v>
      </c>
      <c r="B1009" t="s">
        <v>31</v>
      </c>
      <c r="C1009">
        <v>550.43777260000002</v>
      </c>
      <c r="D1009">
        <v>-7.2948501996060733E-3</v>
      </c>
    </row>
    <row r="1010" spans="1:4" x14ac:dyDescent="0.25">
      <c r="A1010" s="13">
        <v>41645</v>
      </c>
      <c r="B1010" t="s">
        <v>31</v>
      </c>
      <c r="C1010">
        <v>556.57480699999996</v>
      </c>
      <c r="D1010">
        <v>1.1149370020541172E-2</v>
      </c>
    </row>
    <row r="1011" spans="1:4" x14ac:dyDescent="0.25">
      <c r="A1011" s="13">
        <v>41646</v>
      </c>
      <c r="B1011" t="s">
        <v>31</v>
      </c>
      <c r="C1011">
        <v>567.30456170000002</v>
      </c>
      <c r="D1011">
        <v>1.9278189679181823E-2</v>
      </c>
    </row>
    <row r="1012" spans="1:4" x14ac:dyDescent="0.25">
      <c r="A1012" s="13">
        <v>41647</v>
      </c>
      <c r="B1012" t="s">
        <v>31</v>
      </c>
      <c r="C1012">
        <v>568.48516649999999</v>
      </c>
      <c r="D1012">
        <v>2.0810775722692743E-3</v>
      </c>
    </row>
    <row r="1013" spans="1:4" x14ac:dyDescent="0.25">
      <c r="A1013" s="13">
        <v>41648</v>
      </c>
      <c r="B1013" t="s">
        <v>31</v>
      </c>
      <c r="C1013">
        <v>563.01066979999996</v>
      </c>
      <c r="D1013">
        <v>-9.6299728165378795E-3</v>
      </c>
    </row>
    <row r="1014" spans="1:4" x14ac:dyDescent="0.25">
      <c r="A1014" s="13">
        <v>41649</v>
      </c>
      <c r="B1014" t="s">
        <v>31</v>
      </c>
      <c r="C1014">
        <v>562.98076289999995</v>
      </c>
      <c r="D1014">
        <v>-5.3119597201667368E-5</v>
      </c>
    </row>
    <row r="1015" spans="1:4" x14ac:dyDescent="0.25">
      <c r="A1015" s="13">
        <v>41652</v>
      </c>
      <c r="B1015" t="s">
        <v>31</v>
      </c>
      <c r="C1015">
        <v>559.39420870000004</v>
      </c>
      <c r="D1015">
        <v>-6.3706514260363223E-3</v>
      </c>
    </row>
    <row r="1016" spans="1:4" x14ac:dyDescent="0.25">
      <c r="A1016" s="13">
        <v>41653</v>
      </c>
      <c r="B1016" t="s">
        <v>31</v>
      </c>
      <c r="C1016">
        <v>572.554937</v>
      </c>
      <c r="D1016">
        <v>2.3526751073424057E-2</v>
      </c>
    </row>
    <row r="1017" spans="1:4" x14ac:dyDescent="0.25">
      <c r="A1017" s="13">
        <v>41654</v>
      </c>
      <c r="B1017" t="s">
        <v>31</v>
      </c>
      <c r="C1017">
        <v>572.16638639999996</v>
      </c>
      <c r="D1017">
        <v>-6.7862588354561382E-4</v>
      </c>
    </row>
    <row r="1018" spans="1:4" x14ac:dyDescent="0.25">
      <c r="A1018" s="13">
        <v>41655</v>
      </c>
      <c r="B1018" t="s">
        <v>31</v>
      </c>
      <c r="C1018">
        <v>575.95215940000003</v>
      </c>
      <c r="D1018">
        <v>6.6165596057112808E-3</v>
      </c>
    </row>
    <row r="1019" spans="1:4" x14ac:dyDescent="0.25">
      <c r="A1019" s="13">
        <v>41656</v>
      </c>
      <c r="B1019" t="s">
        <v>31</v>
      </c>
      <c r="C1019">
        <v>573.11780380000005</v>
      </c>
      <c r="D1019">
        <v>-4.9211649852179962E-3</v>
      </c>
    </row>
    <row r="1020" spans="1:4" x14ac:dyDescent="0.25">
      <c r="A1020" s="13">
        <v>41660</v>
      </c>
      <c r="B1020" t="s">
        <v>31</v>
      </c>
      <c r="C1020">
        <v>579.67824010000004</v>
      </c>
      <c r="D1020">
        <v>1.1446924622654731E-2</v>
      </c>
    </row>
    <row r="1021" spans="1:4" x14ac:dyDescent="0.25">
      <c r="A1021" s="13">
        <v>41661</v>
      </c>
      <c r="B1021" t="s">
        <v>31</v>
      </c>
      <c r="C1021">
        <v>580.33577309999998</v>
      </c>
      <c r="D1021">
        <v>1.1343068525162536E-3</v>
      </c>
    </row>
    <row r="1022" spans="1:4" x14ac:dyDescent="0.25">
      <c r="A1022" s="13">
        <v>41662</v>
      </c>
      <c r="B1022" t="s">
        <v>31</v>
      </c>
      <c r="C1022">
        <v>577.88496329999998</v>
      </c>
      <c r="D1022">
        <v>-4.223089310707917E-3</v>
      </c>
    </row>
    <row r="1023" spans="1:4" x14ac:dyDescent="0.25">
      <c r="A1023" s="13">
        <v>41663</v>
      </c>
      <c r="B1023" t="s">
        <v>31</v>
      </c>
      <c r="C1023">
        <v>559.81761019999999</v>
      </c>
      <c r="D1023">
        <v>-3.1264618821065571E-2</v>
      </c>
    </row>
    <row r="1024" spans="1:4" x14ac:dyDescent="0.25">
      <c r="A1024" s="13">
        <v>41666</v>
      </c>
      <c r="B1024" t="s">
        <v>31</v>
      </c>
      <c r="C1024">
        <v>548.55977829999995</v>
      </c>
      <c r="D1024">
        <v>-2.0109820939677281E-2</v>
      </c>
    </row>
    <row r="1025" spans="1:4" x14ac:dyDescent="0.25">
      <c r="A1025" s="13">
        <v>41667</v>
      </c>
      <c r="B1025" t="s">
        <v>31</v>
      </c>
      <c r="C1025">
        <v>559.4091621</v>
      </c>
      <c r="D1025">
        <v>1.9777942585624153E-2</v>
      </c>
    </row>
    <row r="1026" spans="1:4" x14ac:dyDescent="0.25">
      <c r="A1026" s="13">
        <v>41668</v>
      </c>
      <c r="B1026" t="s">
        <v>31</v>
      </c>
      <c r="C1026">
        <v>551.39419520000001</v>
      </c>
      <c r="D1026">
        <v>-1.4327557435620308E-2</v>
      </c>
    </row>
    <row r="1027" spans="1:4" x14ac:dyDescent="0.25">
      <c r="A1027" s="13">
        <v>41669</v>
      </c>
      <c r="B1027" t="s">
        <v>31</v>
      </c>
      <c r="C1027">
        <v>565.57604309999999</v>
      </c>
      <c r="D1027">
        <v>2.5719980412300059E-2</v>
      </c>
    </row>
    <row r="1028" spans="1:4" x14ac:dyDescent="0.25">
      <c r="A1028" s="13">
        <v>41670</v>
      </c>
      <c r="B1028" t="s">
        <v>31</v>
      </c>
      <c r="C1028">
        <v>588.28097700000001</v>
      </c>
      <c r="D1028">
        <v>4.0144794280095653E-2</v>
      </c>
    </row>
    <row r="1029" spans="1:4" x14ac:dyDescent="0.25">
      <c r="A1029" s="13">
        <v>41673</v>
      </c>
      <c r="B1029" t="s">
        <v>31</v>
      </c>
      <c r="C1029">
        <v>564.59972310000001</v>
      </c>
      <c r="D1029">
        <v>-4.025500539005189E-2</v>
      </c>
    </row>
    <row r="1030" spans="1:4" x14ac:dyDescent="0.25">
      <c r="A1030" s="13">
        <v>41674</v>
      </c>
      <c r="B1030" t="s">
        <v>31</v>
      </c>
      <c r="C1030">
        <v>566.95586719999994</v>
      </c>
      <c r="D1030">
        <v>4.1731230172470379E-3</v>
      </c>
    </row>
    <row r="1031" spans="1:4" x14ac:dyDescent="0.25">
      <c r="A1031" s="13">
        <v>41675</v>
      </c>
      <c r="B1031" t="s">
        <v>31</v>
      </c>
      <c r="C1031">
        <v>569.46649179999997</v>
      </c>
      <c r="D1031">
        <v>4.4282540233671064E-3</v>
      </c>
    </row>
    <row r="1032" spans="1:4" x14ac:dyDescent="0.25">
      <c r="A1032" s="13">
        <v>41676</v>
      </c>
      <c r="B1032" t="s">
        <v>31</v>
      </c>
      <c r="C1032">
        <v>577.81519979999996</v>
      </c>
      <c r="D1032">
        <v>1.4660578137988267E-2</v>
      </c>
    </row>
    <row r="1033" spans="1:4" x14ac:dyDescent="0.25">
      <c r="A1033" s="13">
        <v>41677</v>
      </c>
      <c r="B1033" t="s">
        <v>31</v>
      </c>
      <c r="C1033">
        <v>586.52255100000002</v>
      </c>
      <c r="D1033">
        <v>1.5069439507672922E-2</v>
      </c>
    </row>
    <row r="1034" spans="1:4" x14ac:dyDescent="0.25">
      <c r="A1034" s="13">
        <v>41680</v>
      </c>
      <c r="B1034" t="s">
        <v>31</v>
      </c>
      <c r="C1034">
        <v>584.27596519999997</v>
      </c>
      <c r="D1034">
        <v>-3.8303485452856334E-3</v>
      </c>
    </row>
    <row r="1035" spans="1:4" x14ac:dyDescent="0.25">
      <c r="A1035" s="13">
        <v>41681</v>
      </c>
      <c r="B1035" t="s">
        <v>31</v>
      </c>
      <c r="C1035">
        <v>592.86881459999995</v>
      </c>
      <c r="D1035">
        <v>1.4706833605689473E-2</v>
      </c>
    </row>
    <row r="1036" spans="1:4" x14ac:dyDescent="0.25">
      <c r="A1036" s="13">
        <v>41682</v>
      </c>
      <c r="B1036" t="s">
        <v>31</v>
      </c>
      <c r="C1036">
        <v>591.13028610000003</v>
      </c>
      <c r="D1036">
        <v>-2.9323999798722689E-3</v>
      </c>
    </row>
    <row r="1037" spans="1:4" x14ac:dyDescent="0.25">
      <c r="A1037" s="13">
        <v>41683</v>
      </c>
      <c r="B1037" t="s">
        <v>31</v>
      </c>
      <c r="C1037">
        <v>597.71068060000005</v>
      </c>
      <c r="D1037">
        <v>1.1131885228575111E-2</v>
      </c>
    </row>
    <row r="1038" spans="1:4" x14ac:dyDescent="0.25">
      <c r="A1038" s="13">
        <v>41684</v>
      </c>
      <c r="B1038" t="s">
        <v>31</v>
      </c>
      <c r="C1038">
        <v>599.15526299999999</v>
      </c>
      <c r="D1038">
        <v>2.4168589367514759E-3</v>
      </c>
    </row>
    <row r="1039" spans="1:4" x14ac:dyDescent="0.25">
      <c r="A1039" s="13">
        <v>41688</v>
      </c>
      <c r="B1039" t="s">
        <v>31</v>
      </c>
      <c r="C1039">
        <v>603.18017259999999</v>
      </c>
      <c r="D1039">
        <v>6.7176403989961386E-3</v>
      </c>
    </row>
    <row r="1040" spans="1:4" x14ac:dyDescent="0.25">
      <c r="A1040" s="13">
        <v>41689</v>
      </c>
      <c r="B1040" t="s">
        <v>31</v>
      </c>
      <c r="C1040">
        <v>598.92613679999999</v>
      </c>
      <c r="D1040">
        <v>-7.0526784421029998E-3</v>
      </c>
    </row>
    <row r="1041" spans="1:4" x14ac:dyDescent="0.25">
      <c r="A1041" s="13">
        <v>41690</v>
      </c>
      <c r="B1041" t="s">
        <v>31</v>
      </c>
      <c r="C1041">
        <v>599.80779110000003</v>
      </c>
      <c r="D1041">
        <v>1.4720584823875171E-3</v>
      </c>
    </row>
    <row r="1042" spans="1:4" x14ac:dyDescent="0.25">
      <c r="A1042" s="13">
        <v>41691</v>
      </c>
      <c r="B1042" t="s">
        <v>31</v>
      </c>
      <c r="C1042">
        <v>599.64842799999997</v>
      </c>
      <c r="D1042">
        <v>-2.6569028006084849E-4</v>
      </c>
    </row>
    <row r="1043" spans="1:4" x14ac:dyDescent="0.25">
      <c r="A1043" s="13">
        <v>41694</v>
      </c>
      <c r="B1043" t="s">
        <v>31</v>
      </c>
      <c r="C1043">
        <v>603.99212469999998</v>
      </c>
      <c r="D1043">
        <v>7.2437389930086749E-3</v>
      </c>
    </row>
    <row r="1044" spans="1:4" x14ac:dyDescent="0.25">
      <c r="A1044" s="13">
        <v>41695</v>
      </c>
      <c r="B1044" t="s">
        <v>31</v>
      </c>
      <c r="C1044">
        <v>607.72314889999996</v>
      </c>
      <c r="D1044">
        <v>6.177272926949362E-3</v>
      </c>
    </row>
    <row r="1045" spans="1:4" x14ac:dyDescent="0.25">
      <c r="A1045" s="13">
        <v>41696</v>
      </c>
      <c r="B1045" t="s">
        <v>31</v>
      </c>
      <c r="C1045">
        <v>607.8078051</v>
      </c>
      <c r="D1045">
        <v>1.3930060119204946E-4</v>
      </c>
    </row>
    <row r="1046" spans="1:4" x14ac:dyDescent="0.25">
      <c r="A1046" s="13">
        <v>41697</v>
      </c>
      <c r="B1046" t="s">
        <v>31</v>
      </c>
      <c r="C1046">
        <v>607.32965490000004</v>
      </c>
      <c r="D1046">
        <v>-7.8667992741765502E-4</v>
      </c>
    </row>
    <row r="1047" spans="1:4" x14ac:dyDescent="0.25">
      <c r="A1047" s="13">
        <v>41698</v>
      </c>
      <c r="B1047" t="s">
        <v>31</v>
      </c>
      <c r="C1047">
        <v>605.55627489999995</v>
      </c>
      <c r="D1047">
        <v>-2.9199628005849299E-3</v>
      </c>
    </row>
    <row r="1048" spans="1:4" x14ac:dyDescent="0.25">
      <c r="A1048" s="13">
        <v>41701</v>
      </c>
      <c r="B1048" t="s">
        <v>31</v>
      </c>
      <c r="C1048">
        <v>599.10045339999999</v>
      </c>
      <c r="D1048">
        <v>-1.066097696876489E-2</v>
      </c>
    </row>
    <row r="1049" spans="1:4" x14ac:dyDescent="0.25">
      <c r="A1049" s="13">
        <v>41702</v>
      </c>
      <c r="B1049" t="s">
        <v>31</v>
      </c>
      <c r="C1049">
        <v>605.18762219999996</v>
      </c>
      <c r="D1049">
        <v>1.0160514427011824E-2</v>
      </c>
    </row>
    <row r="1050" spans="1:4" x14ac:dyDescent="0.25">
      <c r="A1050" s="13">
        <v>41703</v>
      </c>
      <c r="B1050" t="s">
        <v>31</v>
      </c>
      <c r="C1050">
        <v>606.85638730000005</v>
      </c>
      <c r="D1050">
        <v>2.7574342877894065E-3</v>
      </c>
    </row>
    <row r="1051" spans="1:4" x14ac:dyDescent="0.25">
      <c r="A1051" s="13">
        <v>41704</v>
      </c>
      <c r="B1051" t="s">
        <v>31</v>
      </c>
      <c r="C1051">
        <v>607.5288736</v>
      </c>
      <c r="D1051">
        <v>1.1081473542562392E-3</v>
      </c>
    </row>
    <row r="1052" spans="1:4" x14ac:dyDescent="0.25">
      <c r="A1052" s="13">
        <v>41705</v>
      </c>
      <c r="B1052" t="s">
        <v>31</v>
      </c>
      <c r="C1052">
        <v>605.12786870000002</v>
      </c>
      <c r="D1052">
        <v>-3.9520836034877549E-3</v>
      </c>
    </row>
    <row r="1053" spans="1:4" x14ac:dyDescent="0.25">
      <c r="A1053" s="13">
        <v>41708</v>
      </c>
      <c r="B1053" t="s">
        <v>31</v>
      </c>
      <c r="C1053">
        <v>603.52386190000004</v>
      </c>
      <c r="D1053">
        <v>-2.6506906770726868E-3</v>
      </c>
    </row>
    <row r="1054" spans="1:4" x14ac:dyDescent="0.25">
      <c r="A1054" s="13">
        <v>41709</v>
      </c>
      <c r="B1054" t="s">
        <v>31</v>
      </c>
      <c r="C1054">
        <v>597.75548070000002</v>
      </c>
      <c r="D1054">
        <v>-9.5578345184896829E-3</v>
      </c>
    </row>
    <row r="1055" spans="1:4" x14ac:dyDescent="0.25">
      <c r="A1055" s="13">
        <v>41710</v>
      </c>
      <c r="B1055" t="s">
        <v>31</v>
      </c>
      <c r="C1055">
        <v>601.39684399999999</v>
      </c>
      <c r="D1055">
        <v>6.0917271653213589E-3</v>
      </c>
    </row>
    <row r="1056" spans="1:4" x14ac:dyDescent="0.25">
      <c r="A1056" s="13">
        <v>41711</v>
      </c>
      <c r="B1056" t="s">
        <v>31</v>
      </c>
      <c r="C1056">
        <v>592.31089139999995</v>
      </c>
      <c r="D1056">
        <v>-1.510808161141608E-2</v>
      </c>
    </row>
    <row r="1057" spans="1:4" x14ac:dyDescent="0.25">
      <c r="A1057" s="13">
        <v>41712</v>
      </c>
      <c r="B1057" t="s">
        <v>31</v>
      </c>
      <c r="C1057">
        <v>584.21126770000001</v>
      </c>
      <c r="D1057">
        <v>-1.3674615506149901E-2</v>
      </c>
    </row>
    <row r="1058" spans="1:4" x14ac:dyDescent="0.25">
      <c r="A1058" s="13">
        <v>41715</v>
      </c>
      <c r="B1058" t="s">
        <v>31</v>
      </c>
      <c r="C1058">
        <v>593.8252367</v>
      </c>
      <c r="D1058">
        <v>1.6456322449667216E-2</v>
      </c>
    </row>
    <row r="1059" spans="1:4" x14ac:dyDescent="0.25">
      <c r="A1059" s="13">
        <v>41716</v>
      </c>
      <c r="B1059" t="s">
        <v>31</v>
      </c>
      <c r="C1059">
        <v>603.36944270000004</v>
      </c>
      <c r="D1059">
        <v>1.6072415603349821E-2</v>
      </c>
    </row>
    <row r="1060" spans="1:4" x14ac:dyDescent="0.25">
      <c r="A1060" s="13">
        <v>41717</v>
      </c>
      <c r="B1060" t="s">
        <v>31</v>
      </c>
      <c r="C1060">
        <v>597.38688879999995</v>
      </c>
      <c r="D1060">
        <v>-9.9152417683416871E-3</v>
      </c>
    </row>
    <row r="1061" spans="1:4" x14ac:dyDescent="0.25">
      <c r="A1061" s="13">
        <v>41718</v>
      </c>
      <c r="B1061" t="s">
        <v>31</v>
      </c>
      <c r="C1061">
        <v>596.3457492</v>
      </c>
      <c r="D1061">
        <v>-1.7428229837640474E-3</v>
      </c>
    </row>
    <row r="1062" spans="1:4" x14ac:dyDescent="0.25">
      <c r="A1062" s="13">
        <v>41719</v>
      </c>
      <c r="B1062" t="s">
        <v>31</v>
      </c>
      <c r="C1062">
        <v>589.31210650000003</v>
      </c>
      <c r="D1062">
        <v>-1.1794571705148638E-2</v>
      </c>
    </row>
    <row r="1063" spans="1:4" x14ac:dyDescent="0.25">
      <c r="A1063" s="13">
        <v>41722</v>
      </c>
      <c r="B1063" t="s">
        <v>31</v>
      </c>
      <c r="C1063">
        <v>576.80396759999996</v>
      </c>
      <c r="D1063">
        <v>-2.1224982080017885E-2</v>
      </c>
    </row>
    <row r="1064" spans="1:4" x14ac:dyDescent="0.25">
      <c r="A1064" s="13">
        <v>41723</v>
      </c>
      <c r="B1064" t="s">
        <v>31</v>
      </c>
      <c r="C1064">
        <v>577.19752300000005</v>
      </c>
      <c r="D1064">
        <v>6.8230355910614549E-4</v>
      </c>
    </row>
    <row r="1065" spans="1:4" x14ac:dyDescent="0.25">
      <c r="A1065" s="13">
        <v>41724</v>
      </c>
      <c r="B1065" t="s">
        <v>31</v>
      </c>
      <c r="C1065">
        <v>563.87242670000001</v>
      </c>
      <c r="D1065">
        <v>-2.3085851496282395E-2</v>
      </c>
    </row>
    <row r="1066" spans="1:4" x14ac:dyDescent="0.25">
      <c r="A1066" s="13">
        <v>41725</v>
      </c>
      <c r="B1066" t="s">
        <v>31</v>
      </c>
      <c r="C1066">
        <v>556.93349009999997</v>
      </c>
      <c r="D1066">
        <v>-1.2305862587765448E-2</v>
      </c>
    </row>
    <row r="1067" spans="1:4" x14ac:dyDescent="0.25">
      <c r="A1067" s="13">
        <v>41726</v>
      </c>
      <c r="B1067" t="s">
        <v>31</v>
      </c>
      <c r="C1067">
        <v>558.45931499999995</v>
      </c>
      <c r="D1067">
        <v>2.7396896166649309E-3</v>
      </c>
    </row>
    <row r="1068" spans="1:4" x14ac:dyDescent="0.25">
      <c r="A1068" s="13">
        <v>41729</v>
      </c>
      <c r="B1068" t="s">
        <v>31</v>
      </c>
      <c r="C1068">
        <v>555.4475218</v>
      </c>
      <c r="D1068">
        <v>-5.393039598596272E-3</v>
      </c>
    </row>
    <row r="1069" spans="1:4" x14ac:dyDescent="0.25">
      <c r="A1069" s="13">
        <v>41730</v>
      </c>
      <c r="B1069" t="s">
        <v>31</v>
      </c>
      <c r="C1069">
        <v>565.60967659999994</v>
      </c>
      <c r="D1069">
        <v>1.8295436384463848E-2</v>
      </c>
    </row>
    <row r="1070" spans="1:4" x14ac:dyDescent="0.25">
      <c r="A1070" s="13">
        <v>41731</v>
      </c>
      <c r="B1070" t="s">
        <v>31</v>
      </c>
      <c r="C1070">
        <v>565.45013070000005</v>
      </c>
      <c r="D1070">
        <v>-2.8207774124189289E-4</v>
      </c>
    </row>
    <row r="1071" spans="1:4" x14ac:dyDescent="0.25">
      <c r="A1071" s="13">
        <v>41732</v>
      </c>
      <c r="B1071" t="s">
        <v>31</v>
      </c>
      <c r="C1071">
        <v>568.18262560000005</v>
      </c>
      <c r="D1071">
        <v>4.8324242079798019E-3</v>
      </c>
    </row>
    <row r="1072" spans="1:4" x14ac:dyDescent="0.25">
      <c r="A1072" s="13">
        <v>41733</v>
      </c>
      <c r="B1072" t="s">
        <v>31</v>
      </c>
      <c r="C1072">
        <v>541.65534530000002</v>
      </c>
      <c r="D1072">
        <v>-4.6687946981812889E-2</v>
      </c>
    </row>
    <row r="1073" spans="1:4" x14ac:dyDescent="0.25">
      <c r="A1073" s="13">
        <v>41736</v>
      </c>
      <c r="B1073" t="s">
        <v>31</v>
      </c>
      <c r="C1073">
        <v>536.67900380000003</v>
      </c>
      <c r="D1073">
        <v>-9.1872840232820607E-3</v>
      </c>
    </row>
    <row r="1074" spans="1:4" x14ac:dyDescent="0.25">
      <c r="A1074" s="13">
        <v>41737</v>
      </c>
      <c r="B1074" t="s">
        <v>31</v>
      </c>
      <c r="C1074">
        <v>553.38318149999998</v>
      </c>
      <c r="D1074">
        <v>3.1125081439230318E-2</v>
      </c>
    </row>
    <row r="1075" spans="1:4" x14ac:dyDescent="0.25">
      <c r="A1075" s="13">
        <v>41738</v>
      </c>
      <c r="B1075" t="s">
        <v>31</v>
      </c>
      <c r="C1075">
        <v>562.59794429999999</v>
      </c>
      <c r="D1075">
        <v>1.6651685681922102E-2</v>
      </c>
    </row>
    <row r="1076" spans="1:4" x14ac:dyDescent="0.25">
      <c r="A1076" s="13">
        <v>41739</v>
      </c>
      <c r="B1076" t="s">
        <v>31</v>
      </c>
      <c r="C1076">
        <v>539.47131449999995</v>
      </c>
      <c r="D1076">
        <v>-4.110685087691679E-2</v>
      </c>
    </row>
    <row r="1077" spans="1:4" x14ac:dyDescent="0.25">
      <c r="A1077" s="13">
        <v>41740</v>
      </c>
      <c r="B1077" t="s">
        <v>31</v>
      </c>
      <c r="C1077">
        <v>529.14961170000004</v>
      </c>
      <c r="D1077">
        <v>-1.9132996551570858E-2</v>
      </c>
    </row>
    <row r="1078" spans="1:4" x14ac:dyDescent="0.25">
      <c r="A1078" s="13">
        <v>41743</v>
      </c>
      <c r="B1078" t="s">
        <v>31</v>
      </c>
      <c r="C1078">
        <v>531.06435480000005</v>
      </c>
      <c r="D1078">
        <v>3.6185287821501877E-3</v>
      </c>
    </row>
    <row r="1079" spans="1:4" x14ac:dyDescent="0.25">
      <c r="A1079" s="13">
        <v>41744</v>
      </c>
      <c r="B1079" t="s">
        <v>31</v>
      </c>
      <c r="C1079">
        <v>534.97367380000003</v>
      </c>
      <c r="D1079">
        <v>7.361290519060093E-3</v>
      </c>
    </row>
    <row r="1080" spans="1:4" x14ac:dyDescent="0.25">
      <c r="A1080" s="13">
        <v>41745</v>
      </c>
      <c r="B1080" t="s">
        <v>31</v>
      </c>
      <c r="C1080">
        <v>555.01868620000005</v>
      </c>
      <c r="D1080">
        <v>3.7469156673854975E-2</v>
      </c>
    </row>
    <row r="1081" spans="1:4" x14ac:dyDescent="0.25">
      <c r="A1081" s="13">
        <v>41746</v>
      </c>
      <c r="B1081" t="s">
        <v>31</v>
      </c>
      <c r="C1081">
        <v>534.63456080000003</v>
      </c>
      <c r="D1081">
        <v>-3.6726917321581176E-2</v>
      </c>
    </row>
    <row r="1082" spans="1:4" x14ac:dyDescent="0.25">
      <c r="A1082" s="13">
        <v>41750</v>
      </c>
      <c r="B1082" t="s">
        <v>31</v>
      </c>
      <c r="C1082">
        <v>527.17505489999996</v>
      </c>
      <c r="D1082">
        <v>-1.395253215362291E-2</v>
      </c>
    </row>
    <row r="1083" spans="1:4" x14ac:dyDescent="0.25">
      <c r="A1083" s="13">
        <v>41751</v>
      </c>
      <c r="B1083" t="s">
        <v>31</v>
      </c>
      <c r="C1083">
        <v>533.34811769999999</v>
      </c>
      <c r="D1083">
        <v>1.1709702010029632E-2</v>
      </c>
    </row>
    <row r="1084" spans="1:4" x14ac:dyDescent="0.25">
      <c r="A1084" s="13">
        <v>41752</v>
      </c>
      <c r="B1084" t="s">
        <v>31</v>
      </c>
      <c r="C1084">
        <v>525.49963179999997</v>
      </c>
      <c r="D1084">
        <v>-1.4715503138636121E-2</v>
      </c>
    </row>
    <row r="1085" spans="1:4" x14ac:dyDescent="0.25">
      <c r="A1085" s="13">
        <v>41753</v>
      </c>
      <c r="B1085" t="s">
        <v>31</v>
      </c>
      <c r="C1085">
        <v>523.72447739999996</v>
      </c>
      <c r="D1085">
        <v>-3.3780316722954451E-3</v>
      </c>
    </row>
    <row r="1086" spans="1:4" x14ac:dyDescent="0.25">
      <c r="A1086" s="13">
        <v>41754</v>
      </c>
      <c r="B1086" t="s">
        <v>31</v>
      </c>
      <c r="C1086">
        <v>514.76905360000001</v>
      </c>
      <c r="D1086">
        <v>-1.7099494460252496E-2</v>
      </c>
    </row>
    <row r="1087" spans="1:4" x14ac:dyDescent="0.25">
      <c r="A1087" s="13">
        <v>41757</v>
      </c>
      <c r="B1087" t="s">
        <v>31</v>
      </c>
      <c r="C1087">
        <v>515.73640469999998</v>
      </c>
      <c r="D1087">
        <v>1.8791943556724089E-3</v>
      </c>
    </row>
    <row r="1088" spans="1:4" x14ac:dyDescent="0.25">
      <c r="A1088" s="13">
        <v>41758</v>
      </c>
      <c r="B1088" t="s">
        <v>31</v>
      </c>
      <c r="C1088">
        <v>526.25756980000006</v>
      </c>
      <c r="D1088">
        <v>2.040027619558904E-2</v>
      </c>
    </row>
    <row r="1089" spans="1:4" x14ac:dyDescent="0.25">
      <c r="A1089" s="13">
        <v>41759</v>
      </c>
      <c r="B1089" t="s">
        <v>31</v>
      </c>
      <c r="C1089">
        <v>525.22039540000003</v>
      </c>
      <c r="D1089">
        <v>-1.9708493701937613E-3</v>
      </c>
    </row>
    <row r="1090" spans="1:4" x14ac:dyDescent="0.25">
      <c r="A1090" s="13">
        <v>41760</v>
      </c>
      <c r="B1090" t="s">
        <v>31</v>
      </c>
      <c r="C1090">
        <v>529.89760109999997</v>
      </c>
      <c r="D1090">
        <v>8.9052248179315452E-3</v>
      </c>
    </row>
    <row r="1091" spans="1:4" x14ac:dyDescent="0.25">
      <c r="A1091" s="13">
        <v>41761</v>
      </c>
      <c r="B1091" t="s">
        <v>31</v>
      </c>
      <c r="C1091">
        <v>526.48694109999997</v>
      </c>
      <c r="D1091">
        <v>-6.4364511047415585E-3</v>
      </c>
    </row>
    <row r="1092" spans="1:4" x14ac:dyDescent="0.25">
      <c r="A1092" s="13">
        <v>41764</v>
      </c>
      <c r="B1092" t="s">
        <v>31</v>
      </c>
      <c r="C1092">
        <v>526.3672507</v>
      </c>
      <c r="D1092">
        <v>-2.2733783244444083E-4</v>
      </c>
    </row>
    <row r="1093" spans="1:4" x14ac:dyDescent="0.25">
      <c r="A1093" s="13">
        <v>41765</v>
      </c>
      <c r="B1093" t="s">
        <v>31</v>
      </c>
      <c r="C1093">
        <v>513.73187910000001</v>
      </c>
      <c r="D1093">
        <v>-2.4004858932991313E-2</v>
      </c>
    </row>
    <row r="1094" spans="1:4" x14ac:dyDescent="0.25">
      <c r="A1094" s="13">
        <v>41766</v>
      </c>
      <c r="B1094" t="s">
        <v>31</v>
      </c>
      <c r="C1094">
        <v>508.56605289999999</v>
      </c>
      <c r="D1094">
        <v>-1.0055490831228919E-2</v>
      </c>
    </row>
    <row r="1095" spans="1:4" x14ac:dyDescent="0.25">
      <c r="A1095" s="13">
        <v>41767</v>
      </c>
      <c r="B1095" t="s">
        <v>31</v>
      </c>
      <c r="C1095">
        <v>509.6031974</v>
      </c>
      <c r="D1095">
        <v>2.039350629256198E-3</v>
      </c>
    </row>
    <row r="1096" spans="1:4" x14ac:dyDescent="0.25">
      <c r="A1096" s="13">
        <v>41768</v>
      </c>
      <c r="B1096" t="s">
        <v>31</v>
      </c>
      <c r="C1096">
        <v>517.31209460000002</v>
      </c>
      <c r="D1096">
        <v>1.5127254380135069E-2</v>
      </c>
    </row>
    <row r="1097" spans="1:4" x14ac:dyDescent="0.25">
      <c r="A1097" s="13">
        <v>41771</v>
      </c>
      <c r="B1097" t="s">
        <v>31</v>
      </c>
      <c r="C1097">
        <v>528.47150850000003</v>
      </c>
      <c r="D1097">
        <v>2.1571917642151384E-2</v>
      </c>
    </row>
    <row r="1098" spans="1:4" x14ac:dyDescent="0.25">
      <c r="A1098" s="13">
        <v>41772</v>
      </c>
      <c r="B1098" t="s">
        <v>31</v>
      </c>
      <c r="C1098">
        <v>531.63283899999999</v>
      </c>
      <c r="D1098">
        <v>5.9820263706797938E-3</v>
      </c>
    </row>
    <row r="1099" spans="1:4" x14ac:dyDescent="0.25">
      <c r="A1099" s="13">
        <v>41773</v>
      </c>
      <c r="B1099" t="s">
        <v>31</v>
      </c>
      <c r="C1099">
        <v>525.21044670000003</v>
      </c>
      <c r="D1099">
        <v>-1.2080503364089501E-2</v>
      </c>
    </row>
    <row r="1100" spans="1:4" x14ac:dyDescent="0.25">
      <c r="A1100" s="13">
        <v>41774</v>
      </c>
      <c r="B1100" t="s">
        <v>31</v>
      </c>
      <c r="C1100">
        <v>518.55862130000003</v>
      </c>
      <c r="D1100">
        <v>-1.2665066816158643E-2</v>
      </c>
    </row>
    <row r="1101" spans="1:4" x14ac:dyDescent="0.25">
      <c r="A1101" s="13">
        <v>41775</v>
      </c>
      <c r="B1101" t="s">
        <v>31</v>
      </c>
      <c r="C1101">
        <v>519.20687950000001</v>
      </c>
      <c r="D1101">
        <v>1.2501155575714851E-3</v>
      </c>
    </row>
    <row r="1102" spans="1:4" x14ac:dyDescent="0.25">
      <c r="A1102" s="13">
        <v>41778</v>
      </c>
      <c r="B1102" t="s">
        <v>31</v>
      </c>
      <c r="C1102">
        <v>527.41437480000002</v>
      </c>
      <c r="D1102">
        <v>1.5807755297664539E-2</v>
      </c>
    </row>
    <row r="1103" spans="1:4" x14ac:dyDescent="0.25">
      <c r="A1103" s="13">
        <v>41779</v>
      </c>
      <c r="B1103" t="s">
        <v>31</v>
      </c>
      <c r="C1103">
        <v>528.32191020000005</v>
      </c>
      <c r="D1103">
        <v>1.7207255686653156E-3</v>
      </c>
    </row>
    <row r="1104" spans="1:4" x14ac:dyDescent="0.25">
      <c r="A1104" s="13">
        <v>41780</v>
      </c>
      <c r="B1104" t="s">
        <v>31</v>
      </c>
      <c r="C1104">
        <v>537.46684979999998</v>
      </c>
      <c r="D1104">
        <v>1.730940819118798E-2</v>
      </c>
    </row>
    <row r="1105" spans="1:4" x14ac:dyDescent="0.25">
      <c r="A1105" s="13">
        <v>41781</v>
      </c>
      <c r="B1105" t="s">
        <v>31</v>
      </c>
      <c r="C1105">
        <v>543.57008729999995</v>
      </c>
      <c r="D1105">
        <v>1.1355560816952881E-2</v>
      </c>
    </row>
    <row r="1106" spans="1:4" x14ac:dyDescent="0.25">
      <c r="A1106" s="13">
        <v>41782</v>
      </c>
      <c r="B1106" t="s">
        <v>31</v>
      </c>
      <c r="C1106">
        <v>551.18920200000002</v>
      </c>
      <c r="D1106">
        <v>1.4016802760147051E-2</v>
      </c>
    </row>
    <row r="1107" spans="1:4" x14ac:dyDescent="0.25">
      <c r="A1107" s="13">
        <v>41786</v>
      </c>
      <c r="B1107" t="s">
        <v>31</v>
      </c>
      <c r="C1107">
        <v>564.40300649999995</v>
      </c>
      <c r="D1107">
        <v>2.3973264447223253E-2</v>
      </c>
    </row>
    <row r="1108" spans="1:4" x14ac:dyDescent="0.25">
      <c r="A1108" s="13">
        <v>41787</v>
      </c>
      <c r="B1108" t="s">
        <v>31</v>
      </c>
      <c r="C1108">
        <v>560.14468680000004</v>
      </c>
      <c r="D1108">
        <v>-7.5448210781278169E-3</v>
      </c>
    </row>
    <row r="1109" spans="1:4" x14ac:dyDescent="0.25">
      <c r="A1109" s="13">
        <v>41788</v>
      </c>
      <c r="B1109" t="s">
        <v>31</v>
      </c>
      <c r="C1109">
        <v>558.54903760000002</v>
      </c>
      <c r="D1109">
        <v>-2.8486375709741996E-3</v>
      </c>
    </row>
    <row r="1110" spans="1:4" x14ac:dyDescent="0.25">
      <c r="A1110" s="13">
        <v>41789</v>
      </c>
      <c r="B1110" t="s">
        <v>31</v>
      </c>
      <c r="C1110">
        <v>558.3595828</v>
      </c>
      <c r="D1110">
        <v>-3.3919098816115323E-4</v>
      </c>
    </row>
    <row r="1111" spans="1:4" x14ac:dyDescent="0.25">
      <c r="A1111" s="13">
        <v>41792</v>
      </c>
      <c r="B1111" t="s">
        <v>31</v>
      </c>
      <c r="C1111">
        <v>552.41583030000004</v>
      </c>
      <c r="D1111">
        <v>-1.0645026400718183E-2</v>
      </c>
    </row>
    <row r="1112" spans="1:4" x14ac:dyDescent="0.25">
      <c r="A1112" s="13">
        <v>41793</v>
      </c>
      <c r="B1112" t="s">
        <v>31</v>
      </c>
      <c r="C1112">
        <v>543.45039689999999</v>
      </c>
      <c r="D1112">
        <v>-1.6229501234841903E-2</v>
      </c>
    </row>
    <row r="1113" spans="1:4" x14ac:dyDescent="0.25">
      <c r="A1113" s="13">
        <v>41794</v>
      </c>
      <c r="B1113" t="s">
        <v>31</v>
      </c>
      <c r="C1113">
        <v>543.17115960000001</v>
      </c>
      <c r="D1113">
        <v>-5.1382297555180312E-4</v>
      </c>
    </row>
    <row r="1114" spans="1:4" x14ac:dyDescent="0.25">
      <c r="A1114" s="13">
        <v>41795</v>
      </c>
      <c r="B1114" t="s">
        <v>31</v>
      </c>
      <c r="C1114">
        <v>552.38592340000002</v>
      </c>
      <c r="D1114">
        <v>1.6964751602029038E-2</v>
      </c>
    </row>
    <row r="1115" spans="1:4" x14ac:dyDescent="0.25">
      <c r="A1115" s="13">
        <v>41796</v>
      </c>
      <c r="B1115" t="s">
        <v>31</v>
      </c>
      <c r="C1115">
        <v>554.80927410000004</v>
      </c>
      <c r="D1115">
        <v>4.3870609248766179E-3</v>
      </c>
    </row>
    <row r="1116" spans="1:4" x14ac:dyDescent="0.25">
      <c r="A1116" s="13">
        <v>41799</v>
      </c>
      <c r="B1116" t="s">
        <v>31</v>
      </c>
      <c r="C1116">
        <v>560.5834701</v>
      </c>
      <c r="D1116">
        <v>1.0407533308391059E-2</v>
      </c>
    </row>
    <row r="1117" spans="1:4" x14ac:dyDescent="0.25">
      <c r="A1117" s="13">
        <v>41800</v>
      </c>
      <c r="B1117" t="s">
        <v>31</v>
      </c>
      <c r="C1117">
        <v>559.01772779999999</v>
      </c>
      <c r="D1117">
        <v>-2.7930582750160804E-3</v>
      </c>
    </row>
    <row r="1118" spans="1:4" x14ac:dyDescent="0.25">
      <c r="A1118" s="13">
        <v>41801</v>
      </c>
      <c r="B1118" t="s">
        <v>31</v>
      </c>
      <c r="C1118">
        <v>557.31239779999999</v>
      </c>
      <c r="D1118">
        <v>-3.0505830409194301E-3</v>
      </c>
    </row>
    <row r="1119" spans="1:4" x14ac:dyDescent="0.25">
      <c r="A1119" s="13">
        <v>41802</v>
      </c>
      <c r="B1119" t="s">
        <v>31</v>
      </c>
      <c r="C1119">
        <v>549.84288240000001</v>
      </c>
      <c r="D1119">
        <v>-1.3402744007644518E-2</v>
      </c>
    </row>
    <row r="1120" spans="1:4" x14ac:dyDescent="0.25">
      <c r="A1120" s="13">
        <v>41803</v>
      </c>
      <c r="B1120" t="s">
        <v>31</v>
      </c>
      <c r="C1120">
        <v>550.25175879999995</v>
      </c>
      <c r="D1120">
        <v>7.43624066233739E-4</v>
      </c>
    </row>
    <row r="1121" spans="1:4" x14ac:dyDescent="0.25">
      <c r="A1121" s="13">
        <v>41806</v>
      </c>
      <c r="B1121" t="s">
        <v>31</v>
      </c>
      <c r="C1121">
        <v>542.7922519</v>
      </c>
      <c r="D1121">
        <v>-1.3556534405755993E-2</v>
      </c>
    </row>
    <row r="1122" spans="1:4" x14ac:dyDescent="0.25">
      <c r="A1122" s="13">
        <v>41807</v>
      </c>
      <c r="B1122" t="s">
        <v>31</v>
      </c>
      <c r="C1122">
        <v>541.52570619999995</v>
      </c>
      <c r="D1122">
        <v>-2.3333894239768727E-3</v>
      </c>
    </row>
    <row r="1123" spans="1:4" x14ac:dyDescent="0.25">
      <c r="A1123" s="13">
        <v>41808</v>
      </c>
      <c r="B1123" t="s">
        <v>31</v>
      </c>
      <c r="C1123">
        <v>551.8573566</v>
      </c>
      <c r="D1123">
        <v>1.9078781084095553E-2</v>
      </c>
    </row>
    <row r="1124" spans="1:4" x14ac:dyDescent="0.25">
      <c r="A1124" s="13">
        <v>41809</v>
      </c>
      <c r="B1124" t="s">
        <v>31</v>
      </c>
      <c r="C1124">
        <v>553.38318149999998</v>
      </c>
      <c r="D1124">
        <v>2.7648900241188379E-3</v>
      </c>
    </row>
    <row r="1125" spans="1:4" x14ac:dyDescent="0.25">
      <c r="A1125" s="13">
        <v>41810</v>
      </c>
      <c r="B1125" t="s">
        <v>31</v>
      </c>
      <c r="C1125">
        <v>554.83918100000005</v>
      </c>
      <c r="D1125">
        <v>2.6310873706958393E-3</v>
      </c>
    </row>
    <row r="1126" spans="1:4" x14ac:dyDescent="0.25">
      <c r="A1126" s="13">
        <v>41813</v>
      </c>
      <c r="B1126" t="s">
        <v>31</v>
      </c>
      <c r="C1126">
        <v>563.40574849999996</v>
      </c>
      <c r="D1126">
        <v>1.5439730634307702E-2</v>
      </c>
    </row>
    <row r="1127" spans="1:4" x14ac:dyDescent="0.25">
      <c r="A1127" s="13">
        <v>41814</v>
      </c>
      <c r="B1127" t="s">
        <v>31</v>
      </c>
      <c r="C1127">
        <v>563.07664509999995</v>
      </c>
      <c r="D1127">
        <v>-5.8413213013219778E-4</v>
      </c>
    </row>
    <row r="1128" spans="1:4" x14ac:dyDescent="0.25">
      <c r="A1128" s="13">
        <v>41815</v>
      </c>
      <c r="B1128" t="s">
        <v>31</v>
      </c>
      <c r="C1128">
        <v>577.06828599999994</v>
      </c>
      <c r="D1128">
        <v>2.4848554849074223E-2</v>
      </c>
    </row>
    <row r="1129" spans="1:4" x14ac:dyDescent="0.25">
      <c r="A1129" s="13">
        <v>41816</v>
      </c>
      <c r="B1129" t="s">
        <v>31</v>
      </c>
      <c r="C1129">
        <v>574.42551279999998</v>
      </c>
      <c r="D1129">
        <v>-4.5796542005774876E-3</v>
      </c>
    </row>
    <row r="1130" spans="1:4" x14ac:dyDescent="0.25">
      <c r="A1130" s="13">
        <v>41817</v>
      </c>
      <c r="B1130" t="s">
        <v>31</v>
      </c>
      <c r="C1130">
        <v>575.66215160000002</v>
      </c>
      <c r="D1130">
        <v>2.1528270810466932E-3</v>
      </c>
    </row>
    <row r="1131" spans="1:4" x14ac:dyDescent="0.25">
      <c r="A1131" s="13">
        <v>41820</v>
      </c>
      <c r="B1131" t="s">
        <v>31</v>
      </c>
      <c r="C1131">
        <v>573.70749209999997</v>
      </c>
      <c r="D1131">
        <v>-3.3954976796151115E-3</v>
      </c>
    </row>
    <row r="1132" spans="1:4" x14ac:dyDescent="0.25">
      <c r="A1132" s="13">
        <v>41821</v>
      </c>
      <c r="B1132" t="s">
        <v>31</v>
      </c>
      <c r="C1132">
        <v>581.07727629999999</v>
      </c>
      <c r="D1132">
        <v>1.2845891506529927E-2</v>
      </c>
    </row>
    <row r="1133" spans="1:4" x14ac:dyDescent="0.25">
      <c r="A1133" s="13">
        <v>41822</v>
      </c>
      <c r="B1133" t="s">
        <v>31</v>
      </c>
      <c r="C1133">
        <v>580.74322949999998</v>
      </c>
      <c r="D1133">
        <v>-5.748750013544468E-4</v>
      </c>
    </row>
    <row r="1134" spans="1:4" x14ac:dyDescent="0.25">
      <c r="A1134" s="13">
        <v>41823</v>
      </c>
      <c r="B1134" t="s">
        <v>31</v>
      </c>
      <c r="C1134">
        <v>583.13166799999999</v>
      </c>
      <c r="D1134">
        <v>4.1127272410155236E-3</v>
      </c>
    </row>
    <row r="1135" spans="1:4" x14ac:dyDescent="0.25">
      <c r="A1135" s="13">
        <v>41827</v>
      </c>
      <c r="B1135" t="s">
        <v>31</v>
      </c>
      <c r="C1135">
        <v>580.65845119999994</v>
      </c>
      <c r="D1135">
        <v>-4.2412664852906623E-3</v>
      </c>
    </row>
    <row r="1136" spans="1:4" x14ac:dyDescent="0.25">
      <c r="A1136" s="13">
        <v>41828</v>
      </c>
      <c r="B1136" t="s">
        <v>31</v>
      </c>
      <c r="C1136">
        <v>569.52894530000003</v>
      </c>
      <c r="D1136">
        <v>-1.9167043684629848E-2</v>
      </c>
    </row>
    <row r="1137" spans="1:4" x14ac:dyDescent="0.25">
      <c r="A1137" s="13">
        <v>41829</v>
      </c>
      <c r="B1137" t="s">
        <v>31</v>
      </c>
      <c r="C1137">
        <v>574.50528569999994</v>
      </c>
      <c r="D1137">
        <v>8.7376426449732314E-3</v>
      </c>
    </row>
    <row r="1138" spans="1:4" x14ac:dyDescent="0.25">
      <c r="A1138" s="13">
        <v>41830</v>
      </c>
      <c r="B1138" t="s">
        <v>31</v>
      </c>
      <c r="C1138">
        <v>569.53889400000003</v>
      </c>
      <c r="D1138">
        <v>-8.6446405692310879E-3</v>
      </c>
    </row>
    <row r="1139" spans="1:4" x14ac:dyDescent="0.25">
      <c r="A1139" s="13">
        <v>41831</v>
      </c>
      <c r="B1139" t="s">
        <v>31</v>
      </c>
      <c r="C1139">
        <v>577.59685279999997</v>
      </c>
      <c r="D1139">
        <v>1.4148215134891062E-2</v>
      </c>
    </row>
    <row r="1140" spans="1:4" x14ac:dyDescent="0.25">
      <c r="A1140" s="13">
        <v>41834</v>
      </c>
      <c r="B1140" t="s">
        <v>31</v>
      </c>
      <c r="C1140">
        <v>583.27125579999995</v>
      </c>
      <c r="D1140">
        <v>9.8241584463147902E-3</v>
      </c>
    </row>
    <row r="1141" spans="1:4" x14ac:dyDescent="0.25">
      <c r="A1141" s="13">
        <v>41835</v>
      </c>
      <c r="B1141" t="s">
        <v>31</v>
      </c>
      <c r="C1141">
        <v>583.18153410000002</v>
      </c>
      <c r="D1141">
        <v>-1.5382499841665176E-4</v>
      </c>
    </row>
    <row r="1142" spans="1:4" x14ac:dyDescent="0.25">
      <c r="A1142" s="13">
        <v>41836</v>
      </c>
      <c r="B1142" t="s">
        <v>31</v>
      </c>
      <c r="C1142">
        <v>581.06732769999996</v>
      </c>
      <c r="D1142">
        <v>-3.6252972297259323E-3</v>
      </c>
    </row>
    <row r="1143" spans="1:4" x14ac:dyDescent="0.25">
      <c r="A1143" s="13">
        <v>41837</v>
      </c>
      <c r="B1143" t="s">
        <v>31</v>
      </c>
      <c r="C1143">
        <v>572.16170899999997</v>
      </c>
      <c r="D1143">
        <v>-1.532631121293726E-2</v>
      </c>
    </row>
    <row r="1144" spans="1:4" x14ac:dyDescent="0.25">
      <c r="A1144" s="13">
        <v>41838</v>
      </c>
      <c r="B1144" t="s">
        <v>31</v>
      </c>
      <c r="C1144">
        <v>593.45336980000002</v>
      </c>
      <c r="D1144">
        <v>3.7212662897719406E-2</v>
      </c>
    </row>
    <row r="1145" spans="1:4" x14ac:dyDescent="0.25">
      <c r="A1145" s="13">
        <v>41841</v>
      </c>
      <c r="B1145" t="s">
        <v>31</v>
      </c>
      <c r="C1145">
        <v>587.85867900000005</v>
      </c>
      <c r="D1145">
        <v>-9.4273469234582574E-3</v>
      </c>
    </row>
    <row r="1146" spans="1:4" x14ac:dyDescent="0.25">
      <c r="A1146" s="13">
        <v>41842</v>
      </c>
      <c r="B1146" t="s">
        <v>31</v>
      </c>
      <c r="C1146">
        <v>593.11431760000005</v>
      </c>
      <c r="D1146">
        <v>8.9403096147875338E-3</v>
      </c>
    </row>
    <row r="1147" spans="1:4" x14ac:dyDescent="0.25">
      <c r="A1147" s="13">
        <v>41843</v>
      </c>
      <c r="B1147" t="s">
        <v>31</v>
      </c>
      <c r="C1147">
        <v>594.35089559999994</v>
      </c>
      <c r="D1147">
        <v>2.0848898151770712E-3</v>
      </c>
    </row>
    <row r="1148" spans="1:4" x14ac:dyDescent="0.25">
      <c r="A1148" s="13">
        <v>41844</v>
      </c>
      <c r="B1148" t="s">
        <v>31</v>
      </c>
      <c r="C1148">
        <v>591.7280816</v>
      </c>
      <c r="D1148">
        <v>-4.4129049344701077E-3</v>
      </c>
    </row>
    <row r="1149" spans="1:4" x14ac:dyDescent="0.25">
      <c r="A1149" s="13">
        <v>41845</v>
      </c>
      <c r="B1149" t="s">
        <v>31</v>
      </c>
      <c r="C1149">
        <v>587.40994699999999</v>
      </c>
      <c r="D1149">
        <v>-7.297498182482709E-3</v>
      </c>
    </row>
    <row r="1150" spans="1:4" x14ac:dyDescent="0.25">
      <c r="A1150" s="13">
        <v>41848</v>
      </c>
      <c r="B1150" t="s">
        <v>31</v>
      </c>
      <c r="C1150">
        <v>588.98563690000003</v>
      </c>
      <c r="D1150">
        <v>2.6824365301394426E-3</v>
      </c>
    </row>
    <row r="1151" spans="1:4" x14ac:dyDescent="0.25">
      <c r="A1151" s="13">
        <v>41849</v>
      </c>
      <c r="B1151" t="s">
        <v>31</v>
      </c>
      <c r="C1151">
        <v>584.00923560000001</v>
      </c>
      <c r="D1151">
        <v>-8.4491046779888723E-3</v>
      </c>
    </row>
    <row r="1152" spans="1:4" x14ac:dyDescent="0.25">
      <c r="A1152" s="13">
        <v>41850</v>
      </c>
      <c r="B1152" t="s">
        <v>31</v>
      </c>
      <c r="C1152">
        <v>585.81429679999997</v>
      </c>
      <c r="D1152">
        <v>3.0908093399335534E-3</v>
      </c>
    </row>
    <row r="1153" spans="1:4" x14ac:dyDescent="0.25">
      <c r="A1153" s="13">
        <v>41851</v>
      </c>
      <c r="B1153" t="s">
        <v>31</v>
      </c>
      <c r="C1153">
        <v>570.03755390000003</v>
      </c>
      <c r="D1153">
        <v>-2.6931303974962906E-2</v>
      </c>
    </row>
    <row r="1154" spans="1:4" x14ac:dyDescent="0.25">
      <c r="A1154" s="13">
        <v>41852</v>
      </c>
      <c r="B1154" t="s">
        <v>31</v>
      </c>
      <c r="C1154">
        <v>564.5226361</v>
      </c>
      <c r="D1154">
        <v>-9.6746569805250537E-3</v>
      </c>
    </row>
    <row r="1155" spans="1:4" x14ac:dyDescent="0.25">
      <c r="A1155" s="13">
        <v>41855</v>
      </c>
      <c r="B1155" t="s">
        <v>31</v>
      </c>
      <c r="C1155">
        <v>571.58333689999995</v>
      </c>
      <c r="D1155">
        <v>1.2507382961255198E-2</v>
      </c>
    </row>
    <row r="1156" spans="1:4" x14ac:dyDescent="0.25">
      <c r="A1156" s="13">
        <v>41856</v>
      </c>
      <c r="B1156" t="s">
        <v>31</v>
      </c>
      <c r="C1156">
        <v>563.52537810000001</v>
      </c>
      <c r="D1156">
        <v>-1.4097609709377679E-2</v>
      </c>
    </row>
    <row r="1157" spans="1:4" x14ac:dyDescent="0.25">
      <c r="A1157" s="13">
        <v>41857</v>
      </c>
      <c r="B1157" t="s">
        <v>31</v>
      </c>
      <c r="C1157">
        <v>564.82585959999994</v>
      </c>
      <c r="D1157">
        <v>2.3077603077694686E-3</v>
      </c>
    </row>
    <row r="1158" spans="1:4" x14ac:dyDescent="0.25">
      <c r="A1158" s="13">
        <v>41858</v>
      </c>
      <c r="B1158" t="s">
        <v>31</v>
      </c>
      <c r="C1158">
        <v>561.82004810000001</v>
      </c>
      <c r="D1158">
        <v>-5.3216605594662569E-3</v>
      </c>
    </row>
    <row r="1159" spans="1:4" x14ac:dyDescent="0.25">
      <c r="A1159" s="13">
        <v>41859</v>
      </c>
      <c r="B1159" t="s">
        <v>31</v>
      </c>
      <c r="C1159">
        <v>567.21527549999996</v>
      </c>
      <c r="D1159">
        <v>9.6031236661024977E-3</v>
      </c>
    </row>
    <row r="1160" spans="1:4" x14ac:dyDescent="0.25">
      <c r="A1160" s="13">
        <v>41862</v>
      </c>
      <c r="B1160" t="s">
        <v>31</v>
      </c>
      <c r="C1160">
        <v>566.32769829999995</v>
      </c>
      <c r="D1160">
        <v>-1.5647977731516605E-3</v>
      </c>
    </row>
    <row r="1161" spans="1:4" x14ac:dyDescent="0.25">
      <c r="A1161" s="13">
        <v>41863</v>
      </c>
      <c r="B1161" t="s">
        <v>31</v>
      </c>
      <c r="C1161">
        <v>561.19180989999995</v>
      </c>
      <c r="D1161">
        <v>-9.0687572149780182E-3</v>
      </c>
    </row>
    <row r="1162" spans="1:4" x14ac:dyDescent="0.25">
      <c r="A1162" s="13">
        <v>41864</v>
      </c>
      <c r="B1162" t="s">
        <v>31</v>
      </c>
      <c r="C1162">
        <v>573.20883219999996</v>
      </c>
      <c r="D1162">
        <v>2.1413395719622752E-2</v>
      </c>
    </row>
    <row r="1163" spans="1:4" x14ac:dyDescent="0.25">
      <c r="A1163" s="13">
        <v>41865</v>
      </c>
      <c r="B1163" t="s">
        <v>31</v>
      </c>
      <c r="C1163">
        <v>573.0791931</v>
      </c>
      <c r="D1163">
        <v>-2.2616382148610281E-4</v>
      </c>
    </row>
    <row r="1164" spans="1:4" x14ac:dyDescent="0.25">
      <c r="A1164" s="13">
        <v>41866</v>
      </c>
      <c r="B1164" t="s">
        <v>31</v>
      </c>
      <c r="C1164">
        <v>571.91244040000004</v>
      </c>
      <c r="D1164">
        <v>-2.0359362441489948E-3</v>
      </c>
    </row>
    <row r="1165" spans="1:4" x14ac:dyDescent="0.25">
      <c r="A1165" s="13">
        <v>41869</v>
      </c>
      <c r="B1165" t="s">
        <v>31</v>
      </c>
      <c r="C1165">
        <v>580.56866769999999</v>
      </c>
      <c r="D1165">
        <v>1.5135581408135979E-2</v>
      </c>
    </row>
    <row r="1166" spans="1:4" x14ac:dyDescent="0.25">
      <c r="A1166" s="13">
        <v>41870</v>
      </c>
      <c r="B1166" t="s">
        <v>31</v>
      </c>
      <c r="C1166">
        <v>585.25582310000004</v>
      </c>
      <c r="D1166">
        <v>8.0733867684745775E-3</v>
      </c>
    </row>
    <row r="1167" spans="1:4" x14ac:dyDescent="0.25">
      <c r="A1167" s="13">
        <v>41871</v>
      </c>
      <c r="B1167" t="s">
        <v>31</v>
      </c>
      <c r="C1167">
        <v>582.89228720000006</v>
      </c>
      <c r="D1167">
        <v>-4.0384662684443962E-3</v>
      </c>
    </row>
    <row r="1168" spans="1:4" x14ac:dyDescent="0.25">
      <c r="A1168" s="13">
        <v>41872</v>
      </c>
      <c r="B1168" t="s">
        <v>31</v>
      </c>
      <c r="C1168">
        <v>581.77539960000001</v>
      </c>
      <c r="D1168">
        <v>-1.9161131902519779E-3</v>
      </c>
    </row>
    <row r="1169" spans="1:4" x14ac:dyDescent="0.25">
      <c r="A1169" s="13">
        <v>41873</v>
      </c>
      <c r="B1169" t="s">
        <v>31</v>
      </c>
      <c r="C1169">
        <v>580.96759550000002</v>
      </c>
      <c r="D1169">
        <v>-1.3885153971023856E-3</v>
      </c>
    </row>
    <row r="1170" spans="1:4" x14ac:dyDescent="0.25">
      <c r="A1170" s="13">
        <v>41876</v>
      </c>
      <c r="B1170" t="s">
        <v>31</v>
      </c>
      <c r="C1170">
        <v>578.61406910000005</v>
      </c>
      <c r="D1170">
        <v>-4.0510459072582439E-3</v>
      </c>
    </row>
    <row r="1171" spans="1:4" x14ac:dyDescent="0.25">
      <c r="A1171" s="13">
        <v>41877</v>
      </c>
      <c r="B1171" t="s">
        <v>31</v>
      </c>
      <c r="C1171">
        <v>576.280441</v>
      </c>
      <c r="D1171">
        <v>-4.0331340432663287E-3</v>
      </c>
    </row>
    <row r="1172" spans="1:4" x14ac:dyDescent="0.25">
      <c r="A1172" s="13">
        <v>41878</v>
      </c>
      <c r="B1172" t="s">
        <v>31</v>
      </c>
      <c r="C1172">
        <v>569.43916179999997</v>
      </c>
      <c r="D1172">
        <v>-1.187144090493264E-2</v>
      </c>
    </row>
    <row r="1173" spans="1:4" x14ac:dyDescent="0.25">
      <c r="A1173" s="13">
        <v>41879</v>
      </c>
      <c r="B1173" t="s">
        <v>31</v>
      </c>
      <c r="C1173">
        <v>567.64411010000003</v>
      </c>
      <c r="D1173">
        <v>-3.1523151557152351E-3</v>
      </c>
    </row>
    <row r="1174" spans="1:4" x14ac:dyDescent="0.25">
      <c r="A1174" s="13">
        <v>41880</v>
      </c>
      <c r="B1174" t="s">
        <v>31</v>
      </c>
      <c r="C1174">
        <v>570.03755390000003</v>
      </c>
      <c r="D1174">
        <v>4.2164513951854499E-3</v>
      </c>
    </row>
    <row r="1175" spans="1:4" x14ac:dyDescent="0.25">
      <c r="A1175" s="13">
        <v>41884</v>
      </c>
      <c r="B1175" t="s">
        <v>31</v>
      </c>
      <c r="C1175">
        <v>575.75187419999997</v>
      </c>
      <c r="D1175">
        <v>1.0024462881269125E-2</v>
      </c>
    </row>
    <row r="1176" spans="1:4" x14ac:dyDescent="0.25">
      <c r="A1176" s="13">
        <v>41885</v>
      </c>
      <c r="B1176" t="s">
        <v>31</v>
      </c>
      <c r="C1176">
        <v>576.36021400000004</v>
      </c>
      <c r="D1176">
        <v>1.0566006421521834E-3</v>
      </c>
    </row>
    <row r="1177" spans="1:4" x14ac:dyDescent="0.25">
      <c r="A1177" s="13">
        <v>41886</v>
      </c>
      <c r="B1177" t="s">
        <v>31</v>
      </c>
      <c r="C1177">
        <v>580.38916259999996</v>
      </c>
      <c r="D1177">
        <v>6.9903308766554595E-3</v>
      </c>
    </row>
    <row r="1178" spans="1:4" x14ac:dyDescent="0.25">
      <c r="A1178" s="13">
        <v>41887</v>
      </c>
      <c r="B1178" t="s">
        <v>31</v>
      </c>
      <c r="C1178">
        <v>584.47798769999997</v>
      </c>
      <c r="D1178">
        <v>7.0449714837594879E-3</v>
      </c>
    </row>
    <row r="1179" spans="1:4" x14ac:dyDescent="0.25">
      <c r="A1179" s="13">
        <v>41890</v>
      </c>
      <c r="B1179" t="s">
        <v>31</v>
      </c>
      <c r="C1179">
        <v>588.10800849999998</v>
      </c>
      <c r="D1179">
        <v>6.2107057517848396E-3</v>
      </c>
    </row>
    <row r="1180" spans="1:4" x14ac:dyDescent="0.25">
      <c r="A1180" s="13">
        <v>41891</v>
      </c>
      <c r="B1180" t="s">
        <v>31</v>
      </c>
      <c r="C1180">
        <v>579.42181240000002</v>
      </c>
      <c r="D1180">
        <v>-1.4769729326003511E-2</v>
      </c>
    </row>
    <row r="1181" spans="1:4" x14ac:dyDescent="0.25">
      <c r="A1181" s="13">
        <v>41892</v>
      </c>
      <c r="B1181" t="s">
        <v>31</v>
      </c>
      <c r="C1181">
        <v>581.50611100000003</v>
      </c>
      <c r="D1181">
        <v>3.5972042394585291E-3</v>
      </c>
    </row>
    <row r="1182" spans="1:4" x14ac:dyDescent="0.25">
      <c r="A1182" s="13">
        <v>41893</v>
      </c>
      <c r="B1182" t="s">
        <v>31</v>
      </c>
      <c r="C1182">
        <v>579.76092540000002</v>
      </c>
      <c r="D1182">
        <v>-3.0011474806324046E-3</v>
      </c>
    </row>
    <row r="1183" spans="1:4" x14ac:dyDescent="0.25">
      <c r="A1183" s="13">
        <v>41894</v>
      </c>
      <c r="B1183" t="s">
        <v>31</v>
      </c>
      <c r="C1183">
        <v>574.04654419999997</v>
      </c>
      <c r="D1183">
        <v>-9.8564441818107529E-3</v>
      </c>
    </row>
    <row r="1184" spans="1:4" x14ac:dyDescent="0.25">
      <c r="A1184" s="13">
        <v>41897</v>
      </c>
      <c r="B1184" t="s">
        <v>31</v>
      </c>
      <c r="C1184">
        <v>571.5334709</v>
      </c>
      <c r="D1184">
        <v>-4.3778214944264482E-3</v>
      </c>
    </row>
    <row r="1185" spans="1:4" x14ac:dyDescent="0.25">
      <c r="A1185" s="13">
        <v>41898</v>
      </c>
      <c r="B1185" t="s">
        <v>31</v>
      </c>
      <c r="C1185">
        <v>578.36473960000001</v>
      </c>
      <c r="D1185">
        <v>1.195252605108621E-2</v>
      </c>
    </row>
    <row r="1186" spans="1:4" x14ac:dyDescent="0.25">
      <c r="A1186" s="13">
        <v>41899</v>
      </c>
      <c r="B1186" t="s">
        <v>31</v>
      </c>
      <c r="C1186">
        <v>583.1715246</v>
      </c>
      <c r="D1186">
        <v>8.3109924773843158E-3</v>
      </c>
    </row>
    <row r="1187" spans="1:4" x14ac:dyDescent="0.25">
      <c r="A1187" s="13">
        <v>41900</v>
      </c>
      <c r="B1187" t="s">
        <v>31</v>
      </c>
      <c r="C1187">
        <v>587.65927650000003</v>
      </c>
      <c r="D1187">
        <v>7.6954235772712654E-3</v>
      </c>
    </row>
    <row r="1188" spans="1:4" x14ac:dyDescent="0.25">
      <c r="A1188" s="13">
        <v>41901</v>
      </c>
      <c r="B1188" t="s">
        <v>31</v>
      </c>
      <c r="C1188">
        <v>594.45062780000001</v>
      </c>
      <c r="D1188">
        <v>1.155661379234596E-2</v>
      </c>
    </row>
    <row r="1189" spans="1:4" x14ac:dyDescent="0.25">
      <c r="A1189" s="13">
        <v>41904</v>
      </c>
      <c r="B1189" t="s">
        <v>31</v>
      </c>
      <c r="C1189">
        <v>585.76443180000001</v>
      </c>
      <c r="D1189">
        <v>-1.4612140342330382E-2</v>
      </c>
    </row>
    <row r="1190" spans="1:4" x14ac:dyDescent="0.25">
      <c r="A1190" s="13">
        <v>41905</v>
      </c>
      <c r="B1190" t="s">
        <v>31</v>
      </c>
      <c r="C1190">
        <v>579.54150279999999</v>
      </c>
      <c r="D1190">
        <v>-1.062360338417534E-2</v>
      </c>
    </row>
    <row r="1191" spans="1:4" x14ac:dyDescent="0.25">
      <c r="A1191" s="13">
        <v>41906</v>
      </c>
      <c r="B1191" t="s">
        <v>31</v>
      </c>
      <c r="C1191">
        <v>586.38272019999999</v>
      </c>
      <c r="D1191">
        <v>1.180453404449433E-2</v>
      </c>
    </row>
    <row r="1192" spans="1:4" x14ac:dyDescent="0.25">
      <c r="A1192" s="13">
        <v>41907</v>
      </c>
      <c r="B1192" t="s">
        <v>31</v>
      </c>
      <c r="C1192">
        <v>573.48806950000005</v>
      </c>
      <c r="D1192">
        <v>-2.1990161469290781E-2</v>
      </c>
    </row>
    <row r="1193" spans="1:4" x14ac:dyDescent="0.25">
      <c r="A1193" s="13">
        <v>41908</v>
      </c>
      <c r="B1193" t="s">
        <v>31</v>
      </c>
      <c r="C1193">
        <v>575.52250300000003</v>
      </c>
      <c r="D1193">
        <v>3.5474731004843107E-3</v>
      </c>
    </row>
    <row r="1194" spans="1:4" x14ac:dyDescent="0.25">
      <c r="A1194" s="13">
        <v>41911</v>
      </c>
      <c r="B1194" t="s">
        <v>31</v>
      </c>
      <c r="C1194">
        <v>574.7845231</v>
      </c>
      <c r="D1194">
        <v>-1.2822780971259995E-3</v>
      </c>
    </row>
    <row r="1195" spans="1:4" x14ac:dyDescent="0.25">
      <c r="A1195" s="13">
        <v>41912</v>
      </c>
      <c r="B1195" t="s">
        <v>31</v>
      </c>
      <c r="C1195">
        <v>575.78178109999999</v>
      </c>
      <c r="D1195">
        <v>1.7350119217223181E-3</v>
      </c>
    </row>
    <row r="1196" spans="1:4" x14ac:dyDescent="0.25">
      <c r="A1196" s="13">
        <v>41913</v>
      </c>
      <c r="B1196" t="s">
        <v>31</v>
      </c>
      <c r="C1196">
        <v>566.71667639999998</v>
      </c>
      <c r="D1196">
        <v>-1.5743993640579657E-2</v>
      </c>
    </row>
    <row r="1197" spans="1:4" x14ac:dyDescent="0.25">
      <c r="A1197" s="13">
        <v>41914</v>
      </c>
      <c r="B1197" t="s">
        <v>31</v>
      </c>
      <c r="C1197">
        <v>568.52167770000005</v>
      </c>
      <c r="D1197">
        <v>3.1850153262933389E-3</v>
      </c>
    </row>
    <row r="1198" spans="1:4" x14ac:dyDescent="0.25">
      <c r="A1198" s="13">
        <v>41915</v>
      </c>
      <c r="B1198" t="s">
        <v>31</v>
      </c>
      <c r="C1198">
        <v>573.70749209999997</v>
      </c>
      <c r="D1198">
        <v>9.1215772474666501E-3</v>
      </c>
    </row>
    <row r="1199" spans="1:4" x14ac:dyDescent="0.25">
      <c r="A1199" s="13">
        <v>41918</v>
      </c>
      <c r="B1199" t="s">
        <v>31</v>
      </c>
      <c r="C1199">
        <v>575.77183239999999</v>
      </c>
      <c r="D1199">
        <v>3.5982453226184319E-3</v>
      </c>
    </row>
    <row r="1200" spans="1:4" x14ac:dyDescent="0.25">
      <c r="A1200" s="13">
        <v>41919</v>
      </c>
      <c r="B1200" t="s">
        <v>31</v>
      </c>
      <c r="C1200">
        <v>562.19901660000005</v>
      </c>
      <c r="D1200">
        <v>-2.3573254258417164E-2</v>
      </c>
    </row>
    <row r="1201" spans="1:4" x14ac:dyDescent="0.25">
      <c r="A1201" s="13">
        <v>41920</v>
      </c>
      <c r="B1201" t="s">
        <v>31</v>
      </c>
      <c r="C1201">
        <v>570.93507969999996</v>
      </c>
      <c r="D1201">
        <v>1.5539093527471515E-2</v>
      </c>
    </row>
    <row r="1202" spans="1:4" x14ac:dyDescent="0.25">
      <c r="A1202" s="13">
        <v>41921</v>
      </c>
      <c r="B1202" t="s">
        <v>31</v>
      </c>
      <c r="C1202">
        <v>559.34683129999996</v>
      </c>
      <c r="D1202">
        <v>-2.0296963371192911E-2</v>
      </c>
    </row>
    <row r="1203" spans="1:4" x14ac:dyDescent="0.25">
      <c r="A1203" s="13">
        <v>41922</v>
      </c>
      <c r="B1203" t="s">
        <v>31</v>
      </c>
      <c r="C1203">
        <v>543.00166490000004</v>
      </c>
      <c r="D1203">
        <v>-2.9221880746175821E-2</v>
      </c>
    </row>
    <row r="1204" spans="1:4" x14ac:dyDescent="0.25">
      <c r="A1204" s="13">
        <v>41925</v>
      </c>
      <c r="B1204" t="s">
        <v>31</v>
      </c>
      <c r="C1204">
        <v>531.75246760000005</v>
      </c>
      <c r="D1204">
        <v>-2.0716690255584536E-2</v>
      </c>
    </row>
    <row r="1205" spans="1:4" x14ac:dyDescent="0.25">
      <c r="A1205" s="13">
        <v>41926</v>
      </c>
      <c r="B1205" t="s">
        <v>31</v>
      </c>
      <c r="C1205">
        <v>536.4695309</v>
      </c>
      <c r="D1205">
        <v>8.8707877958513759E-3</v>
      </c>
    </row>
    <row r="1206" spans="1:4" x14ac:dyDescent="0.25">
      <c r="A1206" s="13">
        <v>41927</v>
      </c>
      <c r="B1206" t="s">
        <v>31</v>
      </c>
      <c r="C1206">
        <v>528.58118930000001</v>
      </c>
      <c r="D1206">
        <v>-1.470417450692163E-2</v>
      </c>
    </row>
    <row r="1207" spans="1:4" x14ac:dyDescent="0.25">
      <c r="A1207" s="13">
        <v>41928</v>
      </c>
      <c r="B1207" t="s">
        <v>31</v>
      </c>
      <c r="C1207">
        <v>523.07628109999996</v>
      </c>
      <c r="D1207">
        <v>-1.0414498872519884E-2</v>
      </c>
    </row>
    <row r="1208" spans="1:4" x14ac:dyDescent="0.25">
      <c r="A1208" s="13">
        <v>41929</v>
      </c>
      <c r="B1208" t="s">
        <v>31</v>
      </c>
      <c r="C1208">
        <v>509.77272399999998</v>
      </c>
      <c r="D1208">
        <v>-2.5433302140986713E-2</v>
      </c>
    </row>
    <row r="1209" spans="1:4" x14ac:dyDescent="0.25">
      <c r="A1209" s="13">
        <v>41932</v>
      </c>
      <c r="B1209" t="s">
        <v>31</v>
      </c>
      <c r="C1209">
        <v>519.41629160000002</v>
      </c>
      <c r="D1209">
        <v>1.8917386407673042E-2</v>
      </c>
    </row>
    <row r="1210" spans="1:4" x14ac:dyDescent="0.25">
      <c r="A1210" s="13">
        <v>41933</v>
      </c>
      <c r="B1210" t="s">
        <v>31</v>
      </c>
      <c r="C1210">
        <v>525.10070499999995</v>
      </c>
      <c r="D1210">
        <v>1.0943848877919882E-2</v>
      </c>
    </row>
    <row r="1211" spans="1:4" x14ac:dyDescent="0.25">
      <c r="A1211" s="13">
        <v>41934</v>
      </c>
      <c r="B1211" t="s">
        <v>31</v>
      </c>
      <c r="C1211">
        <v>531.25386949999995</v>
      </c>
      <c r="D1211">
        <v>1.1718065585152759E-2</v>
      </c>
    </row>
    <row r="1212" spans="1:4" x14ac:dyDescent="0.25">
      <c r="A1212" s="13">
        <v>41935</v>
      </c>
      <c r="B1212" t="s">
        <v>31</v>
      </c>
      <c r="C1212">
        <v>542.49305630000003</v>
      </c>
      <c r="D1212">
        <v>2.1155962234360892E-2</v>
      </c>
    </row>
    <row r="1213" spans="1:4" x14ac:dyDescent="0.25">
      <c r="A1213" s="13">
        <v>41936</v>
      </c>
      <c r="B1213" t="s">
        <v>31</v>
      </c>
      <c r="C1213">
        <v>538.30449999999996</v>
      </c>
      <c r="D1213">
        <v>-7.7209399297524239E-3</v>
      </c>
    </row>
    <row r="1214" spans="1:4" x14ac:dyDescent="0.25">
      <c r="A1214" s="13">
        <v>41939</v>
      </c>
      <c r="B1214" t="s">
        <v>31</v>
      </c>
      <c r="C1214">
        <v>539.29180929999995</v>
      </c>
      <c r="D1214">
        <v>1.8341093191678315E-3</v>
      </c>
    </row>
    <row r="1215" spans="1:4" x14ac:dyDescent="0.25">
      <c r="A1215" s="13">
        <v>41940</v>
      </c>
      <c r="B1215" t="s">
        <v>31</v>
      </c>
      <c r="C1215">
        <v>547.39957249999998</v>
      </c>
      <c r="D1215">
        <v>1.5034092971899282E-2</v>
      </c>
    </row>
    <row r="1216" spans="1:4" x14ac:dyDescent="0.25">
      <c r="A1216" s="13">
        <v>41941</v>
      </c>
      <c r="B1216" t="s">
        <v>31</v>
      </c>
      <c r="C1216">
        <v>547.82840710000005</v>
      </c>
      <c r="D1216">
        <v>7.834032424278714E-4</v>
      </c>
    </row>
    <row r="1217" spans="1:4" x14ac:dyDescent="0.25">
      <c r="A1217" s="13">
        <v>41942</v>
      </c>
      <c r="B1217" t="s">
        <v>31</v>
      </c>
      <c r="C1217">
        <v>548.80576780000001</v>
      </c>
      <c r="D1217">
        <v>1.7840635632127011E-3</v>
      </c>
    </row>
    <row r="1218" spans="1:4" x14ac:dyDescent="0.25">
      <c r="A1218" s="13">
        <v>41943</v>
      </c>
      <c r="B1218" t="s">
        <v>31</v>
      </c>
      <c r="C1218">
        <v>557.55177960000003</v>
      </c>
      <c r="D1218">
        <v>1.593644293328067E-2</v>
      </c>
    </row>
    <row r="1219" spans="1:4" x14ac:dyDescent="0.25">
      <c r="A1219" s="13">
        <v>41946</v>
      </c>
      <c r="B1219" t="s">
        <v>31</v>
      </c>
      <c r="C1219">
        <v>553.70233519999999</v>
      </c>
      <c r="D1219">
        <v>-6.9041917555383581E-3</v>
      </c>
    </row>
    <row r="1220" spans="1:4" x14ac:dyDescent="0.25">
      <c r="A1220" s="13">
        <v>41947</v>
      </c>
      <c r="B1220" t="s">
        <v>31</v>
      </c>
      <c r="C1220">
        <v>552.59533550000003</v>
      </c>
      <c r="D1220">
        <v>-1.9992686135233972E-3</v>
      </c>
    </row>
    <row r="1221" spans="1:4" x14ac:dyDescent="0.25">
      <c r="A1221" s="13">
        <v>41948</v>
      </c>
      <c r="B1221" t="s">
        <v>31</v>
      </c>
      <c r="C1221">
        <v>544.42775759999995</v>
      </c>
      <c r="D1221">
        <v>-1.4780396024533737E-2</v>
      </c>
    </row>
    <row r="1222" spans="1:4" x14ac:dyDescent="0.25">
      <c r="A1222" s="13">
        <v>41949</v>
      </c>
      <c r="B1222" t="s">
        <v>31</v>
      </c>
      <c r="C1222">
        <v>540.55835500000001</v>
      </c>
      <c r="D1222">
        <v>-7.1072838333178234E-3</v>
      </c>
    </row>
    <row r="1223" spans="1:4" x14ac:dyDescent="0.25">
      <c r="A1223" s="13">
        <v>41950</v>
      </c>
      <c r="B1223" t="s">
        <v>31</v>
      </c>
      <c r="C1223">
        <v>539.5311901</v>
      </c>
      <c r="D1223">
        <v>-1.9001924408327264E-3</v>
      </c>
    </row>
    <row r="1224" spans="1:4" x14ac:dyDescent="0.25">
      <c r="A1224" s="13">
        <v>41953</v>
      </c>
      <c r="B1224" t="s">
        <v>31</v>
      </c>
      <c r="C1224">
        <v>545.99343799999997</v>
      </c>
      <c r="D1224">
        <v>1.197752422580467E-2</v>
      </c>
    </row>
    <row r="1225" spans="1:4" x14ac:dyDescent="0.25">
      <c r="A1225" s="13">
        <v>41954</v>
      </c>
      <c r="B1225" t="s">
        <v>31</v>
      </c>
      <c r="C1225">
        <v>548.78580959999999</v>
      </c>
      <c r="D1225">
        <v>5.1142951648441848E-3</v>
      </c>
    </row>
    <row r="1226" spans="1:4" x14ac:dyDescent="0.25">
      <c r="A1226" s="13">
        <v>41955</v>
      </c>
      <c r="B1226" t="s">
        <v>31</v>
      </c>
      <c r="C1226">
        <v>545.81393279999998</v>
      </c>
      <c r="D1226">
        <v>-5.4153674311770983E-3</v>
      </c>
    </row>
    <row r="1227" spans="1:4" x14ac:dyDescent="0.25">
      <c r="A1227" s="13">
        <v>41956</v>
      </c>
      <c r="B1227" t="s">
        <v>31</v>
      </c>
      <c r="C1227">
        <v>543.88924210000005</v>
      </c>
      <c r="D1227">
        <v>-3.5262762350648513E-3</v>
      </c>
    </row>
    <row r="1228" spans="1:4" x14ac:dyDescent="0.25">
      <c r="A1228" s="13">
        <v>41957</v>
      </c>
      <c r="B1228" t="s">
        <v>31</v>
      </c>
      <c r="C1228">
        <v>542.91188139999997</v>
      </c>
      <c r="D1228">
        <v>-1.796984798276946E-3</v>
      </c>
    </row>
    <row r="1229" spans="1:4" x14ac:dyDescent="0.25">
      <c r="A1229" s="13">
        <v>41960</v>
      </c>
      <c r="B1229" t="s">
        <v>31</v>
      </c>
      <c r="C1229">
        <v>535.04343719999997</v>
      </c>
      <c r="D1229">
        <v>-1.4493041080091529E-2</v>
      </c>
    </row>
    <row r="1230" spans="1:4" x14ac:dyDescent="0.25">
      <c r="A1230" s="13">
        <v>41961</v>
      </c>
      <c r="B1230" t="s">
        <v>31</v>
      </c>
      <c r="C1230">
        <v>533.56753930000002</v>
      </c>
      <c r="D1230">
        <v>-2.7584637010475976E-3</v>
      </c>
    </row>
    <row r="1231" spans="1:4" x14ac:dyDescent="0.25">
      <c r="A1231" s="13">
        <v>41962</v>
      </c>
      <c r="B1231" t="s">
        <v>31</v>
      </c>
      <c r="C1231">
        <v>535.52213900000004</v>
      </c>
      <c r="D1231">
        <v>3.6632657649382505E-3</v>
      </c>
    </row>
    <row r="1232" spans="1:4" x14ac:dyDescent="0.25">
      <c r="A1232" s="13">
        <v>41963</v>
      </c>
      <c r="B1232" t="s">
        <v>31</v>
      </c>
      <c r="C1232">
        <v>533.36807590000001</v>
      </c>
      <c r="D1232">
        <v>-4.0223605022612352E-3</v>
      </c>
    </row>
    <row r="1233" spans="1:4" x14ac:dyDescent="0.25">
      <c r="A1233" s="13">
        <v>41964</v>
      </c>
      <c r="B1233" t="s">
        <v>31</v>
      </c>
      <c r="C1233">
        <v>536.03074660000004</v>
      </c>
      <c r="D1233">
        <v>4.9921823601966064E-3</v>
      </c>
    </row>
    <row r="1234" spans="1:4" x14ac:dyDescent="0.25">
      <c r="A1234" s="13">
        <v>41967</v>
      </c>
      <c r="B1234" t="s">
        <v>31</v>
      </c>
      <c r="C1234">
        <v>537.79595219999999</v>
      </c>
      <c r="D1234">
        <v>3.2931051272646616E-3</v>
      </c>
    </row>
    <row r="1235" spans="1:4" x14ac:dyDescent="0.25">
      <c r="A1235" s="13">
        <v>41968</v>
      </c>
      <c r="B1235" t="s">
        <v>31</v>
      </c>
      <c r="C1235">
        <v>539.60095360000003</v>
      </c>
      <c r="D1235">
        <v>3.3562941346363395E-3</v>
      </c>
    </row>
    <row r="1236" spans="1:4" x14ac:dyDescent="0.25">
      <c r="A1236" s="13">
        <v>41969</v>
      </c>
      <c r="B1236" t="s">
        <v>31</v>
      </c>
      <c r="C1236">
        <v>538.89294240000004</v>
      </c>
      <c r="D1236">
        <v>-1.3121014617866189E-3</v>
      </c>
    </row>
    <row r="1237" spans="1:4" x14ac:dyDescent="0.25">
      <c r="A1237" s="13">
        <v>41971</v>
      </c>
      <c r="B1237" t="s">
        <v>31</v>
      </c>
      <c r="C1237">
        <v>540.34894299999996</v>
      </c>
      <c r="D1237">
        <v>2.7018364603468292E-3</v>
      </c>
    </row>
    <row r="1238" spans="1:4" x14ac:dyDescent="0.25">
      <c r="A1238" s="13">
        <v>41974</v>
      </c>
      <c r="B1238" t="s">
        <v>31</v>
      </c>
      <c r="C1238">
        <v>532.34084919999998</v>
      </c>
      <c r="D1238">
        <v>-1.482022664010274E-2</v>
      </c>
    </row>
    <row r="1239" spans="1:4" x14ac:dyDescent="0.25">
      <c r="A1239" s="13">
        <v>41975</v>
      </c>
      <c r="B1239" t="s">
        <v>31</v>
      </c>
      <c r="C1239">
        <v>532.29098409999995</v>
      </c>
      <c r="D1239">
        <v>-9.3671376290127562E-5</v>
      </c>
    </row>
    <row r="1240" spans="1:4" x14ac:dyDescent="0.25">
      <c r="A1240" s="13">
        <v>41976</v>
      </c>
      <c r="B1240" t="s">
        <v>31</v>
      </c>
      <c r="C1240">
        <v>529.86763240000005</v>
      </c>
      <c r="D1240">
        <v>-4.5526822215433693E-3</v>
      </c>
    </row>
    <row r="1241" spans="1:4" x14ac:dyDescent="0.25">
      <c r="A1241" s="13">
        <v>41977</v>
      </c>
      <c r="B1241" t="s">
        <v>31</v>
      </c>
      <c r="C1241">
        <v>535.84129270000005</v>
      </c>
      <c r="D1241">
        <v>1.127387282167569E-2</v>
      </c>
    </row>
    <row r="1242" spans="1:4" x14ac:dyDescent="0.25">
      <c r="A1242" s="13">
        <v>41978</v>
      </c>
      <c r="B1242" t="s">
        <v>31</v>
      </c>
      <c r="C1242">
        <v>523.82420960000002</v>
      </c>
      <c r="D1242">
        <v>-2.2426571568324394E-2</v>
      </c>
    </row>
    <row r="1243" spans="1:4" x14ac:dyDescent="0.25">
      <c r="A1243" s="13">
        <v>41981</v>
      </c>
      <c r="B1243" t="s">
        <v>31</v>
      </c>
      <c r="C1243">
        <v>525.53948830000002</v>
      </c>
      <c r="D1243">
        <v>3.2745311663044951E-3</v>
      </c>
    </row>
    <row r="1244" spans="1:4" x14ac:dyDescent="0.25">
      <c r="A1244" s="13">
        <v>41982</v>
      </c>
      <c r="B1244" t="s">
        <v>31</v>
      </c>
      <c r="C1244">
        <v>531.91207540000005</v>
      </c>
      <c r="D1244">
        <v>1.2125800709312795E-2</v>
      </c>
    </row>
    <row r="1245" spans="1:4" x14ac:dyDescent="0.25">
      <c r="A1245" s="13">
        <v>41983</v>
      </c>
      <c r="B1245" t="s">
        <v>31</v>
      </c>
      <c r="C1245">
        <v>524.62200329999996</v>
      </c>
      <c r="D1245">
        <v>-1.3705408162651533E-2</v>
      </c>
    </row>
    <row r="1246" spans="1:4" x14ac:dyDescent="0.25">
      <c r="A1246" s="13">
        <v>41984</v>
      </c>
      <c r="B1246" t="s">
        <v>31</v>
      </c>
      <c r="C1246">
        <v>526.89581750000002</v>
      </c>
      <c r="D1246">
        <v>4.3341952600104428E-3</v>
      </c>
    </row>
    <row r="1247" spans="1:4" x14ac:dyDescent="0.25">
      <c r="A1247" s="13">
        <v>41985</v>
      </c>
      <c r="B1247" t="s">
        <v>31</v>
      </c>
      <c r="C1247">
        <v>517.24227029999997</v>
      </c>
      <c r="D1247">
        <v>-1.8321548358087081E-2</v>
      </c>
    </row>
    <row r="1248" spans="1:4" x14ac:dyDescent="0.25">
      <c r="A1248" s="13">
        <v>41988</v>
      </c>
      <c r="B1248" t="s">
        <v>31</v>
      </c>
      <c r="C1248">
        <v>512.39556900000002</v>
      </c>
      <c r="D1248">
        <v>-9.3702730389549904E-3</v>
      </c>
    </row>
    <row r="1249" spans="1:4" x14ac:dyDescent="0.25">
      <c r="A1249" s="13">
        <v>41989</v>
      </c>
      <c r="B1249" t="s">
        <v>31</v>
      </c>
      <c r="C1249">
        <v>494.0358665</v>
      </c>
      <c r="D1249">
        <v>-3.5831110982928904E-2</v>
      </c>
    </row>
    <row r="1250" spans="1:4" x14ac:dyDescent="0.25">
      <c r="A1250" s="13">
        <v>41990</v>
      </c>
      <c r="B1250" t="s">
        <v>31</v>
      </c>
      <c r="C1250">
        <v>503.50990849999999</v>
      </c>
      <c r="D1250">
        <v>1.9176830352660268E-2</v>
      </c>
    </row>
    <row r="1251" spans="1:4" x14ac:dyDescent="0.25">
      <c r="A1251" s="13">
        <v>41991</v>
      </c>
      <c r="B1251" t="s">
        <v>31</v>
      </c>
      <c r="C1251">
        <v>509.7029296</v>
      </c>
      <c r="D1251">
        <v>1.2299700552963477E-2</v>
      </c>
    </row>
    <row r="1252" spans="1:4" x14ac:dyDescent="0.25">
      <c r="A1252" s="13">
        <v>41992</v>
      </c>
      <c r="B1252" t="s">
        <v>31</v>
      </c>
      <c r="C1252">
        <v>514.93854920000001</v>
      </c>
      <c r="D1252">
        <v>1.0271904075789262E-2</v>
      </c>
    </row>
    <row r="1253" spans="1:4" x14ac:dyDescent="0.25">
      <c r="A1253" s="13">
        <v>41995</v>
      </c>
      <c r="B1253" t="s">
        <v>31</v>
      </c>
      <c r="C1253">
        <v>523.43529139999998</v>
      </c>
      <c r="D1253">
        <v>1.6500497415080639E-2</v>
      </c>
    </row>
    <row r="1254" spans="1:4" x14ac:dyDescent="0.25">
      <c r="A1254" s="13">
        <v>41996</v>
      </c>
      <c r="B1254" t="s">
        <v>31</v>
      </c>
      <c r="C1254">
        <v>529.13966310000001</v>
      </c>
      <c r="D1254">
        <v>1.0897950126256939E-2</v>
      </c>
    </row>
    <row r="1255" spans="1:4" x14ac:dyDescent="0.25">
      <c r="A1255" s="13">
        <v>41997</v>
      </c>
      <c r="B1255" t="s">
        <v>31</v>
      </c>
      <c r="C1255">
        <v>527.32465219999995</v>
      </c>
      <c r="D1255">
        <v>-3.4301168983755792E-3</v>
      </c>
    </row>
    <row r="1256" spans="1:4" x14ac:dyDescent="0.25">
      <c r="A1256" s="13">
        <v>41999</v>
      </c>
      <c r="B1256" t="s">
        <v>31</v>
      </c>
      <c r="C1256">
        <v>532.5702205</v>
      </c>
      <c r="D1256">
        <v>9.9475119892755703E-3</v>
      </c>
    </row>
    <row r="1257" spans="1:4" x14ac:dyDescent="0.25">
      <c r="A1257" s="13">
        <v>42002</v>
      </c>
      <c r="B1257" t="s">
        <v>31</v>
      </c>
      <c r="C1257">
        <v>528.88038489999997</v>
      </c>
      <c r="D1257">
        <v>-6.9283550937861982E-3</v>
      </c>
    </row>
    <row r="1258" spans="1:4" x14ac:dyDescent="0.25">
      <c r="A1258" s="13">
        <v>42003</v>
      </c>
      <c r="B1258" t="s">
        <v>31</v>
      </c>
      <c r="C1258">
        <v>528.97010660000001</v>
      </c>
      <c r="D1258">
        <v>1.6964459745838489E-4</v>
      </c>
    </row>
    <row r="1259" spans="1:4" x14ac:dyDescent="0.25">
      <c r="A1259" s="13">
        <v>42004</v>
      </c>
      <c r="B1259" t="s">
        <v>31</v>
      </c>
      <c r="C1259">
        <v>524.96111629999996</v>
      </c>
      <c r="D1259">
        <v>-7.5788598447805722E-3</v>
      </c>
    </row>
    <row r="1260" spans="1:4" x14ac:dyDescent="0.25">
      <c r="A1260" s="13">
        <v>42006</v>
      </c>
      <c r="B1260" t="s">
        <v>31</v>
      </c>
      <c r="C1260">
        <v>523.37547659999996</v>
      </c>
      <c r="D1260">
        <v>-3.0204898053703966E-3</v>
      </c>
    </row>
    <row r="1261" spans="1:4" x14ac:dyDescent="0.25">
      <c r="A1261" s="13">
        <v>42009</v>
      </c>
      <c r="B1261" t="s">
        <v>31</v>
      </c>
      <c r="C1261">
        <v>512.46533239999997</v>
      </c>
      <c r="D1261">
        <v>-2.0845730623214265E-2</v>
      </c>
    </row>
    <row r="1262" spans="1:4" x14ac:dyDescent="0.25">
      <c r="A1262" s="13">
        <v>42010</v>
      </c>
      <c r="B1262" t="s">
        <v>31</v>
      </c>
      <c r="C1262">
        <v>500.58789789999997</v>
      </c>
      <c r="D1262">
        <v>-2.3177049741833433E-2</v>
      </c>
    </row>
    <row r="1263" spans="1:4" x14ac:dyDescent="0.25">
      <c r="A1263" s="13">
        <v>42011</v>
      </c>
      <c r="B1263" t="s">
        <v>31</v>
      </c>
      <c r="C1263">
        <v>499.73025860000001</v>
      </c>
      <c r="D1263">
        <v>-1.7132641512066504E-3</v>
      </c>
    </row>
    <row r="1264" spans="1:4" x14ac:dyDescent="0.25">
      <c r="A1264" s="13">
        <v>42012</v>
      </c>
      <c r="B1264" t="s">
        <v>31</v>
      </c>
      <c r="C1264">
        <v>501.3059495</v>
      </c>
      <c r="D1264">
        <v>3.1530828339558781E-3</v>
      </c>
    </row>
    <row r="1265" spans="1:4" x14ac:dyDescent="0.25">
      <c r="A1265" s="13">
        <v>42013</v>
      </c>
      <c r="B1265" t="s">
        <v>31</v>
      </c>
      <c r="C1265">
        <v>494.81373289999999</v>
      </c>
      <c r="D1265">
        <v>-1.2950607521166058E-2</v>
      </c>
    </row>
    <row r="1266" spans="1:4" x14ac:dyDescent="0.25">
      <c r="A1266" s="13">
        <v>42016</v>
      </c>
      <c r="B1266" t="s">
        <v>31</v>
      </c>
      <c r="C1266">
        <v>491.20363939999999</v>
      </c>
      <c r="D1266">
        <v>-7.2958635946540618E-3</v>
      </c>
    </row>
    <row r="1267" spans="1:4" x14ac:dyDescent="0.25">
      <c r="A1267" s="13">
        <v>42017</v>
      </c>
      <c r="B1267" t="s">
        <v>31</v>
      </c>
      <c r="C1267">
        <v>494.8237125</v>
      </c>
      <c r="D1267">
        <v>7.3698010552647464E-3</v>
      </c>
    </row>
    <row r="1268" spans="1:4" x14ac:dyDescent="0.25">
      <c r="A1268" s="13">
        <v>42018</v>
      </c>
      <c r="B1268" t="s">
        <v>31</v>
      </c>
      <c r="C1268">
        <v>499.50088729999999</v>
      </c>
      <c r="D1268">
        <v>9.4522042534490591E-3</v>
      </c>
    </row>
    <row r="1269" spans="1:4" x14ac:dyDescent="0.25">
      <c r="A1269" s="13">
        <v>42019</v>
      </c>
      <c r="B1269" t="s">
        <v>31</v>
      </c>
      <c r="C1269">
        <v>500.41837240000001</v>
      </c>
      <c r="D1269">
        <v>1.8368037441522933E-3</v>
      </c>
    </row>
    <row r="1270" spans="1:4" x14ac:dyDescent="0.25">
      <c r="A1270" s="13">
        <v>42020</v>
      </c>
      <c r="B1270" t="s">
        <v>31</v>
      </c>
      <c r="C1270">
        <v>506.69116739999998</v>
      </c>
      <c r="D1270">
        <v>1.2535101319153696E-2</v>
      </c>
    </row>
    <row r="1271" spans="1:4" x14ac:dyDescent="0.25">
      <c r="A1271" s="13">
        <v>42024</v>
      </c>
      <c r="B1271" t="s">
        <v>31</v>
      </c>
      <c r="C1271">
        <v>505.5144042</v>
      </c>
      <c r="D1271">
        <v>-2.322446641488396E-3</v>
      </c>
    </row>
    <row r="1272" spans="1:4" x14ac:dyDescent="0.25">
      <c r="A1272" s="13">
        <v>42025</v>
      </c>
      <c r="B1272" t="s">
        <v>31</v>
      </c>
      <c r="C1272">
        <v>516.62398189999999</v>
      </c>
      <c r="D1272">
        <v>2.1976777729175501E-2</v>
      </c>
    </row>
    <row r="1273" spans="1:4" x14ac:dyDescent="0.25">
      <c r="A1273" s="13">
        <v>42026</v>
      </c>
      <c r="B1273" t="s">
        <v>31</v>
      </c>
      <c r="C1273">
        <v>532.92923080000003</v>
      </c>
      <c r="D1273">
        <v>3.1561153704158018E-2</v>
      </c>
    </row>
    <row r="1274" spans="1:4" x14ac:dyDescent="0.25">
      <c r="A1274" s="13">
        <v>42027</v>
      </c>
      <c r="B1274" t="s">
        <v>31</v>
      </c>
      <c r="C1274">
        <v>538.47405649999996</v>
      </c>
      <c r="D1274">
        <v>1.0404431544646986E-2</v>
      </c>
    </row>
    <row r="1275" spans="1:4" x14ac:dyDescent="0.25">
      <c r="A1275" s="13">
        <v>42030</v>
      </c>
      <c r="B1275" t="s">
        <v>31</v>
      </c>
      <c r="C1275">
        <v>533.74704550000001</v>
      </c>
      <c r="D1275">
        <v>-8.7785306328865831E-3</v>
      </c>
    </row>
    <row r="1276" spans="1:4" x14ac:dyDescent="0.25">
      <c r="A1276" s="13">
        <v>42031</v>
      </c>
      <c r="B1276" t="s">
        <v>31</v>
      </c>
      <c r="C1276">
        <v>517.21236350000004</v>
      </c>
      <c r="D1276">
        <v>-3.09784984093181E-2</v>
      </c>
    </row>
    <row r="1277" spans="1:4" x14ac:dyDescent="0.25">
      <c r="A1277" s="13">
        <v>42032</v>
      </c>
      <c r="B1277" t="s">
        <v>31</v>
      </c>
      <c r="C1277">
        <v>508.60594040000001</v>
      </c>
      <c r="D1277">
        <v>-1.6640018118979194E-2</v>
      </c>
    </row>
    <row r="1278" spans="1:4" x14ac:dyDescent="0.25">
      <c r="A1278" s="13">
        <v>42033</v>
      </c>
      <c r="B1278" t="s">
        <v>31</v>
      </c>
      <c r="C1278">
        <v>509.26411539999998</v>
      </c>
      <c r="D1278">
        <v>1.2940765093745199E-3</v>
      </c>
    </row>
    <row r="1279" spans="1:4" x14ac:dyDescent="0.25">
      <c r="A1279" s="13">
        <v>42034</v>
      </c>
      <c r="B1279" t="s">
        <v>31</v>
      </c>
      <c r="C1279">
        <v>533.05893170000002</v>
      </c>
      <c r="D1279">
        <v>4.6723921007688629E-2</v>
      </c>
    </row>
    <row r="1280" spans="1:4" x14ac:dyDescent="0.25">
      <c r="A1280" s="13">
        <v>42037</v>
      </c>
      <c r="B1280" t="s">
        <v>31</v>
      </c>
      <c r="C1280">
        <v>527.03540529999998</v>
      </c>
      <c r="D1280">
        <v>-1.1299925846454117E-2</v>
      </c>
    </row>
    <row r="1281" spans="1:4" x14ac:dyDescent="0.25">
      <c r="A1281" s="13">
        <v>42038</v>
      </c>
      <c r="B1281" t="s">
        <v>31</v>
      </c>
      <c r="C1281">
        <v>527.79334340000003</v>
      </c>
      <c r="D1281">
        <v>1.4381160969036966E-3</v>
      </c>
    </row>
    <row r="1282" spans="1:4" x14ac:dyDescent="0.25">
      <c r="A1282" s="13">
        <v>42039</v>
      </c>
      <c r="B1282" t="s">
        <v>31</v>
      </c>
      <c r="C1282">
        <v>521.33103459999995</v>
      </c>
      <c r="D1282">
        <v>-1.2244013458696634E-2</v>
      </c>
    </row>
    <row r="1283" spans="1:4" x14ac:dyDescent="0.25">
      <c r="A1283" s="13">
        <v>42040</v>
      </c>
      <c r="B1283" t="s">
        <v>31</v>
      </c>
      <c r="C1283">
        <v>526.13787950000005</v>
      </c>
      <c r="D1283">
        <v>9.220331384430791E-3</v>
      </c>
    </row>
    <row r="1284" spans="1:4" x14ac:dyDescent="0.25">
      <c r="A1284" s="13">
        <v>42041</v>
      </c>
      <c r="B1284" t="s">
        <v>31</v>
      </c>
      <c r="C1284">
        <v>529.54853949999995</v>
      </c>
      <c r="D1284">
        <v>6.4824452541625277E-3</v>
      </c>
    </row>
    <row r="1285" spans="1:4" x14ac:dyDescent="0.25">
      <c r="A1285" s="13">
        <v>42044</v>
      </c>
      <c r="B1285" t="s">
        <v>31</v>
      </c>
      <c r="C1285">
        <v>526.38720990000002</v>
      </c>
      <c r="D1285">
        <v>-5.9698580284724967E-3</v>
      </c>
    </row>
    <row r="1286" spans="1:4" x14ac:dyDescent="0.25">
      <c r="A1286" s="13">
        <v>42045</v>
      </c>
      <c r="B1286" t="s">
        <v>31</v>
      </c>
      <c r="C1286">
        <v>535.47227290000001</v>
      </c>
      <c r="D1286">
        <v>1.7259277636563208E-2</v>
      </c>
    </row>
    <row r="1287" spans="1:4" x14ac:dyDescent="0.25">
      <c r="A1287" s="13">
        <v>42046</v>
      </c>
      <c r="B1287" t="s">
        <v>31</v>
      </c>
      <c r="C1287">
        <v>534.50492169999995</v>
      </c>
      <c r="D1287">
        <v>-1.8065383568062199E-3</v>
      </c>
    </row>
    <row r="1288" spans="1:4" x14ac:dyDescent="0.25">
      <c r="A1288" s="13">
        <v>42047</v>
      </c>
      <c r="B1288" t="s">
        <v>31</v>
      </c>
      <c r="C1288">
        <v>541.44593220000002</v>
      </c>
      <c r="D1288">
        <v>1.2985868264643985E-2</v>
      </c>
    </row>
    <row r="1289" spans="1:4" x14ac:dyDescent="0.25">
      <c r="A1289" s="13">
        <v>42048</v>
      </c>
      <c r="B1289" t="s">
        <v>31</v>
      </c>
      <c r="C1289">
        <v>547.50931419999995</v>
      </c>
      <c r="D1289">
        <v>1.1198499498118464E-2</v>
      </c>
    </row>
    <row r="1290" spans="1:4" x14ac:dyDescent="0.25">
      <c r="A1290" s="13">
        <v>42052</v>
      </c>
      <c r="B1290" t="s">
        <v>31</v>
      </c>
      <c r="C1290">
        <v>541.35614969999995</v>
      </c>
      <c r="D1290">
        <v>-1.1238465429562194E-2</v>
      </c>
    </row>
    <row r="1291" spans="1:4" x14ac:dyDescent="0.25">
      <c r="A1291" s="13">
        <v>42053</v>
      </c>
      <c r="B1291" t="s">
        <v>31</v>
      </c>
      <c r="C1291">
        <v>538.22472600000003</v>
      </c>
      <c r="D1291">
        <v>-5.7844058883144145E-3</v>
      </c>
    </row>
    <row r="1292" spans="1:4" x14ac:dyDescent="0.25">
      <c r="A1292" s="13">
        <v>42054</v>
      </c>
      <c r="B1292" t="s">
        <v>31</v>
      </c>
      <c r="C1292">
        <v>541.38605659999996</v>
      </c>
      <c r="D1292">
        <v>5.8736257315683549E-3</v>
      </c>
    </row>
    <row r="1293" spans="1:4" x14ac:dyDescent="0.25">
      <c r="A1293" s="13">
        <v>42055</v>
      </c>
      <c r="B1293" t="s">
        <v>31</v>
      </c>
      <c r="C1293">
        <v>537.47679849999997</v>
      </c>
      <c r="D1293">
        <v>-7.2208326245984944E-3</v>
      </c>
    </row>
    <row r="1294" spans="1:4" x14ac:dyDescent="0.25">
      <c r="A1294" s="13">
        <v>42058</v>
      </c>
      <c r="B1294" t="s">
        <v>31</v>
      </c>
      <c r="C1294">
        <v>530.45601399999998</v>
      </c>
      <c r="D1294">
        <v>-1.3062488501073388E-2</v>
      </c>
    </row>
    <row r="1295" spans="1:4" x14ac:dyDescent="0.25">
      <c r="A1295" s="13">
        <v>42059</v>
      </c>
      <c r="B1295" t="s">
        <v>31</v>
      </c>
      <c r="C1295">
        <v>534.62461210000004</v>
      </c>
      <c r="D1295">
        <v>7.8585179354759838E-3</v>
      </c>
    </row>
    <row r="1296" spans="1:4" x14ac:dyDescent="0.25">
      <c r="A1296" s="13">
        <v>42060</v>
      </c>
      <c r="B1296" t="s">
        <v>31</v>
      </c>
      <c r="C1296">
        <v>542.38337539999998</v>
      </c>
      <c r="D1296">
        <v>1.4512544174731579E-2</v>
      </c>
    </row>
    <row r="1297" spans="1:4" x14ac:dyDescent="0.25">
      <c r="A1297" s="13">
        <v>42061</v>
      </c>
      <c r="B1297" t="s">
        <v>31</v>
      </c>
      <c r="C1297">
        <v>553.96161440000003</v>
      </c>
      <c r="D1297">
        <v>2.1346965126763484E-2</v>
      </c>
    </row>
    <row r="1298" spans="1:4" x14ac:dyDescent="0.25">
      <c r="A1298" s="13">
        <v>42062</v>
      </c>
      <c r="B1298" t="s">
        <v>31</v>
      </c>
      <c r="C1298">
        <v>556.87361450000003</v>
      </c>
      <c r="D1298">
        <v>5.2566820954806914E-3</v>
      </c>
    </row>
    <row r="1299" spans="1:4" x14ac:dyDescent="0.25">
      <c r="A1299" s="13">
        <v>42065</v>
      </c>
      <c r="B1299" t="s">
        <v>31</v>
      </c>
      <c r="C1299">
        <v>569.7782747</v>
      </c>
      <c r="D1299">
        <v>2.3173409305065951E-2</v>
      </c>
    </row>
    <row r="1300" spans="1:4" x14ac:dyDescent="0.25">
      <c r="A1300" s="13">
        <v>42066</v>
      </c>
      <c r="B1300" t="s">
        <v>31</v>
      </c>
      <c r="C1300">
        <v>572.07198640000001</v>
      </c>
      <c r="D1300">
        <v>4.0256215476233148E-3</v>
      </c>
    </row>
    <row r="1301" spans="1:4" x14ac:dyDescent="0.25">
      <c r="A1301" s="13">
        <v>42067</v>
      </c>
      <c r="B1301" t="s">
        <v>31</v>
      </c>
      <c r="C1301">
        <v>571.80269869999995</v>
      </c>
      <c r="D1301">
        <v>-4.7072345159682172E-4</v>
      </c>
    </row>
    <row r="1302" spans="1:4" x14ac:dyDescent="0.25">
      <c r="A1302" s="13">
        <v>42068</v>
      </c>
      <c r="B1302" t="s">
        <v>31</v>
      </c>
      <c r="C1302">
        <v>573.7573582</v>
      </c>
      <c r="D1302">
        <v>3.4184160103545302E-3</v>
      </c>
    </row>
    <row r="1303" spans="1:4" x14ac:dyDescent="0.25">
      <c r="A1303" s="13">
        <v>42069</v>
      </c>
      <c r="B1303" t="s">
        <v>31</v>
      </c>
      <c r="C1303">
        <v>566.13323920000005</v>
      </c>
      <c r="D1303">
        <v>-1.3288054420632522E-2</v>
      </c>
    </row>
    <row r="1304" spans="1:4" x14ac:dyDescent="0.25">
      <c r="A1304" s="13">
        <v>42072</v>
      </c>
      <c r="B1304" t="s">
        <v>31</v>
      </c>
      <c r="C1304">
        <v>567.29504840000004</v>
      </c>
      <c r="D1304">
        <v>2.0521833369857578E-3</v>
      </c>
    </row>
    <row r="1305" spans="1:4" x14ac:dyDescent="0.25">
      <c r="A1305" s="13">
        <v>42073</v>
      </c>
      <c r="B1305" t="s">
        <v>31</v>
      </c>
      <c r="C1305">
        <v>553.49292319999995</v>
      </c>
      <c r="D1305">
        <v>-2.4329712094134481E-2</v>
      </c>
    </row>
    <row r="1306" spans="1:4" x14ac:dyDescent="0.25">
      <c r="A1306" s="13">
        <v>42074</v>
      </c>
      <c r="B1306" t="s">
        <v>31</v>
      </c>
      <c r="C1306">
        <v>549.67338670000004</v>
      </c>
      <c r="D1306">
        <v>-6.9007865139764091E-3</v>
      </c>
    </row>
    <row r="1307" spans="1:4" x14ac:dyDescent="0.25">
      <c r="A1307" s="13">
        <v>42075</v>
      </c>
      <c r="B1307" t="s">
        <v>31</v>
      </c>
      <c r="C1307">
        <v>553.99152130000004</v>
      </c>
      <c r="D1307">
        <v>7.8558189362671893E-3</v>
      </c>
    </row>
    <row r="1308" spans="1:4" x14ac:dyDescent="0.25">
      <c r="A1308" s="13">
        <v>42076</v>
      </c>
      <c r="B1308" t="s">
        <v>31</v>
      </c>
      <c r="C1308">
        <v>545.82394339999996</v>
      </c>
      <c r="D1308">
        <v>-1.4743146033776799E-2</v>
      </c>
    </row>
    <row r="1309" spans="1:4" x14ac:dyDescent="0.25">
      <c r="A1309" s="13">
        <v>42079</v>
      </c>
      <c r="B1309" t="s">
        <v>31</v>
      </c>
      <c r="C1309">
        <v>552.99426329999994</v>
      </c>
      <c r="D1309">
        <v>1.3136689928505474E-2</v>
      </c>
    </row>
    <row r="1310" spans="1:4" x14ac:dyDescent="0.25">
      <c r="A1310" s="13">
        <v>42080</v>
      </c>
      <c r="B1310" t="s">
        <v>31</v>
      </c>
      <c r="C1310">
        <v>549.33427380000001</v>
      </c>
      <c r="D1310">
        <v>-6.6184945177530929E-3</v>
      </c>
    </row>
    <row r="1311" spans="1:4" x14ac:dyDescent="0.25">
      <c r="A1311" s="13">
        <v>42081</v>
      </c>
      <c r="B1311" t="s">
        <v>31</v>
      </c>
      <c r="C1311">
        <v>557.97060469999997</v>
      </c>
      <c r="D1311">
        <v>1.5721449237562579E-2</v>
      </c>
    </row>
    <row r="1312" spans="1:4" x14ac:dyDescent="0.25">
      <c r="A1312" s="13">
        <v>42082</v>
      </c>
      <c r="B1312" t="s">
        <v>31</v>
      </c>
      <c r="C1312">
        <v>556.46473809999998</v>
      </c>
      <c r="D1312">
        <v>-2.6988278366557594E-3</v>
      </c>
    </row>
    <row r="1313" spans="1:4" x14ac:dyDescent="0.25">
      <c r="A1313" s="13">
        <v>42083</v>
      </c>
      <c r="B1313" t="s">
        <v>31</v>
      </c>
      <c r="C1313">
        <v>558.82827399999996</v>
      </c>
      <c r="D1313">
        <v>4.2474136062422563E-3</v>
      </c>
    </row>
    <row r="1314" spans="1:4" x14ac:dyDescent="0.25">
      <c r="A1314" s="13">
        <v>42086</v>
      </c>
      <c r="B1314" t="s">
        <v>31</v>
      </c>
      <c r="C1314">
        <v>557.28249089999997</v>
      </c>
      <c r="D1314">
        <v>-2.7661146937600911E-3</v>
      </c>
    </row>
    <row r="1315" spans="1:4" x14ac:dyDescent="0.25">
      <c r="A1315" s="13">
        <v>42087</v>
      </c>
      <c r="B1315" t="s">
        <v>31</v>
      </c>
      <c r="C1315">
        <v>568.63141940000003</v>
      </c>
      <c r="D1315">
        <v>2.0364767753014767E-2</v>
      </c>
    </row>
    <row r="1316" spans="1:4" x14ac:dyDescent="0.25">
      <c r="A1316" s="13">
        <v>42088</v>
      </c>
      <c r="B1316" t="s">
        <v>31</v>
      </c>
      <c r="C1316">
        <v>557.25758829999995</v>
      </c>
      <c r="D1316">
        <v>-2.0002115099445827E-2</v>
      </c>
    </row>
    <row r="1317" spans="1:4" x14ac:dyDescent="0.25">
      <c r="A1317" s="13">
        <v>42089</v>
      </c>
      <c r="B1317" t="s">
        <v>31</v>
      </c>
      <c r="C1317">
        <v>553.65246909999996</v>
      </c>
      <c r="D1317">
        <v>-6.4693945415762455E-3</v>
      </c>
    </row>
    <row r="1318" spans="1:4" x14ac:dyDescent="0.25">
      <c r="A1318" s="13">
        <v>42090</v>
      </c>
      <c r="B1318" t="s">
        <v>31</v>
      </c>
      <c r="C1318">
        <v>546.84115959999997</v>
      </c>
      <c r="D1318">
        <v>-1.2302499998008254E-2</v>
      </c>
    </row>
    <row r="1319" spans="1:4" x14ac:dyDescent="0.25">
      <c r="A1319" s="13">
        <v>42093</v>
      </c>
      <c r="B1319" t="s">
        <v>31</v>
      </c>
      <c r="C1319">
        <v>550.52104650000001</v>
      </c>
      <c r="D1319">
        <v>6.7293524552756168E-3</v>
      </c>
    </row>
    <row r="1320" spans="1:4" x14ac:dyDescent="0.25">
      <c r="A1320" s="13">
        <v>42094</v>
      </c>
      <c r="B1320" t="s">
        <v>31</v>
      </c>
      <c r="C1320">
        <v>546.50204659999997</v>
      </c>
      <c r="D1320">
        <v>-7.3003564996312331E-3</v>
      </c>
    </row>
    <row r="1321" spans="1:4" x14ac:dyDescent="0.25">
      <c r="A1321" s="13">
        <v>42095</v>
      </c>
      <c r="B1321" t="s">
        <v>31</v>
      </c>
      <c r="C1321">
        <v>541.0769123</v>
      </c>
      <c r="D1321">
        <v>-9.9270155230923862E-3</v>
      </c>
    </row>
    <row r="1322" spans="1:4" x14ac:dyDescent="0.25">
      <c r="A1322" s="13">
        <v>42096</v>
      </c>
      <c r="B1322" t="s">
        <v>31</v>
      </c>
      <c r="C1322">
        <v>534.0661384</v>
      </c>
      <c r="D1322">
        <v>-1.2957074568564986E-2</v>
      </c>
    </row>
    <row r="1323" spans="1:4" x14ac:dyDescent="0.25">
      <c r="A1323" s="13">
        <v>42100</v>
      </c>
      <c r="B1323" t="s">
        <v>31</v>
      </c>
      <c r="C1323">
        <v>535.29777200000001</v>
      </c>
      <c r="D1323">
        <v>2.3061443357743627E-3</v>
      </c>
    </row>
    <row r="1324" spans="1:4" x14ac:dyDescent="0.25">
      <c r="A1324" s="13">
        <v>42101</v>
      </c>
      <c r="B1324" t="s">
        <v>31</v>
      </c>
      <c r="C1324">
        <v>535.55204590000005</v>
      </c>
      <c r="D1324">
        <v>4.7501393299298478E-4</v>
      </c>
    </row>
    <row r="1325" spans="1:4" x14ac:dyDescent="0.25">
      <c r="A1325" s="13">
        <v>42102</v>
      </c>
      <c r="B1325" t="s">
        <v>31</v>
      </c>
      <c r="C1325">
        <v>540.12952040000005</v>
      </c>
      <c r="D1325">
        <v>8.5472075684212001E-3</v>
      </c>
    </row>
    <row r="1326" spans="1:4" x14ac:dyDescent="0.25">
      <c r="A1326" s="13">
        <v>42103</v>
      </c>
      <c r="B1326" t="s">
        <v>31</v>
      </c>
      <c r="C1326">
        <v>539.30181889999994</v>
      </c>
      <c r="D1326">
        <v>-1.5324130023242066E-3</v>
      </c>
    </row>
    <row r="1327" spans="1:4" x14ac:dyDescent="0.25">
      <c r="A1327" s="13">
        <v>42104</v>
      </c>
      <c r="B1327" t="s">
        <v>31</v>
      </c>
      <c r="C1327">
        <v>538.53387129999999</v>
      </c>
      <c r="D1327">
        <v>-1.4239662709951695E-3</v>
      </c>
    </row>
    <row r="1328" spans="1:4" x14ac:dyDescent="0.25">
      <c r="A1328" s="13">
        <v>42107</v>
      </c>
      <c r="B1328" t="s">
        <v>31</v>
      </c>
      <c r="C1328">
        <v>537.69622100000004</v>
      </c>
      <c r="D1328">
        <v>-1.5554273271203289E-3</v>
      </c>
    </row>
    <row r="1329" spans="1:4" x14ac:dyDescent="0.25">
      <c r="A1329" s="13">
        <v>42108</v>
      </c>
      <c r="B1329" t="s">
        <v>31</v>
      </c>
      <c r="C1329">
        <v>528.94019969999999</v>
      </c>
      <c r="D1329">
        <v>-1.6284327391618447E-2</v>
      </c>
    </row>
    <row r="1330" spans="1:4" x14ac:dyDescent="0.25">
      <c r="A1330" s="13">
        <v>42109</v>
      </c>
      <c r="B1330" t="s">
        <v>31</v>
      </c>
      <c r="C1330">
        <v>531.07436429999996</v>
      </c>
      <c r="D1330">
        <v>4.0347937275526657E-3</v>
      </c>
    </row>
    <row r="1331" spans="1:4" x14ac:dyDescent="0.25">
      <c r="A1331" s="13">
        <v>42110</v>
      </c>
      <c r="B1331" t="s">
        <v>31</v>
      </c>
      <c r="C1331">
        <v>532.34084919999998</v>
      </c>
      <c r="D1331">
        <v>2.3847599981019485E-3</v>
      </c>
    </row>
    <row r="1332" spans="1:4" x14ac:dyDescent="0.25">
      <c r="A1332" s="13">
        <v>42111</v>
      </c>
      <c r="B1332" t="s">
        <v>31</v>
      </c>
      <c r="C1332">
        <v>522.61753950000002</v>
      </c>
      <c r="D1332">
        <v>-1.8265195531419587E-2</v>
      </c>
    </row>
    <row r="1333" spans="1:4" x14ac:dyDescent="0.25">
      <c r="A1333" s="13">
        <v>42114</v>
      </c>
      <c r="B1333" t="s">
        <v>31</v>
      </c>
      <c r="C1333">
        <v>533.91654010000002</v>
      </c>
      <c r="D1333">
        <v>2.1620017978749795E-2</v>
      </c>
    </row>
    <row r="1334" spans="1:4" x14ac:dyDescent="0.25">
      <c r="A1334" s="13">
        <v>42115</v>
      </c>
      <c r="B1334" t="s">
        <v>31</v>
      </c>
      <c r="C1334">
        <v>532.51040569999998</v>
      </c>
      <c r="D1334">
        <v>-2.6336221008187444E-3</v>
      </c>
    </row>
    <row r="1335" spans="1:4" x14ac:dyDescent="0.25">
      <c r="A1335" s="13">
        <v>42116</v>
      </c>
      <c r="B1335" t="s">
        <v>31</v>
      </c>
      <c r="C1335">
        <v>537.89067910000006</v>
      </c>
      <c r="D1335">
        <v>1.0103602375483245E-2</v>
      </c>
    </row>
    <row r="1336" spans="1:4" x14ac:dyDescent="0.25">
      <c r="A1336" s="13">
        <v>42117</v>
      </c>
      <c r="B1336" t="s">
        <v>31</v>
      </c>
      <c r="C1336">
        <v>545.50478859999998</v>
      </c>
      <c r="D1336">
        <v>1.415549626689927E-2</v>
      </c>
    </row>
    <row r="1337" spans="1:4" x14ac:dyDescent="0.25">
      <c r="A1337" s="13">
        <v>42118</v>
      </c>
      <c r="B1337" t="s">
        <v>31</v>
      </c>
      <c r="C1337">
        <v>563.51542940000002</v>
      </c>
      <c r="D1337">
        <v>3.3016466906226505E-2</v>
      </c>
    </row>
    <row r="1338" spans="1:4" x14ac:dyDescent="0.25">
      <c r="A1338" s="13">
        <v>42121</v>
      </c>
      <c r="B1338" t="s">
        <v>31</v>
      </c>
      <c r="C1338">
        <v>555.36999500000002</v>
      </c>
      <c r="D1338">
        <v>-1.4454678567848323E-2</v>
      </c>
    </row>
    <row r="1339" spans="1:4" x14ac:dyDescent="0.25">
      <c r="A1339" s="13">
        <v>42122</v>
      </c>
      <c r="B1339" t="s">
        <v>31</v>
      </c>
      <c r="C1339">
        <v>553.67999299999997</v>
      </c>
      <c r="D1339">
        <v>-3.0430199960659321E-3</v>
      </c>
    </row>
    <row r="1340" spans="1:4" x14ac:dyDescent="0.25">
      <c r="A1340" s="13">
        <v>42123</v>
      </c>
      <c r="B1340" t="s">
        <v>31</v>
      </c>
      <c r="C1340">
        <v>549.080017</v>
      </c>
      <c r="D1340">
        <v>-8.3080047286446801E-3</v>
      </c>
    </row>
    <row r="1341" spans="1:4" x14ac:dyDescent="0.25">
      <c r="A1341" s="13">
        <v>42124</v>
      </c>
      <c r="B1341" t="s">
        <v>31</v>
      </c>
      <c r="C1341">
        <v>537.34002699999996</v>
      </c>
      <c r="D1341">
        <v>-2.1381200620163909E-2</v>
      </c>
    </row>
    <row r="1342" spans="1:4" x14ac:dyDescent="0.25">
      <c r="A1342" s="13">
        <v>42125</v>
      </c>
      <c r="B1342" t="s">
        <v>31</v>
      </c>
      <c r="C1342">
        <v>537.90002400000003</v>
      </c>
      <c r="D1342">
        <v>1.0421650572478569E-3</v>
      </c>
    </row>
    <row r="1343" spans="1:4" x14ac:dyDescent="0.25">
      <c r="A1343" s="13">
        <v>42128</v>
      </c>
      <c r="B1343" t="s">
        <v>31</v>
      </c>
      <c r="C1343">
        <v>540.78002900000001</v>
      </c>
      <c r="D1343">
        <v>5.3541641039227539E-3</v>
      </c>
    </row>
    <row r="1344" spans="1:4" x14ac:dyDescent="0.25">
      <c r="A1344" s="13">
        <v>42129</v>
      </c>
      <c r="B1344" t="s">
        <v>31</v>
      </c>
      <c r="C1344">
        <v>530.79998799999998</v>
      </c>
      <c r="D1344">
        <v>-1.8454899339487296E-2</v>
      </c>
    </row>
    <row r="1345" spans="1:4" x14ac:dyDescent="0.25">
      <c r="A1345" s="13">
        <v>42130</v>
      </c>
      <c r="B1345" t="s">
        <v>31</v>
      </c>
      <c r="C1345">
        <v>524.21997099999999</v>
      </c>
      <c r="D1345">
        <v>-1.2396415125766724E-2</v>
      </c>
    </row>
    <row r="1346" spans="1:4" x14ac:dyDescent="0.25">
      <c r="A1346" s="13">
        <v>42131</v>
      </c>
      <c r="B1346" t="s">
        <v>31</v>
      </c>
      <c r="C1346">
        <v>530.70001200000002</v>
      </c>
      <c r="D1346">
        <v>1.2361301282815873E-2</v>
      </c>
    </row>
    <row r="1347" spans="1:4" x14ac:dyDescent="0.25">
      <c r="A1347" s="13">
        <v>42132</v>
      </c>
      <c r="B1347" t="s">
        <v>31</v>
      </c>
      <c r="C1347">
        <v>538.21997099999999</v>
      </c>
      <c r="D1347">
        <v>1.416988662137042E-2</v>
      </c>
    </row>
    <row r="1348" spans="1:4" x14ac:dyDescent="0.25">
      <c r="A1348" s="13">
        <v>42135</v>
      </c>
      <c r="B1348" t="s">
        <v>31</v>
      </c>
      <c r="C1348">
        <v>535.70001200000002</v>
      </c>
      <c r="D1348">
        <v>-4.6820243316463284E-3</v>
      </c>
    </row>
    <row r="1349" spans="1:4" x14ac:dyDescent="0.25">
      <c r="A1349" s="13">
        <v>42136</v>
      </c>
      <c r="B1349" t="s">
        <v>31</v>
      </c>
      <c r="C1349">
        <v>529.03997800000002</v>
      </c>
      <c r="D1349">
        <v>-1.243239471870683E-2</v>
      </c>
    </row>
    <row r="1350" spans="1:4" x14ac:dyDescent="0.25">
      <c r="A1350" s="13">
        <v>42137</v>
      </c>
      <c r="B1350" t="s">
        <v>31</v>
      </c>
      <c r="C1350">
        <v>529.61999500000002</v>
      </c>
      <c r="D1350">
        <v>1.0963575988958141E-3</v>
      </c>
    </row>
    <row r="1351" spans="1:4" x14ac:dyDescent="0.25">
      <c r="A1351" s="13">
        <v>42138</v>
      </c>
      <c r="B1351" t="s">
        <v>31</v>
      </c>
      <c r="C1351">
        <v>538.40002400000003</v>
      </c>
      <c r="D1351">
        <v>1.6577978707167151E-2</v>
      </c>
    </row>
    <row r="1352" spans="1:4" x14ac:dyDescent="0.25">
      <c r="A1352" s="13">
        <v>42139</v>
      </c>
      <c r="B1352" t="s">
        <v>31</v>
      </c>
      <c r="C1352">
        <v>533.84997599999997</v>
      </c>
      <c r="D1352">
        <v>-8.4510546009932686E-3</v>
      </c>
    </row>
    <row r="1353" spans="1:4" x14ac:dyDescent="0.25">
      <c r="A1353" s="13">
        <v>42142</v>
      </c>
      <c r="B1353" t="s">
        <v>31</v>
      </c>
      <c r="C1353">
        <v>532.29998799999998</v>
      </c>
      <c r="D1353">
        <v>-2.9034149474232995E-3</v>
      </c>
    </row>
    <row r="1354" spans="1:4" x14ac:dyDescent="0.25">
      <c r="A1354" s="13">
        <v>42143</v>
      </c>
      <c r="B1354" t="s">
        <v>31</v>
      </c>
      <c r="C1354">
        <v>537.35998500000005</v>
      </c>
      <c r="D1354">
        <v>9.5059122939527008E-3</v>
      </c>
    </row>
    <row r="1355" spans="1:4" x14ac:dyDescent="0.25">
      <c r="A1355" s="13">
        <v>42144</v>
      </c>
      <c r="B1355" t="s">
        <v>31</v>
      </c>
      <c r="C1355">
        <v>539.27002000000005</v>
      </c>
      <c r="D1355">
        <v>3.5544794054584994E-3</v>
      </c>
    </row>
    <row r="1356" spans="1:4" x14ac:dyDescent="0.25">
      <c r="A1356" s="13">
        <v>42145</v>
      </c>
      <c r="B1356" t="s">
        <v>31</v>
      </c>
      <c r="C1356">
        <v>542.51000999999997</v>
      </c>
      <c r="D1356">
        <v>6.0081033245644733E-3</v>
      </c>
    </row>
    <row r="1357" spans="1:4" x14ac:dyDescent="0.25">
      <c r="A1357" s="13">
        <v>42146</v>
      </c>
      <c r="B1357" t="s">
        <v>31</v>
      </c>
      <c r="C1357">
        <v>540.10998500000005</v>
      </c>
      <c r="D1357">
        <v>-4.4239275879903728E-3</v>
      </c>
    </row>
    <row r="1358" spans="1:4" x14ac:dyDescent="0.25">
      <c r="A1358" s="13">
        <v>42150</v>
      </c>
      <c r="B1358" t="s">
        <v>31</v>
      </c>
      <c r="C1358">
        <v>532.32000700000003</v>
      </c>
      <c r="D1358">
        <v>-1.4422947577982681E-2</v>
      </c>
    </row>
    <row r="1359" spans="1:4" x14ac:dyDescent="0.25">
      <c r="A1359" s="13">
        <v>42151</v>
      </c>
      <c r="B1359" t="s">
        <v>31</v>
      </c>
      <c r="C1359">
        <v>539.78997800000002</v>
      </c>
      <c r="D1359">
        <v>1.403285787077313E-2</v>
      </c>
    </row>
    <row r="1360" spans="1:4" x14ac:dyDescent="0.25">
      <c r="A1360" s="13">
        <v>42152</v>
      </c>
      <c r="B1360" t="s">
        <v>31</v>
      </c>
      <c r="C1360">
        <v>539.78002900000001</v>
      </c>
      <c r="D1360">
        <v>-1.8431242530425607E-5</v>
      </c>
    </row>
    <row r="1361" spans="1:4" x14ac:dyDescent="0.25">
      <c r="A1361" s="13">
        <v>42153</v>
      </c>
      <c r="B1361" t="s">
        <v>31</v>
      </c>
      <c r="C1361">
        <v>532.10998500000005</v>
      </c>
      <c r="D1361">
        <v>-1.4209573507581452E-2</v>
      </c>
    </row>
    <row r="1362" spans="1:4" x14ac:dyDescent="0.25">
      <c r="A1362" s="13">
        <v>42156</v>
      </c>
      <c r="B1362" t="s">
        <v>31</v>
      </c>
      <c r="C1362">
        <v>533.98999000000003</v>
      </c>
      <c r="D1362">
        <v>3.5331135535823233E-3</v>
      </c>
    </row>
    <row r="1363" spans="1:4" x14ac:dyDescent="0.25">
      <c r="A1363" s="13">
        <v>42157</v>
      </c>
      <c r="B1363" t="s">
        <v>31</v>
      </c>
      <c r="C1363">
        <v>539.17999299999997</v>
      </c>
      <c r="D1363">
        <v>9.7192889327382126E-3</v>
      </c>
    </row>
    <row r="1364" spans="1:4" x14ac:dyDescent="0.25">
      <c r="A1364" s="13">
        <v>42158</v>
      </c>
      <c r="B1364" t="s">
        <v>31</v>
      </c>
      <c r="C1364">
        <v>540.30999799999995</v>
      </c>
      <c r="D1364">
        <v>2.095784366390685E-3</v>
      </c>
    </row>
    <row r="1365" spans="1:4" x14ac:dyDescent="0.25">
      <c r="A1365" s="13">
        <v>42159</v>
      </c>
      <c r="B1365" t="s">
        <v>31</v>
      </c>
      <c r="C1365">
        <v>536.70001200000002</v>
      </c>
      <c r="D1365">
        <v>-6.6813237092827604E-3</v>
      </c>
    </row>
    <row r="1366" spans="1:4" x14ac:dyDescent="0.25">
      <c r="A1366" s="13">
        <v>42160</v>
      </c>
      <c r="B1366" t="s">
        <v>31</v>
      </c>
      <c r="C1366">
        <v>533.330017</v>
      </c>
      <c r="D1366">
        <v>-6.2791036419802548E-3</v>
      </c>
    </row>
    <row r="1367" spans="1:4" x14ac:dyDescent="0.25">
      <c r="A1367" s="13">
        <v>42163</v>
      </c>
      <c r="B1367" t="s">
        <v>31</v>
      </c>
      <c r="C1367">
        <v>526.830017</v>
      </c>
      <c r="D1367">
        <v>-1.2187575783869642E-2</v>
      </c>
    </row>
    <row r="1368" spans="1:4" x14ac:dyDescent="0.25">
      <c r="A1368" s="13">
        <v>42164</v>
      </c>
      <c r="B1368" t="s">
        <v>31</v>
      </c>
      <c r="C1368">
        <v>526.69000200000005</v>
      </c>
      <c r="D1368">
        <v>-2.6576883526352457E-4</v>
      </c>
    </row>
    <row r="1369" spans="1:4" x14ac:dyDescent="0.25">
      <c r="A1369" s="13">
        <v>42165</v>
      </c>
      <c r="B1369" t="s">
        <v>31</v>
      </c>
      <c r="C1369">
        <v>536.69000200000005</v>
      </c>
      <c r="D1369">
        <v>1.8986500525977279E-2</v>
      </c>
    </row>
    <row r="1370" spans="1:4" x14ac:dyDescent="0.25">
      <c r="A1370" s="13">
        <v>42166</v>
      </c>
      <c r="B1370" t="s">
        <v>31</v>
      </c>
      <c r="C1370">
        <v>534.60998500000005</v>
      </c>
      <c r="D1370">
        <v>-3.875639554023258E-3</v>
      </c>
    </row>
    <row r="1371" spans="1:4" x14ac:dyDescent="0.25">
      <c r="A1371" s="13">
        <v>42167</v>
      </c>
      <c r="B1371" t="s">
        <v>31</v>
      </c>
      <c r="C1371">
        <v>532.330017</v>
      </c>
      <c r="D1371">
        <v>-4.2647314191112118E-3</v>
      </c>
    </row>
    <row r="1372" spans="1:4" x14ac:dyDescent="0.25">
      <c r="A1372" s="13">
        <v>42170</v>
      </c>
      <c r="B1372" t="s">
        <v>31</v>
      </c>
      <c r="C1372">
        <v>527.20001200000002</v>
      </c>
      <c r="D1372">
        <v>-9.6368884642474839E-3</v>
      </c>
    </row>
    <row r="1373" spans="1:4" x14ac:dyDescent="0.25">
      <c r="A1373" s="13">
        <v>42171</v>
      </c>
      <c r="B1373" t="s">
        <v>31</v>
      </c>
      <c r="C1373">
        <v>528.15002400000003</v>
      </c>
      <c r="D1373">
        <v>1.8019954066312849E-3</v>
      </c>
    </row>
    <row r="1374" spans="1:4" x14ac:dyDescent="0.25">
      <c r="A1374" s="13">
        <v>42172</v>
      </c>
      <c r="B1374" t="s">
        <v>31</v>
      </c>
      <c r="C1374">
        <v>529.26000999999997</v>
      </c>
      <c r="D1374">
        <v>2.1016490572003388E-3</v>
      </c>
    </row>
    <row r="1375" spans="1:4" x14ac:dyDescent="0.25">
      <c r="A1375" s="13">
        <v>42173</v>
      </c>
      <c r="B1375" t="s">
        <v>31</v>
      </c>
      <c r="C1375">
        <v>536.72997999999995</v>
      </c>
      <c r="D1375">
        <v>1.4113989076937727E-2</v>
      </c>
    </row>
    <row r="1376" spans="1:4" x14ac:dyDescent="0.25">
      <c r="A1376" s="13">
        <v>42174</v>
      </c>
      <c r="B1376" t="s">
        <v>31</v>
      </c>
      <c r="C1376">
        <v>536.69000200000005</v>
      </c>
      <c r="D1376">
        <v>-7.4484380395367644E-5</v>
      </c>
    </row>
    <row r="1377" spans="1:4" x14ac:dyDescent="0.25">
      <c r="A1377" s="13">
        <v>42177</v>
      </c>
      <c r="B1377" t="s">
        <v>31</v>
      </c>
      <c r="C1377">
        <v>538.19000200000005</v>
      </c>
      <c r="D1377">
        <v>2.7949095276793567E-3</v>
      </c>
    </row>
    <row r="1378" spans="1:4" x14ac:dyDescent="0.25">
      <c r="A1378" s="13">
        <v>42178</v>
      </c>
      <c r="B1378" t="s">
        <v>31</v>
      </c>
      <c r="C1378">
        <v>540.47997999999995</v>
      </c>
      <c r="D1378">
        <v>4.2549619864544752E-3</v>
      </c>
    </row>
    <row r="1379" spans="1:4" x14ac:dyDescent="0.25">
      <c r="A1379" s="13">
        <v>42179</v>
      </c>
      <c r="B1379" t="s">
        <v>31</v>
      </c>
      <c r="C1379">
        <v>537.84002699999996</v>
      </c>
      <c r="D1379">
        <v>-4.8844602902775591E-3</v>
      </c>
    </row>
    <row r="1380" spans="1:4" x14ac:dyDescent="0.25">
      <c r="A1380" s="13">
        <v>42180</v>
      </c>
      <c r="B1380" t="s">
        <v>31</v>
      </c>
      <c r="C1380">
        <v>535.22997999999995</v>
      </c>
      <c r="D1380">
        <v>-4.8528314535429828E-3</v>
      </c>
    </row>
    <row r="1381" spans="1:4" x14ac:dyDescent="0.25">
      <c r="A1381" s="13">
        <v>42181</v>
      </c>
      <c r="B1381" t="s">
        <v>31</v>
      </c>
      <c r="C1381">
        <v>531.69000200000005</v>
      </c>
      <c r="D1381">
        <v>-6.6139381803685948E-3</v>
      </c>
    </row>
    <row r="1382" spans="1:4" x14ac:dyDescent="0.25">
      <c r="A1382" s="13">
        <v>42184</v>
      </c>
      <c r="B1382" t="s">
        <v>31</v>
      </c>
      <c r="C1382">
        <v>521.52002000000005</v>
      </c>
      <c r="D1382">
        <v>-1.9127653259878308E-2</v>
      </c>
    </row>
    <row r="1383" spans="1:4" x14ac:dyDescent="0.25">
      <c r="A1383" s="13">
        <v>42185</v>
      </c>
      <c r="B1383" t="s">
        <v>31</v>
      </c>
      <c r="C1383">
        <v>520.51000999999997</v>
      </c>
      <c r="D1383">
        <v>-1.9366658254079683E-3</v>
      </c>
    </row>
    <row r="1384" spans="1:4" x14ac:dyDescent="0.25">
      <c r="A1384" s="13">
        <v>42186</v>
      </c>
      <c r="B1384" t="s">
        <v>31</v>
      </c>
      <c r="C1384">
        <v>521.84002699999996</v>
      </c>
      <c r="D1384">
        <v>2.5552188708148904E-3</v>
      </c>
    </row>
    <row r="1385" spans="1:4" x14ac:dyDescent="0.25">
      <c r="A1385" s="13">
        <v>42187</v>
      </c>
      <c r="B1385" t="s">
        <v>31</v>
      </c>
      <c r="C1385">
        <v>523.40002400000003</v>
      </c>
      <c r="D1385">
        <v>2.9894161415104925E-3</v>
      </c>
    </row>
    <row r="1386" spans="1:4" x14ac:dyDescent="0.25">
      <c r="A1386" s="13">
        <v>42191</v>
      </c>
      <c r="B1386" t="s">
        <v>31</v>
      </c>
      <c r="C1386">
        <v>522.85998500000005</v>
      </c>
      <c r="D1386">
        <v>-1.0317901704948174E-3</v>
      </c>
    </row>
    <row r="1387" spans="1:4" x14ac:dyDescent="0.25">
      <c r="A1387" s="13">
        <v>42192</v>
      </c>
      <c r="B1387" t="s">
        <v>31</v>
      </c>
      <c r="C1387">
        <v>525.02002000000005</v>
      </c>
      <c r="D1387">
        <v>4.1311920245723499E-3</v>
      </c>
    </row>
    <row r="1388" spans="1:4" x14ac:dyDescent="0.25">
      <c r="A1388" s="13">
        <v>42193</v>
      </c>
      <c r="B1388" t="s">
        <v>31</v>
      </c>
      <c r="C1388">
        <v>516.830017</v>
      </c>
      <c r="D1388">
        <v>-1.5599410856751761E-2</v>
      </c>
    </row>
    <row r="1389" spans="1:4" x14ac:dyDescent="0.25">
      <c r="A1389" s="13">
        <v>42194</v>
      </c>
      <c r="B1389" t="s">
        <v>31</v>
      </c>
      <c r="C1389">
        <v>520.67999299999997</v>
      </c>
      <c r="D1389">
        <v>7.4492112945521161E-3</v>
      </c>
    </row>
    <row r="1390" spans="1:4" x14ac:dyDescent="0.25">
      <c r="A1390" s="13">
        <v>42195</v>
      </c>
      <c r="B1390" t="s">
        <v>31</v>
      </c>
      <c r="C1390">
        <v>530.13000499999998</v>
      </c>
      <c r="D1390">
        <v>1.8149366457412608E-2</v>
      </c>
    </row>
    <row r="1391" spans="1:4" x14ac:dyDescent="0.25">
      <c r="A1391" s="13">
        <v>42198</v>
      </c>
      <c r="B1391" t="s">
        <v>31</v>
      </c>
      <c r="C1391">
        <v>546.54998799999998</v>
      </c>
      <c r="D1391">
        <v>3.0973502433615296E-2</v>
      </c>
    </row>
    <row r="1392" spans="1:4" x14ac:dyDescent="0.25">
      <c r="A1392" s="13">
        <v>42199</v>
      </c>
      <c r="B1392" t="s">
        <v>31</v>
      </c>
      <c r="C1392">
        <v>561.09997599999997</v>
      </c>
      <c r="D1392">
        <v>2.6621513712301148E-2</v>
      </c>
    </row>
    <row r="1393" spans="1:4" x14ac:dyDescent="0.25">
      <c r="A1393" s="13">
        <v>42200</v>
      </c>
      <c r="B1393" t="s">
        <v>31</v>
      </c>
      <c r="C1393">
        <v>560.21997099999999</v>
      </c>
      <c r="D1393">
        <v>-1.5683568662280267E-3</v>
      </c>
    </row>
    <row r="1394" spans="1:4" x14ac:dyDescent="0.25">
      <c r="A1394" s="13">
        <v>42201</v>
      </c>
      <c r="B1394" t="s">
        <v>31</v>
      </c>
      <c r="C1394">
        <v>579.84997599999997</v>
      </c>
      <c r="D1394">
        <v>3.5039816529496726E-2</v>
      </c>
    </row>
    <row r="1395" spans="1:4" x14ac:dyDescent="0.25">
      <c r="A1395" s="13">
        <v>42202</v>
      </c>
      <c r="B1395" t="s">
        <v>31</v>
      </c>
      <c r="C1395">
        <v>672.92999299999997</v>
      </c>
      <c r="D1395">
        <v>0.16052430948104401</v>
      </c>
    </row>
    <row r="1396" spans="1:4" x14ac:dyDescent="0.25">
      <c r="A1396" s="13">
        <v>42205</v>
      </c>
      <c r="B1396" t="s">
        <v>31</v>
      </c>
      <c r="C1396">
        <v>663.02002000000005</v>
      </c>
      <c r="D1396">
        <v>-1.4726603217401713E-2</v>
      </c>
    </row>
    <row r="1397" spans="1:4" x14ac:dyDescent="0.25">
      <c r="A1397" s="13">
        <v>42206</v>
      </c>
      <c r="B1397" t="s">
        <v>31</v>
      </c>
      <c r="C1397">
        <v>662.29998799999998</v>
      </c>
      <c r="D1397">
        <v>-1.0859883235502243E-3</v>
      </c>
    </row>
    <row r="1398" spans="1:4" x14ac:dyDescent="0.25">
      <c r="A1398" s="13">
        <v>42207</v>
      </c>
      <c r="B1398" t="s">
        <v>31</v>
      </c>
      <c r="C1398">
        <v>662.09997599999997</v>
      </c>
      <c r="D1398">
        <v>-3.0199607975833764E-4</v>
      </c>
    </row>
    <row r="1399" spans="1:4" x14ac:dyDescent="0.25">
      <c r="A1399" s="13">
        <v>42208</v>
      </c>
      <c r="B1399" t="s">
        <v>31</v>
      </c>
      <c r="C1399">
        <v>644.28002900000001</v>
      </c>
      <c r="D1399">
        <v>-2.6914284316482129E-2</v>
      </c>
    </row>
    <row r="1400" spans="1:4" x14ac:dyDescent="0.25">
      <c r="A1400" s="13">
        <v>42209</v>
      </c>
      <c r="B1400" t="s">
        <v>31</v>
      </c>
      <c r="C1400">
        <v>623.55999799999995</v>
      </c>
      <c r="D1400">
        <v>-3.215997713317309E-2</v>
      </c>
    </row>
    <row r="1401" spans="1:4" x14ac:dyDescent="0.25">
      <c r="A1401" s="13">
        <v>42212</v>
      </c>
      <c r="B1401" t="s">
        <v>31</v>
      </c>
      <c r="C1401">
        <v>627.26000999999997</v>
      </c>
      <c r="D1401">
        <v>5.9336904417657266E-3</v>
      </c>
    </row>
    <row r="1402" spans="1:4" x14ac:dyDescent="0.25">
      <c r="A1402" s="13">
        <v>42213</v>
      </c>
      <c r="B1402" t="s">
        <v>31</v>
      </c>
      <c r="C1402">
        <v>628</v>
      </c>
      <c r="D1402">
        <v>1.1797181204011853E-3</v>
      </c>
    </row>
    <row r="1403" spans="1:4" x14ac:dyDescent="0.25">
      <c r="A1403" s="13">
        <v>42214</v>
      </c>
      <c r="B1403" t="s">
        <v>31</v>
      </c>
      <c r="C1403">
        <v>631.92999299999997</v>
      </c>
      <c r="D1403">
        <v>6.2579506369426774E-3</v>
      </c>
    </row>
    <row r="1404" spans="1:4" x14ac:dyDescent="0.25">
      <c r="A1404" s="13">
        <v>42215</v>
      </c>
      <c r="B1404" t="s">
        <v>31</v>
      </c>
      <c r="C1404">
        <v>632.59002699999996</v>
      </c>
      <c r="D1404">
        <v>1.0444732918382105E-3</v>
      </c>
    </row>
    <row r="1405" spans="1:4" x14ac:dyDescent="0.25">
      <c r="A1405" s="13">
        <v>42216</v>
      </c>
      <c r="B1405" t="s">
        <v>31</v>
      </c>
      <c r="C1405">
        <v>625.60998500000005</v>
      </c>
      <c r="D1405">
        <v>-1.1034068989519308E-2</v>
      </c>
    </row>
    <row r="1406" spans="1:4" x14ac:dyDescent="0.25">
      <c r="A1406" s="13">
        <v>42219</v>
      </c>
      <c r="B1406" t="s">
        <v>31</v>
      </c>
      <c r="C1406">
        <v>631.21002199999998</v>
      </c>
      <c r="D1406">
        <v>8.9513229236581893E-3</v>
      </c>
    </row>
    <row r="1407" spans="1:4" x14ac:dyDescent="0.25">
      <c r="A1407" s="13">
        <v>42220</v>
      </c>
      <c r="B1407" t="s">
        <v>31</v>
      </c>
      <c r="C1407">
        <v>629.25</v>
      </c>
      <c r="D1407">
        <v>-3.1051820023224597E-3</v>
      </c>
    </row>
    <row r="1408" spans="1:4" x14ac:dyDescent="0.25">
      <c r="A1408" s="13">
        <v>42221</v>
      </c>
      <c r="B1408" t="s">
        <v>31</v>
      </c>
      <c r="C1408">
        <v>643.78002900000001</v>
      </c>
      <c r="D1408">
        <v>2.3091027413587595E-2</v>
      </c>
    </row>
    <row r="1409" spans="1:4" x14ac:dyDescent="0.25">
      <c r="A1409" s="13">
        <v>42222</v>
      </c>
      <c r="B1409" t="s">
        <v>31</v>
      </c>
      <c r="C1409">
        <v>642.67999299999997</v>
      </c>
      <c r="D1409">
        <v>-1.708714080038698E-3</v>
      </c>
    </row>
    <row r="1410" spans="1:4" x14ac:dyDescent="0.25">
      <c r="A1410" s="13">
        <v>42223</v>
      </c>
      <c r="B1410" t="s">
        <v>31</v>
      </c>
      <c r="C1410">
        <v>635.29998799999998</v>
      </c>
      <c r="D1410">
        <v>-1.1483172154699406E-2</v>
      </c>
    </row>
    <row r="1411" spans="1:4" x14ac:dyDescent="0.25">
      <c r="A1411" s="13">
        <v>42226</v>
      </c>
      <c r="B1411" t="s">
        <v>31</v>
      </c>
      <c r="C1411">
        <v>633.72997999999995</v>
      </c>
      <c r="D1411">
        <v>-2.4712860532905001E-3</v>
      </c>
    </row>
    <row r="1412" spans="1:4" x14ac:dyDescent="0.25">
      <c r="A1412" s="13">
        <v>42227</v>
      </c>
      <c r="B1412" t="s">
        <v>31</v>
      </c>
      <c r="C1412">
        <v>660.78002900000001</v>
      </c>
      <c r="D1412">
        <v>4.2683871449477717E-2</v>
      </c>
    </row>
    <row r="1413" spans="1:4" x14ac:dyDescent="0.25">
      <c r="A1413" s="13">
        <v>42228</v>
      </c>
      <c r="B1413" t="s">
        <v>31</v>
      </c>
      <c r="C1413">
        <v>659.55999799999995</v>
      </c>
      <c r="D1413">
        <v>-1.8463496874238094E-3</v>
      </c>
    </row>
    <row r="1414" spans="1:4" x14ac:dyDescent="0.25">
      <c r="A1414" s="13">
        <v>42229</v>
      </c>
      <c r="B1414" t="s">
        <v>31</v>
      </c>
      <c r="C1414">
        <v>656.45001200000002</v>
      </c>
      <c r="D1414">
        <v>-4.7152435099617751E-3</v>
      </c>
    </row>
    <row r="1415" spans="1:4" x14ac:dyDescent="0.25">
      <c r="A1415" s="13">
        <v>42230</v>
      </c>
      <c r="B1415" t="s">
        <v>31</v>
      </c>
      <c r="C1415">
        <v>657.11999500000002</v>
      </c>
      <c r="D1415">
        <v>1.0206154128304945E-3</v>
      </c>
    </row>
    <row r="1416" spans="1:4" x14ac:dyDescent="0.25">
      <c r="A1416" s="13">
        <v>42233</v>
      </c>
      <c r="B1416" t="s">
        <v>31</v>
      </c>
      <c r="C1416">
        <v>660.86999500000002</v>
      </c>
      <c r="D1416">
        <v>5.7067202771694525E-3</v>
      </c>
    </row>
    <row r="1417" spans="1:4" x14ac:dyDescent="0.25">
      <c r="A1417" s="13">
        <v>42234</v>
      </c>
      <c r="B1417" t="s">
        <v>31</v>
      </c>
      <c r="C1417">
        <v>656.13000499999998</v>
      </c>
      <c r="D1417">
        <v>-7.1723486250877544E-3</v>
      </c>
    </row>
    <row r="1418" spans="1:4" x14ac:dyDescent="0.25">
      <c r="A1418" s="13">
        <v>42235</v>
      </c>
      <c r="B1418" t="s">
        <v>31</v>
      </c>
      <c r="C1418">
        <v>660.90002400000003</v>
      </c>
      <c r="D1418">
        <v>7.2699296841334249E-3</v>
      </c>
    </row>
    <row r="1419" spans="1:4" x14ac:dyDescent="0.25">
      <c r="A1419" s="13">
        <v>42236</v>
      </c>
      <c r="B1419" t="s">
        <v>31</v>
      </c>
      <c r="C1419">
        <v>646.830017</v>
      </c>
      <c r="D1419">
        <v>-2.128916097603295E-2</v>
      </c>
    </row>
    <row r="1420" spans="1:4" x14ac:dyDescent="0.25">
      <c r="A1420" s="13">
        <v>42237</v>
      </c>
      <c r="B1420" t="s">
        <v>31</v>
      </c>
      <c r="C1420">
        <v>612.47997999999995</v>
      </c>
      <c r="D1420">
        <v>-5.3105199352552646E-2</v>
      </c>
    </row>
    <row r="1421" spans="1:4" x14ac:dyDescent="0.25">
      <c r="A1421" s="13">
        <v>42240</v>
      </c>
      <c r="B1421" t="s">
        <v>31</v>
      </c>
      <c r="C1421">
        <v>589.60998500000005</v>
      </c>
      <c r="D1421">
        <v>-3.7339987831112254E-2</v>
      </c>
    </row>
    <row r="1422" spans="1:4" x14ac:dyDescent="0.25">
      <c r="A1422" s="13">
        <v>42241</v>
      </c>
      <c r="B1422" t="s">
        <v>31</v>
      </c>
      <c r="C1422">
        <v>582.05999799999995</v>
      </c>
      <c r="D1422">
        <v>-1.2805052818093188E-2</v>
      </c>
    </row>
    <row r="1423" spans="1:4" x14ac:dyDescent="0.25">
      <c r="A1423" s="13">
        <v>42242</v>
      </c>
      <c r="B1423" t="s">
        <v>31</v>
      </c>
      <c r="C1423">
        <v>628.61999500000002</v>
      </c>
      <c r="D1423">
        <v>7.9991748548231323E-2</v>
      </c>
    </row>
    <row r="1424" spans="1:4" x14ac:dyDescent="0.25">
      <c r="A1424" s="13">
        <v>42243</v>
      </c>
      <c r="B1424" t="s">
        <v>31</v>
      </c>
      <c r="C1424">
        <v>637.60998500000005</v>
      </c>
      <c r="D1424">
        <v>1.4301151842935012E-2</v>
      </c>
    </row>
    <row r="1425" spans="1:4" x14ac:dyDescent="0.25">
      <c r="A1425" s="13">
        <v>42244</v>
      </c>
      <c r="B1425" t="s">
        <v>31</v>
      </c>
      <c r="C1425">
        <v>630.38000499999998</v>
      </c>
      <c r="D1425">
        <v>-1.1339188798933364E-2</v>
      </c>
    </row>
    <row r="1426" spans="1:4" x14ac:dyDescent="0.25">
      <c r="A1426" s="13">
        <v>42247</v>
      </c>
      <c r="B1426" t="s">
        <v>31</v>
      </c>
      <c r="C1426">
        <v>618.25</v>
      </c>
      <c r="D1426">
        <v>-1.9242369529154035E-2</v>
      </c>
    </row>
    <row r="1427" spans="1:4" x14ac:dyDescent="0.25">
      <c r="A1427" s="13">
        <v>42248</v>
      </c>
      <c r="B1427" t="s">
        <v>31</v>
      </c>
      <c r="C1427">
        <v>597.78997800000002</v>
      </c>
      <c r="D1427">
        <v>-3.3093444399514782E-2</v>
      </c>
    </row>
    <row r="1428" spans="1:4" x14ac:dyDescent="0.25">
      <c r="A1428" s="13">
        <v>42249</v>
      </c>
      <c r="B1428" t="s">
        <v>31</v>
      </c>
      <c r="C1428">
        <v>614.34002699999996</v>
      </c>
      <c r="D1428">
        <v>2.7685390536941856E-2</v>
      </c>
    </row>
    <row r="1429" spans="1:4" x14ac:dyDescent="0.25">
      <c r="A1429" s="13">
        <v>42250</v>
      </c>
      <c r="B1429" t="s">
        <v>31</v>
      </c>
      <c r="C1429">
        <v>606.25</v>
      </c>
      <c r="D1429">
        <v>-1.3168647075636475E-2</v>
      </c>
    </row>
    <row r="1430" spans="1:4" x14ac:dyDescent="0.25">
      <c r="A1430" s="13">
        <v>42251</v>
      </c>
      <c r="B1430" t="s">
        <v>31</v>
      </c>
      <c r="C1430">
        <v>600.70001200000002</v>
      </c>
      <c r="D1430">
        <v>-9.1546193814432408E-3</v>
      </c>
    </row>
    <row r="1431" spans="1:4" x14ac:dyDescent="0.25">
      <c r="A1431" s="13">
        <v>42255</v>
      </c>
      <c r="B1431" t="s">
        <v>31</v>
      </c>
      <c r="C1431">
        <v>614.65997300000004</v>
      </c>
      <c r="D1431">
        <v>2.3239488465333968E-2</v>
      </c>
    </row>
    <row r="1432" spans="1:4" x14ac:dyDescent="0.25">
      <c r="A1432" s="13">
        <v>42256</v>
      </c>
      <c r="B1432" t="s">
        <v>31</v>
      </c>
      <c r="C1432">
        <v>612.71997099999999</v>
      </c>
      <c r="D1432">
        <v>-3.1562198373377148E-3</v>
      </c>
    </row>
    <row r="1433" spans="1:4" x14ac:dyDescent="0.25">
      <c r="A1433" s="13">
        <v>42257</v>
      </c>
      <c r="B1433" t="s">
        <v>31</v>
      </c>
      <c r="C1433">
        <v>621.34997599999997</v>
      </c>
      <c r="D1433">
        <v>1.4084745737788174E-2</v>
      </c>
    </row>
    <row r="1434" spans="1:4" x14ac:dyDescent="0.25">
      <c r="A1434" s="13">
        <v>42258</v>
      </c>
      <c r="B1434" t="s">
        <v>31</v>
      </c>
      <c r="C1434">
        <v>625.77002000000005</v>
      </c>
      <c r="D1434">
        <v>7.113614179973915E-3</v>
      </c>
    </row>
    <row r="1435" spans="1:4" x14ac:dyDescent="0.25">
      <c r="A1435" s="13">
        <v>42261</v>
      </c>
      <c r="B1435" t="s">
        <v>31</v>
      </c>
      <c r="C1435">
        <v>623.23999000000003</v>
      </c>
      <c r="D1435">
        <v>-4.0430668123091484E-3</v>
      </c>
    </row>
    <row r="1436" spans="1:4" x14ac:dyDescent="0.25">
      <c r="A1436" s="13">
        <v>42262</v>
      </c>
      <c r="B1436" t="s">
        <v>31</v>
      </c>
      <c r="C1436">
        <v>635.14001499999995</v>
      </c>
      <c r="D1436">
        <v>1.9093808470152851E-2</v>
      </c>
    </row>
    <row r="1437" spans="1:4" x14ac:dyDescent="0.25">
      <c r="A1437" s="13">
        <v>42263</v>
      </c>
      <c r="B1437" t="s">
        <v>31</v>
      </c>
      <c r="C1437">
        <v>635.97997999999995</v>
      </c>
      <c r="D1437">
        <v>1.3224879241784393E-3</v>
      </c>
    </row>
    <row r="1438" spans="1:4" x14ac:dyDescent="0.25">
      <c r="A1438" s="13">
        <v>42264</v>
      </c>
      <c r="B1438" t="s">
        <v>31</v>
      </c>
      <c r="C1438">
        <v>642.90002400000003</v>
      </c>
      <c r="D1438">
        <v>1.0880914836344457E-2</v>
      </c>
    </row>
    <row r="1439" spans="1:4" x14ac:dyDescent="0.25">
      <c r="A1439" s="13">
        <v>42265</v>
      </c>
      <c r="B1439" t="s">
        <v>31</v>
      </c>
      <c r="C1439">
        <v>629.25</v>
      </c>
      <c r="D1439">
        <v>-2.1231954410379728E-2</v>
      </c>
    </row>
    <row r="1440" spans="1:4" x14ac:dyDescent="0.25">
      <c r="A1440" s="13">
        <v>42268</v>
      </c>
      <c r="B1440" t="s">
        <v>31</v>
      </c>
      <c r="C1440">
        <v>635.44000200000005</v>
      </c>
      <c r="D1440">
        <v>9.8371108462456114E-3</v>
      </c>
    </row>
    <row r="1441" spans="1:4" x14ac:dyDescent="0.25">
      <c r="A1441" s="13">
        <v>42269</v>
      </c>
      <c r="B1441" t="s">
        <v>31</v>
      </c>
      <c r="C1441">
        <v>622.69000200000005</v>
      </c>
      <c r="D1441">
        <v>-2.0064836900211436E-2</v>
      </c>
    </row>
    <row r="1442" spans="1:4" x14ac:dyDescent="0.25">
      <c r="A1442" s="13">
        <v>42270</v>
      </c>
      <c r="B1442" t="s">
        <v>31</v>
      </c>
      <c r="C1442">
        <v>622.35998500000005</v>
      </c>
      <c r="D1442">
        <v>-5.2998602665854655E-4</v>
      </c>
    </row>
    <row r="1443" spans="1:4" x14ac:dyDescent="0.25">
      <c r="A1443" s="13">
        <v>42271</v>
      </c>
      <c r="B1443" t="s">
        <v>31</v>
      </c>
      <c r="C1443">
        <v>625.79998799999998</v>
      </c>
      <c r="D1443">
        <v>5.5273524694874343E-3</v>
      </c>
    </row>
    <row r="1444" spans="1:4" x14ac:dyDescent="0.25">
      <c r="A1444" s="13">
        <v>42272</v>
      </c>
      <c r="B1444" t="s">
        <v>31</v>
      </c>
      <c r="C1444">
        <v>611.96997099999999</v>
      </c>
      <c r="D1444">
        <v>-2.2099739957169851E-2</v>
      </c>
    </row>
    <row r="1445" spans="1:4" x14ac:dyDescent="0.25">
      <c r="A1445" s="13">
        <v>42275</v>
      </c>
      <c r="B1445" t="s">
        <v>31</v>
      </c>
      <c r="C1445">
        <v>594.89001499999995</v>
      </c>
      <c r="D1445">
        <v>-2.7909794286295253E-2</v>
      </c>
    </row>
    <row r="1446" spans="1:4" x14ac:dyDescent="0.25">
      <c r="A1446" s="13">
        <v>42276</v>
      </c>
      <c r="B1446" t="s">
        <v>31</v>
      </c>
      <c r="C1446">
        <v>594.96997099999999</v>
      </c>
      <c r="D1446">
        <v>1.3440467646796961E-4</v>
      </c>
    </row>
    <row r="1447" spans="1:4" x14ac:dyDescent="0.25">
      <c r="A1447" s="13">
        <v>42277</v>
      </c>
      <c r="B1447" t="s">
        <v>31</v>
      </c>
      <c r="C1447">
        <v>608.419983</v>
      </c>
      <c r="D1447">
        <v>2.2606203095248301E-2</v>
      </c>
    </row>
    <row r="1448" spans="1:4" x14ac:dyDescent="0.25">
      <c r="A1448" s="13">
        <v>42278</v>
      </c>
      <c r="B1448" t="s">
        <v>31</v>
      </c>
      <c r="C1448">
        <v>611.28997800000002</v>
      </c>
      <c r="D1448">
        <v>4.7171281026119338E-3</v>
      </c>
    </row>
    <row r="1449" spans="1:4" x14ac:dyDescent="0.25">
      <c r="A1449" s="13">
        <v>42279</v>
      </c>
      <c r="B1449" t="s">
        <v>31</v>
      </c>
      <c r="C1449">
        <v>626.90997300000004</v>
      </c>
      <c r="D1449">
        <v>2.5552512820683049E-2</v>
      </c>
    </row>
    <row r="1450" spans="1:4" x14ac:dyDescent="0.25">
      <c r="A1450" s="13">
        <v>42282</v>
      </c>
      <c r="B1450" t="s">
        <v>31</v>
      </c>
      <c r="C1450">
        <v>641.46997099999999</v>
      </c>
      <c r="D1450">
        <v>2.3225022135674234E-2</v>
      </c>
    </row>
    <row r="1451" spans="1:4" x14ac:dyDescent="0.25">
      <c r="A1451" s="13">
        <v>42283</v>
      </c>
      <c r="B1451" t="s">
        <v>31</v>
      </c>
      <c r="C1451">
        <v>645.44000200000005</v>
      </c>
      <c r="D1451">
        <v>6.1889584539882581E-3</v>
      </c>
    </row>
    <row r="1452" spans="1:4" x14ac:dyDescent="0.25">
      <c r="A1452" s="13">
        <v>42284</v>
      </c>
      <c r="B1452" t="s">
        <v>31</v>
      </c>
      <c r="C1452">
        <v>642.35998500000005</v>
      </c>
      <c r="D1452">
        <v>-4.7719648463933062E-3</v>
      </c>
    </row>
    <row r="1453" spans="1:4" x14ac:dyDescent="0.25">
      <c r="A1453" s="13">
        <v>42285</v>
      </c>
      <c r="B1453" t="s">
        <v>31</v>
      </c>
      <c r="C1453">
        <v>639.15997300000004</v>
      </c>
      <c r="D1453">
        <v>-4.9816490359374521E-3</v>
      </c>
    </row>
    <row r="1454" spans="1:4" x14ac:dyDescent="0.25">
      <c r="A1454" s="13">
        <v>42286</v>
      </c>
      <c r="B1454" t="s">
        <v>31</v>
      </c>
      <c r="C1454">
        <v>643.60998500000005</v>
      </c>
      <c r="D1454">
        <v>6.9622820388972606E-3</v>
      </c>
    </row>
    <row r="1455" spans="1:4" x14ac:dyDescent="0.25">
      <c r="A1455" s="13">
        <v>42289</v>
      </c>
      <c r="B1455" t="s">
        <v>31</v>
      </c>
      <c r="C1455">
        <v>646.669983</v>
      </c>
      <c r="D1455">
        <v>4.7544290351553276E-3</v>
      </c>
    </row>
    <row r="1456" spans="1:4" x14ac:dyDescent="0.25">
      <c r="A1456" s="13">
        <v>42290</v>
      </c>
      <c r="B1456" t="s">
        <v>31</v>
      </c>
      <c r="C1456">
        <v>652.29998799999998</v>
      </c>
      <c r="D1456">
        <v>8.7061486507871155E-3</v>
      </c>
    </row>
    <row r="1457" spans="1:4" x14ac:dyDescent="0.25">
      <c r="A1457" s="13">
        <v>42291</v>
      </c>
      <c r="B1457" t="s">
        <v>31</v>
      </c>
      <c r="C1457">
        <v>651.15997300000004</v>
      </c>
      <c r="D1457">
        <v>-1.7476851463623655E-3</v>
      </c>
    </row>
    <row r="1458" spans="1:4" x14ac:dyDescent="0.25">
      <c r="A1458" s="13">
        <v>42292</v>
      </c>
      <c r="B1458" t="s">
        <v>31</v>
      </c>
      <c r="C1458">
        <v>661.73999000000003</v>
      </c>
      <c r="D1458">
        <v>1.6247953557796402E-2</v>
      </c>
    </row>
    <row r="1459" spans="1:4" x14ac:dyDescent="0.25">
      <c r="A1459" s="13">
        <v>42293</v>
      </c>
      <c r="B1459" t="s">
        <v>31</v>
      </c>
      <c r="C1459">
        <v>662.20001200000002</v>
      </c>
      <c r="D1459">
        <v>6.95170319085614E-4</v>
      </c>
    </row>
    <row r="1460" spans="1:4" x14ac:dyDescent="0.25">
      <c r="A1460" s="13">
        <v>42296</v>
      </c>
      <c r="B1460" t="s">
        <v>31</v>
      </c>
      <c r="C1460">
        <v>666.09997599999997</v>
      </c>
      <c r="D1460">
        <v>5.8894049068667353E-3</v>
      </c>
    </row>
    <row r="1461" spans="1:4" x14ac:dyDescent="0.25">
      <c r="A1461" s="13">
        <v>42297</v>
      </c>
      <c r="B1461" t="s">
        <v>31</v>
      </c>
      <c r="C1461">
        <v>650.28002900000001</v>
      </c>
      <c r="D1461">
        <v>-2.3750108947609316E-2</v>
      </c>
    </row>
    <row r="1462" spans="1:4" x14ac:dyDescent="0.25">
      <c r="A1462" s="13">
        <v>42298</v>
      </c>
      <c r="B1462" t="s">
        <v>31</v>
      </c>
      <c r="C1462">
        <v>642.60998500000005</v>
      </c>
      <c r="D1462">
        <v>-1.1794986248916395E-2</v>
      </c>
    </row>
    <row r="1463" spans="1:4" x14ac:dyDescent="0.25">
      <c r="A1463" s="13">
        <v>42299</v>
      </c>
      <c r="B1463" t="s">
        <v>31</v>
      </c>
      <c r="C1463">
        <v>651.78997800000002</v>
      </c>
      <c r="D1463">
        <v>1.4285481418406576E-2</v>
      </c>
    </row>
    <row r="1464" spans="1:4" x14ac:dyDescent="0.25">
      <c r="A1464" s="13">
        <v>42300</v>
      </c>
      <c r="B1464" t="s">
        <v>31</v>
      </c>
      <c r="C1464">
        <v>702</v>
      </c>
      <c r="D1464">
        <v>7.7034050376270091E-2</v>
      </c>
    </row>
    <row r="1465" spans="1:4" x14ac:dyDescent="0.25">
      <c r="A1465" s="13">
        <v>42303</v>
      </c>
      <c r="B1465" t="s">
        <v>31</v>
      </c>
      <c r="C1465">
        <v>712.78002900000001</v>
      </c>
      <c r="D1465">
        <v>1.5356166666666615E-2</v>
      </c>
    </row>
    <row r="1466" spans="1:4" x14ac:dyDescent="0.25">
      <c r="A1466" s="13">
        <v>42304</v>
      </c>
      <c r="B1466" t="s">
        <v>31</v>
      </c>
      <c r="C1466">
        <v>708.48999000000003</v>
      </c>
      <c r="D1466">
        <v>-6.0187418634872758E-3</v>
      </c>
    </row>
    <row r="1467" spans="1:4" x14ac:dyDescent="0.25">
      <c r="A1467" s="13">
        <v>42305</v>
      </c>
      <c r="B1467" t="s">
        <v>31</v>
      </c>
      <c r="C1467">
        <v>712.95001200000002</v>
      </c>
      <c r="D1467">
        <v>6.2951094058505408E-3</v>
      </c>
    </row>
    <row r="1468" spans="1:4" x14ac:dyDescent="0.25">
      <c r="A1468" s="13">
        <v>42306</v>
      </c>
      <c r="B1468" t="s">
        <v>31</v>
      </c>
      <c r="C1468">
        <v>716.919983</v>
      </c>
      <c r="D1468">
        <v>5.5683721623949189E-3</v>
      </c>
    </row>
    <row r="1469" spans="1:4" x14ac:dyDescent="0.25">
      <c r="A1469" s="13">
        <v>42307</v>
      </c>
      <c r="B1469" t="s">
        <v>31</v>
      </c>
      <c r="C1469">
        <v>710.80999799999995</v>
      </c>
      <c r="D1469">
        <v>-8.5225480456443403E-3</v>
      </c>
    </row>
    <row r="1470" spans="1:4" x14ac:dyDescent="0.25">
      <c r="A1470" s="13">
        <v>42310</v>
      </c>
      <c r="B1470" t="s">
        <v>31</v>
      </c>
      <c r="C1470">
        <v>721.10998500000005</v>
      </c>
      <c r="D1470">
        <v>1.4490492577455383E-2</v>
      </c>
    </row>
    <row r="1471" spans="1:4" x14ac:dyDescent="0.25">
      <c r="A1471" s="13">
        <v>42311</v>
      </c>
      <c r="B1471" t="s">
        <v>31</v>
      </c>
      <c r="C1471">
        <v>722.15997300000004</v>
      </c>
      <c r="D1471">
        <v>1.4560719194589566E-3</v>
      </c>
    </row>
    <row r="1472" spans="1:4" x14ac:dyDescent="0.25">
      <c r="A1472" s="13">
        <v>42312</v>
      </c>
      <c r="B1472" t="s">
        <v>31</v>
      </c>
      <c r="C1472">
        <v>728.10998500000005</v>
      </c>
      <c r="D1472">
        <v>8.2391882996262211E-3</v>
      </c>
    </row>
    <row r="1473" spans="1:4" x14ac:dyDescent="0.25">
      <c r="A1473" s="13">
        <v>42313</v>
      </c>
      <c r="B1473" t="s">
        <v>31</v>
      </c>
      <c r="C1473">
        <v>731.25</v>
      </c>
      <c r="D1473">
        <v>4.3125558839849365E-3</v>
      </c>
    </row>
    <row r="1474" spans="1:4" x14ac:dyDescent="0.25">
      <c r="A1474" s="13">
        <v>42314</v>
      </c>
      <c r="B1474" t="s">
        <v>31</v>
      </c>
      <c r="C1474">
        <v>733.76000999999997</v>
      </c>
      <c r="D1474">
        <v>3.4324923076922698E-3</v>
      </c>
    </row>
    <row r="1475" spans="1:4" x14ac:dyDescent="0.25">
      <c r="A1475" s="13">
        <v>42317</v>
      </c>
      <c r="B1475" t="s">
        <v>31</v>
      </c>
      <c r="C1475">
        <v>724.89001499999995</v>
      </c>
      <c r="D1475">
        <v>-1.2088414303199735E-2</v>
      </c>
    </row>
    <row r="1476" spans="1:4" x14ac:dyDescent="0.25">
      <c r="A1476" s="13">
        <v>42318</v>
      </c>
      <c r="B1476" t="s">
        <v>31</v>
      </c>
      <c r="C1476">
        <v>728.32000700000003</v>
      </c>
      <c r="D1476">
        <v>4.7317412697429617E-3</v>
      </c>
    </row>
    <row r="1477" spans="1:4" x14ac:dyDescent="0.25">
      <c r="A1477" s="13">
        <v>42319</v>
      </c>
      <c r="B1477" t="s">
        <v>31</v>
      </c>
      <c r="C1477">
        <v>735.40002400000003</v>
      </c>
      <c r="D1477">
        <v>9.721025005427375E-3</v>
      </c>
    </row>
    <row r="1478" spans="1:4" x14ac:dyDescent="0.25">
      <c r="A1478" s="13">
        <v>42320</v>
      </c>
      <c r="B1478" t="s">
        <v>31</v>
      </c>
      <c r="C1478">
        <v>731.22997999999995</v>
      </c>
      <c r="D1478">
        <v>-5.6704431111088693E-3</v>
      </c>
    </row>
    <row r="1479" spans="1:4" x14ac:dyDescent="0.25">
      <c r="A1479" s="13">
        <v>42321</v>
      </c>
      <c r="B1479" t="s">
        <v>31</v>
      </c>
      <c r="C1479">
        <v>717</v>
      </c>
      <c r="D1479">
        <v>-1.946033449011475E-2</v>
      </c>
    </row>
    <row r="1480" spans="1:4" x14ac:dyDescent="0.25">
      <c r="A1480" s="13">
        <v>42324</v>
      </c>
      <c r="B1480" t="s">
        <v>31</v>
      </c>
      <c r="C1480">
        <v>728.96002199999998</v>
      </c>
      <c r="D1480">
        <v>1.6680644351464435E-2</v>
      </c>
    </row>
    <row r="1481" spans="1:4" x14ac:dyDescent="0.25">
      <c r="A1481" s="13">
        <v>42325</v>
      </c>
      <c r="B1481" t="s">
        <v>31</v>
      </c>
      <c r="C1481">
        <v>725.29998799999998</v>
      </c>
      <c r="D1481">
        <v>-5.0208981144922449E-3</v>
      </c>
    </row>
    <row r="1482" spans="1:4" x14ac:dyDescent="0.25">
      <c r="A1482" s="13">
        <v>42326</v>
      </c>
      <c r="B1482" t="s">
        <v>31</v>
      </c>
      <c r="C1482">
        <v>740</v>
      </c>
      <c r="D1482">
        <v>2.0267492407569199E-2</v>
      </c>
    </row>
    <row r="1483" spans="1:4" x14ac:dyDescent="0.25">
      <c r="A1483" s="13">
        <v>42327</v>
      </c>
      <c r="B1483" t="s">
        <v>31</v>
      </c>
      <c r="C1483">
        <v>738.40997300000004</v>
      </c>
      <c r="D1483">
        <v>-2.1486851351351088E-3</v>
      </c>
    </row>
    <row r="1484" spans="1:4" x14ac:dyDescent="0.25">
      <c r="A1484" s="13">
        <v>42328</v>
      </c>
      <c r="B1484" t="s">
        <v>31</v>
      </c>
      <c r="C1484">
        <v>756.59997599999997</v>
      </c>
      <c r="D1484">
        <v>2.4634015878872706E-2</v>
      </c>
    </row>
    <row r="1485" spans="1:4" x14ac:dyDescent="0.25">
      <c r="A1485" s="13">
        <v>42331</v>
      </c>
      <c r="B1485" t="s">
        <v>31</v>
      </c>
      <c r="C1485">
        <v>755.97997999999995</v>
      </c>
      <c r="D1485">
        <v>-8.1945019781504147E-4</v>
      </c>
    </row>
    <row r="1486" spans="1:4" x14ac:dyDescent="0.25">
      <c r="A1486" s="13">
        <v>42332</v>
      </c>
      <c r="B1486" t="s">
        <v>31</v>
      </c>
      <c r="C1486">
        <v>748.28002900000001</v>
      </c>
      <c r="D1486">
        <v>-1.0185390094589519E-2</v>
      </c>
    </row>
    <row r="1487" spans="1:4" x14ac:dyDescent="0.25">
      <c r="A1487" s="13">
        <v>42333</v>
      </c>
      <c r="B1487" t="s">
        <v>31</v>
      </c>
      <c r="C1487">
        <v>748.15002400000003</v>
      </c>
      <c r="D1487">
        <v>-1.7373843342272099E-4</v>
      </c>
    </row>
    <row r="1488" spans="1:4" x14ac:dyDescent="0.25">
      <c r="A1488" s="13">
        <v>42335</v>
      </c>
      <c r="B1488" t="s">
        <v>31</v>
      </c>
      <c r="C1488">
        <v>750.26000999999997</v>
      </c>
      <c r="D1488">
        <v>2.8202712454901135E-3</v>
      </c>
    </row>
    <row r="1489" spans="1:4" x14ac:dyDescent="0.25">
      <c r="A1489" s="13">
        <v>42338</v>
      </c>
      <c r="B1489" t="s">
        <v>31</v>
      </c>
      <c r="C1489">
        <v>742.59997599999997</v>
      </c>
      <c r="D1489">
        <v>-1.0209839119640685E-2</v>
      </c>
    </row>
    <row r="1490" spans="1:4" x14ac:dyDescent="0.25">
      <c r="A1490" s="13">
        <v>42339</v>
      </c>
      <c r="B1490" t="s">
        <v>31</v>
      </c>
      <c r="C1490">
        <v>767.03997800000002</v>
      </c>
      <c r="D1490">
        <v>3.2911396161962703E-2</v>
      </c>
    </row>
    <row r="1491" spans="1:4" x14ac:dyDescent="0.25">
      <c r="A1491" s="13">
        <v>42340</v>
      </c>
      <c r="B1491" t="s">
        <v>31</v>
      </c>
      <c r="C1491">
        <v>762.38000499999998</v>
      </c>
      <c r="D1491">
        <v>-6.0752674354087599E-3</v>
      </c>
    </row>
    <row r="1492" spans="1:4" x14ac:dyDescent="0.25">
      <c r="A1492" s="13">
        <v>42341</v>
      </c>
      <c r="B1492" t="s">
        <v>31</v>
      </c>
      <c r="C1492">
        <v>752.53997800000002</v>
      </c>
      <c r="D1492">
        <v>-1.2906984621140483E-2</v>
      </c>
    </row>
    <row r="1493" spans="1:4" x14ac:dyDescent="0.25">
      <c r="A1493" s="13">
        <v>42342</v>
      </c>
      <c r="B1493" t="s">
        <v>31</v>
      </c>
      <c r="C1493">
        <v>766.80999799999995</v>
      </c>
      <c r="D1493">
        <v>1.8962474309903055E-2</v>
      </c>
    </row>
    <row r="1494" spans="1:4" x14ac:dyDescent="0.25">
      <c r="A1494" s="13">
        <v>42345</v>
      </c>
      <c r="B1494" t="s">
        <v>31</v>
      </c>
      <c r="C1494">
        <v>763.25</v>
      </c>
      <c r="D1494">
        <v>-4.6426076984978915E-3</v>
      </c>
    </row>
    <row r="1495" spans="1:4" x14ac:dyDescent="0.25">
      <c r="A1495" s="13">
        <v>42346</v>
      </c>
      <c r="B1495" t="s">
        <v>31</v>
      </c>
      <c r="C1495">
        <v>762.36999500000002</v>
      </c>
      <c r="D1495">
        <v>-1.1529708483458689E-3</v>
      </c>
    </row>
    <row r="1496" spans="1:4" x14ac:dyDescent="0.25">
      <c r="A1496" s="13">
        <v>42347</v>
      </c>
      <c r="B1496" t="s">
        <v>31</v>
      </c>
      <c r="C1496">
        <v>751.60998500000005</v>
      </c>
      <c r="D1496">
        <v>-1.4113894920536496E-2</v>
      </c>
    </row>
    <row r="1497" spans="1:4" x14ac:dyDescent="0.25">
      <c r="A1497" s="13">
        <v>42348</v>
      </c>
      <c r="B1497" t="s">
        <v>31</v>
      </c>
      <c r="C1497">
        <v>749.46002199999998</v>
      </c>
      <c r="D1497">
        <v>-2.8604769001306929E-3</v>
      </c>
    </row>
    <row r="1498" spans="1:4" x14ac:dyDescent="0.25">
      <c r="A1498" s="13">
        <v>42349</v>
      </c>
      <c r="B1498" t="s">
        <v>31</v>
      </c>
      <c r="C1498">
        <v>738.86999500000002</v>
      </c>
      <c r="D1498">
        <v>-1.4130209336235877E-2</v>
      </c>
    </row>
    <row r="1499" spans="1:4" x14ac:dyDescent="0.25">
      <c r="A1499" s="13">
        <v>42352</v>
      </c>
      <c r="B1499" t="s">
        <v>31</v>
      </c>
      <c r="C1499">
        <v>747.77002000000005</v>
      </c>
      <c r="D1499">
        <v>1.2045454626967267E-2</v>
      </c>
    </row>
    <row r="1500" spans="1:4" x14ac:dyDescent="0.25">
      <c r="A1500" s="13">
        <v>42353</v>
      </c>
      <c r="B1500" t="s">
        <v>31</v>
      </c>
      <c r="C1500">
        <v>743.40002400000003</v>
      </c>
      <c r="D1500">
        <v>-5.8440374488402114E-3</v>
      </c>
    </row>
    <row r="1501" spans="1:4" x14ac:dyDescent="0.25">
      <c r="A1501" s="13">
        <v>42354</v>
      </c>
      <c r="B1501" t="s">
        <v>31</v>
      </c>
      <c r="C1501">
        <v>758.09002699999996</v>
      </c>
      <c r="D1501">
        <v>1.9760562988628383E-2</v>
      </c>
    </row>
    <row r="1502" spans="1:4" x14ac:dyDescent="0.25">
      <c r="A1502" s="13">
        <v>42355</v>
      </c>
      <c r="B1502" t="s">
        <v>31</v>
      </c>
      <c r="C1502">
        <v>749.42999299999997</v>
      </c>
      <c r="D1502">
        <v>-1.1423490207713827E-2</v>
      </c>
    </row>
    <row r="1503" spans="1:4" x14ac:dyDescent="0.25">
      <c r="A1503" s="13">
        <v>42356</v>
      </c>
      <c r="B1503" t="s">
        <v>31</v>
      </c>
      <c r="C1503">
        <v>739.30999799999995</v>
      </c>
      <c r="D1503">
        <v>-1.3503589520735937E-2</v>
      </c>
    </row>
    <row r="1504" spans="1:4" x14ac:dyDescent="0.25">
      <c r="A1504" s="13">
        <v>42359</v>
      </c>
      <c r="B1504" t="s">
        <v>31</v>
      </c>
      <c r="C1504">
        <v>747.77002000000005</v>
      </c>
      <c r="D1504">
        <v>1.1443132140626311E-2</v>
      </c>
    </row>
    <row r="1505" spans="1:4" x14ac:dyDescent="0.25">
      <c r="A1505" s="13">
        <v>42360</v>
      </c>
      <c r="B1505" t="s">
        <v>31</v>
      </c>
      <c r="C1505">
        <v>750</v>
      </c>
      <c r="D1505">
        <v>2.9821735832629148E-3</v>
      </c>
    </row>
    <row r="1506" spans="1:4" x14ac:dyDescent="0.25">
      <c r="A1506" s="13">
        <v>42361</v>
      </c>
      <c r="B1506" t="s">
        <v>31</v>
      </c>
      <c r="C1506">
        <v>750.30999799999995</v>
      </c>
      <c r="D1506">
        <v>4.1333066666671137E-4</v>
      </c>
    </row>
    <row r="1507" spans="1:4" x14ac:dyDescent="0.25">
      <c r="A1507" s="13">
        <v>42362</v>
      </c>
      <c r="B1507" t="s">
        <v>31</v>
      </c>
      <c r="C1507">
        <v>748.40002400000003</v>
      </c>
      <c r="D1507">
        <v>-2.5455798337901125E-3</v>
      </c>
    </row>
    <row r="1508" spans="1:4" x14ac:dyDescent="0.25">
      <c r="A1508" s="13">
        <v>42366</v>
      </c>
      <c r="B1508" t="s">
        <v>31</v>
      </c>
      <c r="C1508">
        <v>762.51000999999997</v>
      </c>
      <c r="D1508">
        <v>1.8853534937887551E-2</v>
      </c>
    </row>
    <row r="1509" spans="1:4" x14ac:dyDescent="0.25">
      <c r="A1509" s="13">
        <v>42367</v>
      </c>
      <c r="B1509" t="s">
        <v>31</v>
      </c>
      <c r="C1509">
        <v>776.59997599999997</v>
      </c>
      <c r="D1509">
        <v>1.8478401352396645E-2</v>
      </c>
    </row>
    <row r="1510" spans="1:4" x14ac:dyDescent="0.25">
      <c r="A1510" s="13">
        <v>42368</v>
      </c>
      <c r="B1510" t="s">
        <v>31</v>
      </c>
      <c r="C1510">
        <v>771</v>
      </c>
      <c r="D1510">
        <v>-7.2108887111270725E-3</v>
      </c>
    </row>
    <row r="1511" spans="1:4" x14ac:dyDescent="0.25">
      <c r="A1511" s="13">
        <v>42369</v>
      </c>
      <c r="B1511" t="s">
        <v>31</v>
      </c>
      <c r="C1511">
        <v>758.88000499999998</v>
      </c>
      <c r="D1511">
        <v>-1.5719837872892328E-2</v>
      </c>
    </row>
    <row r="1512" spans="1:4" x14ac:dyDescent="0.25">
      <c r="A1512" s="13">
        <v>42373</v>
      </c>
      <c r="B1512" t="s">
        <v>31</v>
      </c>
      <c r="C1512">
        <v>741.84002699999996</v>
      </c>
      <c r="D1512">
        <v>-2.245411380946849E-2</v>
      </c>
    </row>
    <row r="1513" spans="1:4" x14ac:dyDescent="0.25">
      <c r="A1513" s="13">
        <v>42374</v>
      </c>
      <c r="B1513" t="s">
        <v>31</v>
      </c>
      <c r="C1513">
        <v>742.580017</v>
      </c>
      <c r="D1513">
        <v>9.9750616449290064E-4</v>
      </c>
    </row>
    <row r="1514" spans="1:4" x14ac:dyDescent="0.25">
      <c r="A1514" s="13">
        <v>42375</v>
      </c>
      <c r="B1514" t="s">
        <v>31</v>
      </c>
      <c r="C1514">
        <v>743.61999500000002</v>
      </c>
      <c r="D1514">
        <v>1.4004928441266884E-3</v>
      </c>
    </row>
    <row r="1515" spans="1:4" x14ac:dyDescent="0.25">
      <c r="A1515" s="13">
        <v>42376</v>
      </c>
      <c r="B1515" t="s">
        <v>31</v>
      </c>
      <c r="C1515">
        <v>726.39001499999995</v>
      </c>
      <c r="D1515">
        <v>-2.317040977361029E-2</v>
      </c>
    </row>
    <row r="1516" spans="1:4" x14ac:dyDescent="0.25">
      <c r="A1516" s="13">
        <v>42377</v>
      </c>
      <c r="B1516" t="s">
        <v>31</v>
      </c>
      <c r="C1516">
        <v>714.46997099999999</v>
      </c>
      <c r="D1516">
        <v>-1.6409977772064988E-2</v>
      </c>
    </row>
    <row r="1517" spans="1:4" x14ac:dyDescent="0.25">
      <c r="A1517" s="13">
        <v>42380</v>
      </c>
      <c r="B1517" t="s">
        <v>31</v>
      </c>
      <c r="C1517">
        <v>716.03002900000001</v>
      </c>
      <c r="D1517">
        <v>2.1835179410221173E-3</v>
      </c>
    </row>
    <row r="1518" spans="1:4" x14ac:dyDescent="0.25">
      <c r="A1518" s="13">
        <v>42381</v>
      </c>
      <c r="B1518" t="s">
        <v>31</v>
      </c>
      <c r="C1518">
        <v>726.07000700000003</v>
      </c>
      <c r="D1518">
        <v>1.4021727571987164E-2</v>
      </c>
    </row>
    <row r="1519" spans="1:4" x14ac:dyDescent="0.25">
      <c r="A1519" s="13">
        <v>42382</v>
      </c>
      <c r="B1519" t="s">
        <v>31</v>
      </c>
      <c r="C1519">
        <v>700.55999799999995</v>
      </c>
      <c r="D1519">
        <v>-3.5134365493767139E-2</v>
      </c>
    </row>
    <row r="1520" spans="1:4" x14ac:dyDescent="0.25">
      <c r="A1520" s="13">
        <v>42383</v>
      </c>
      <c r="B1520" t="s">
        <v>31</v>
      </c>
      <c r="C1520">
        <v>714.71997099999999</v>
      </c>
      <c r="D1520">
        <v>2.0212363024473046E-2</v>
      </c>
    </row>
    <row r="1521" spans="1:4" x14ac:dyDescent="0.25">
      <c r="A1521" s="13">
        <v>42384</v>
      </c>
      <c r="B1521" t="s">
        <v>31</v>
      </c>
      <c r="C1521">
        <v>694.45001200000002</v>
      </c>
      <c r="D1521">
        <v>-2.8360700445573483E-2</v>
      </c>
    </row>
    <row r="1522" spans="1:4" x14ac:dyDescent="0.25">
      <c r="A1522" s="13">
        <v>42388</v>
      </c>
      <c r="B1522" t="s">
        <v>31</v>
      </c>
      <c r="C1522">
        <v>701.78997800000002</v>
      </c>
      <c r="D1522">
        <v>1.0569466301629138E-2</v>
      </c>
    </row>
    <row r="1523" spans="1:4" x14ac:dyDescent="0.25">
      <c r="A1523" s="13">
        <v>42389</v>
      </c>
      <c r="B1523" t="s">
        <v>31</v>
      </c>
      <c r="C1523">
        <v>698.45001200000002</v>
      </c>
      <c r="D1523">
        <v>-4.7592101692851552E-3</v>
      </c>
    </row>
    <row r="1524" spans="1:4" x14ac:dyDescent="0.25">
      <c r="A1524" s="13">
        <v>42390</v>
      </c>
      <c r="B1524" t="s">
        <v>31</v>
      </c>
      <c r="C1524">
        <v>706.59002699999996</v>
      </c>
      <c r="D1524">
        <v>1.1654398826182577E-2</v>
      </c>
    </row>
    <row r="1525" spans="1:4" x14ac:dyDescent="0.25">
      <c r="A1525" s="13">
        <v>42391</v>
      </c>
      <c r="B1525" t="s">
        <v>31</v>
      </c>
      <c r="C1525">
        <v>725.25</v>
      </c>
      <c r="D1525">
        <v>2.6408486232427419E-2</v>
      </c>
    </row>
    <row r="1526" spans="1:4" x14ac:dyDescent="0.25">
      <c r="A1526" s="13">
        <v>42394</v>
      </c>
      <c r="B1526" t="s">
        <v>31</v>
      </c>
      <c r="C1526">
        <v>711.669983</v>
      </c>
      <c r="D1526">
        <v>-1.8724601172009692E-2</v>
      </c>
    </row>
    <row r="1527" spans="1:4" x14ac:dyDescent="0.25">
      <c r="A1527" s="13">
        <v>42395</v>
      </c>
      <c r="B1527" t="s">
        <v>31</v>
      </c>
      <c r="C1527">
        <v>713.03997800000002</v>
      </c>
      <c r="D1527">
        <v>1.9250425516401659E-3</v>
      </c>
    </row>
    <row r="1528" spans="1:4" x14ac:dyDescent="0.25">
      <c r="A1528" s="13">
        <v>42396</v>
      </c>
      <c r="B1528" t="s">
        <v>31</v>
      </c>
      <c r="C1528">
        <v>699.98999000000003</v>
      </c>
      <c r="D1528">
        <v>-1.8301902281277149E-2</v>
      </c>
    </row>
    <row r="1529" spans="1:4" x14ac:dyDescent="0.25">
      <c r="A1529" s="13">
        <v>42397</v>
      </c>
      <c r="B1529" t="s">
        <v>31</v>
      </c>
      <c r="C1529">
        <v>730.96002199999998</v>
      </c>
      <c r="D1529">
        <v>4.4243535539701062E-2</v>
      </c>
    </row>
    <row r="1530" spans="1:4" x14ac:dyDescent="0.25">
      <c r="A1530" s="13">
        <v>42398</v>
      </c>
      <c r="B1530" t="s">
        <v>31</v>
      </c>
      <c r="C1530">
        <v>742.95001200000002</v>
      </c>
      <c r="D1530">
        <v>1.6403072177865408E-2</v>
      </c>
    </row>
    <row r="1531" spans="1:4" x14ac:dyDescent="0.25">
      <c r="A1531" s="13">
        <v>42401</v>
      </c>
      <c r="B1531" t="s">
        <v>31</v>
      </c>
      <c r="C1531">
        <v>752</v>
      </c>
      <c r="D1531">
        <v>1.2181153312909476E-2</v>
      </c>
    </row>
    <row r="1532" spans="1:4" x14ac:dyDescent="0.25">
      <c r="A1532" s="13">
        <v>42402</v>
      </c>
      <c r="B1532" t="s">
        <v>31</v>
      </c>
      <c r="C1532">
        <v>764.65002400000003</v>
      </c>
      <c r="D1532">
        <v>1.6821840425532031E-2</v>
      </c>
    </row>
    <row r="1533" spans="1:4" x14ac:dyDescent="0.25">
      <c r="A1533" s="13">
        <v>42403</v>
      </c>
      <c r="B1533" t="s">
        <v>31</v>
      </c>
      <c r="C1533">
        <v>726.95001200000002</v>
      </c>
      <c r="D1533">
        <v>-4.9303617101566943E-2</v>
      </c>
    </row>
    <row r="1534" spans="1:4" x14ac:dyDescent="0.25">
      <c r="A1534" s="13">
        <v>42404</v>
      </c>
      <c r="B1534" t="s">
        <v>31</v>
      </c>
      <c r="C1534">
        <v>708.01000999999997</v>
      </c>
      <c r="D1534">
        <v>-2.6054063810924122E-2</v>
      </c>
    </row>
    <row r="1535" spans="1:4" x14ac:dyDescent="0.25">
      <c r="A1535" s="13">
        <v>42405</v>
      </c>
      <c r="B1535" t="s">
        <v>31</v>
      </c>
      <c r="C1535">
        <v>683.57000700000003</v>
      </c>
      <c r="D1535">
        <v>-3.4519290200430874E-2</v>
      </c>
    </row>
    <row r="1536" spans="1:4" x14ac:dyDescent="0.25">
      <c r="A1536" s="13">
        <v>42408</v>
      </c>
      <c r="B1536" t="s">
        <v>31</v>
      </c>
      <c r="C1536">
        <v>682.73999000000003</v>
      </c>
      <c r="D1536">
        <v>-1.2142384708228038E-3</v>
      </c>
    </row>
    <row r="1537" spans="1:4" x14ac:dyDescent="0.25">
      <c r="A1537" s="13">
        <v>42409</v>
      </c>
      <c r="B1537" t="s">
        <v>31</v>
      </c>
      <c r="C1537">
        <v>678.10998500000005</v>
      </c>
      <c r="D1537">
        <v>-6.7815055040205685E-3</v>
      </c>
    </row>
    <row r="1538" spans="1:4" x14ac:dyDescent="0.25">
      <c r="A1538" s="13">
        <v>42410</v>
      </c>
      <c r="B1538" t="s">
        <v>31</v>
      </c>
      <c r="C1538">
        <v>684.11999500000002</v>
      </c>
      <c r="D1538">
        <v>8.8628837990050169E-3</v>
      </c>
    </row>
    <row r="1539" spans="1:4" x14ac:dyDescent="0.25">
      <c r="A1539" s="13">
        <v>42411</v>
      </c>
      <c r="B1539" t="s">
        <v>31</v>
      </c>
      <c r="C1539">
        <v>683.10998500000005</v>
      </c>
      <c r="D1539">
        <v>-1.4763638066155327E-3</v>
      </c>
    </row>
    <row r="1540" spans="1:4" x14ac:dyDescent="0.25">
      <c r="A1540" s="13">
        <v>42412</v>
      </c>
      <c r="B1540" t="s">
        <v>31</v>
      </c>
      <c r="C1540">
        <v>682.40002400000003</v>
      </c>
      <c r="D1540">
        <v>-1.0393070158387641E-3</v>
      </c>
    </row>
    <row r="1541" spans="1:4" x14ac:dyDescent="0.25">
      <c r="A1541" s="13">
        <v>42416</v>
      </c>
      <c r="B1541" t="s">
        <v>31</v>
      </c>
      <c r="C1541">
        <v>691</v>
      </c>
      <c r="D1541">
        <v>1.260254351925405E-2</v>
      </c>
    </row>
    <row r="1542" spans="1:4" x14ac:dyDescent="0.25">
      <c r="A1542" s="13">
        <v>42417</v>
      </c>
      <c r="B1542" t="s">
        <v>31</v>
      </c>
      <c r="C1542">
        <v>708.40002400000003</v>
      </c>
      <c r="D1542">
        <v>2.5180931982633936E-2</v>
      </c>
    </row>
    <row r="1543" spans="1:4" x14ac:dyDescent="0.25">
      <c r="A1543" s="13">
        <v>42418</v>
      </c>
      <c r="B1543" t="s">
        <v>31</v>
      </c>
      <c r="C1543">
        <v>697.34997599999997</v>
      </c>
      <c r="D1543">
        <v>-1.5598599132740976E-2</v>
      </c>
    </row>
    <row r="1544" spans="1:4" x14ac:dyDescent="0.25">
      <c r="A1544" s="13">
        <v>42419</v>
      </c>
      <c r="B1544" t="s">
        <v>31</v>
      </c>
      <c r="C1544">
        <v>700.90997300000004</v>
      </c>
      <c r="D1544">
        <v>5.1050363841986801E-3</v>
      </c>
    </row>
    <row r="1545" spans="1:4" x14ac:dyDescent="0.25">
      <c r="A1545" s="13">
        <v>42422</v>
      </c>
      <c r="B1545" t="s">
        <v>31</v>
      </c>
      <c r="C1545">
        <v>706.46002199999998</v>
      </c>
      <c r="D1545">
        <v>7.9183478817470565E-3</v>
      </c>
    </row>
    <row r="1546" spans="1:4" x14ac:dyDescent="0.25">
      <c r="A1546" s="13">
        <v>42423</v>
      </c>
      <c r="B1546" t="s">
        <v>31</v>
      </c>
      <c r="C1546">
        <v>695.84997599999997</v>
      </c>
      <c r="D1546">
        <v>-1.5018607804533346E-2</v>
      </c>
    </row>
    <row r="1547" spans="1:4" x14ac:dyDescent="0.25">
      <c r="A1547" s="13">
        <v>42424</v>
      </c>
      <c r="B1547" t="s">
        <v>31</v>
      </c>
      <c r="C1547">
        <v>699.55999799999995</v>
      </c>
      <c r="D1547">
        <v>5.3316406236392222E-3</v>
      </c>
    </row>
    <row r="1548" spans="1:4" x14ac:dyDescent="0.25">
      <c r="A1548" s="13">
        <v>42425</v>
      </c>
      <c r="B1548" t="s">
        <v>31</v>
      </c>
      <c r="C1548">
        <v>705.75</v>
      </c>
      <c r="D1548">
        <v>8.8484218904696377E-3</v>
      </c>
    </row>
    <row r="1549" spans="1:4" x14ac:dyDescent="0.25">
      <c r="A1549" s="13">
        <v>42426</v>
      </c>
      <c r="B1549" t="s">
        <v>31</v>
      </c>
      <c r="C1549">
        <v>705.07000700000003</v>
      </c>
      <c r="D1549">
        <v>-9.6350407368039903E-4</v>
      </c>
    </row>
    <row r="1550" spans="1:4" x14ac:dyDescent="0.25">
      <c r="A1550" s="13">
        <v>42429</v>
      </c>
      <c r="B1550" t="s">
        <v>31</v>
      </c>
      <c r="C1550">
        <v>697.77002000000005</v>
      </c>
      <c r="D1550">
        <v>-1.0353563373175723E-2</v>
      </c>
    </row>
    <row r="1551" spans="1:4" x14ac:dyDescent="0.25">
      <c r="A1551" s="13">
        <v>42430</v>
      </c>
      <c r="B1551" t="s">
        <v>31</v>
      </c>
      <c r="C1551">
        <v>718.80999799999995</v>
      </c>
      <c r="D1551">
        <v>3.0153169951325554E-2</v>
      </c>
    </row>
    <row r="1552" spans="1:4" x14ac:dyDescent="0.25">
      <c r="A1552" s="13">
        <v>42431</v>
      </c>
      <c r="B1552" t="s">
        <v>31</v>
      </c>
      <c r="C1552">
        <v>718.84997599999997</v>
      </c>
      <c r="D1552">
        <v>5.5616922568280103E-5</v>
      </c>
    </row>
    <row r="1553" spans="1:4" x14ac:dyDescent="0.25">
      <c r="A1553" s="13">
        <v>42432</v>
      </c>
      <c r="B1553" t="s">
        <v>31</v>
      </c>
      <c r="C1553">
        <v>712.419983</v>
      </c>
      <c r="D1553">
        <v>-8.9448330175641022E-3</v>
      </c>
    </row>
    <row r="1554" spans="1:4" x14ac:dyDescent="0.25">
      <c r="A1554" s="13">
        <v>42433</v>
      </c>
      <c r="B1554" t="s">
        <v>31</v>
      </c>
      <c r="C1554">
        <v>710.89001499999995</v>
      </c>
      <c r="D1554">
        <v>-2.1475646900825929E-3</v>
      </c>
    </row>
    <row r="1555" spans="1:4" x14ac:dyDescent="0.25">
      <c r="A1555" s="13">
        <v>42436</v>
      </c>
      <c r="B1555" t="s">
        <v>31</v>
      </c>
      <c r="C1555">
        <v>695.15997300000004</v>
      </c>
      <c r="D1555">
        <v>-2.2127251287950567E-2</v>
      </c>
    </row>
    <row r="1556" spans="1:4" x14ac:dyDescent="0.25">
      <c r="A1556" s="13">
        <v>42437</v>
      </c>
      <c r="B1556" t="s">
        <v>31</v>
      </c>
      <c r="C1556">
        <v>693.96997099999999</v>
      </c>
      <c r="D1556">
        <v>-1.7118390675811002E-3</v>
      </c>
    </row>
    <row r="1557" spans="1:4" x14ac:dyDescent="0.25">
      <c r="A1557" s="13">
        <v>42438</v>
      </c>
      <c r="B1557" t="s">
        <v>31</v>
      </c>
      <c r="C1557">
        <v>705.23999000000003</v>
      </c>
      <c r="D1557">
        <v>1.6239923153677838E-2</v>
      </c>
    </row>
    <row r="1558" spans="1:4" x14ac:dyDescent="0.25">
      <c r="A1558" s="13">
        <v>42439</v>
      </c>
      <c r="B1558" t="s">
        <v>31</v>
      </c>
      <c r="C1558">
        <v>712.82000700000003</v>
      </c>
      <c r="D1558">
        <v>1.0748138374853111E-2</v>
      </c>
    </row>
    <row r="1559" spans="1:4" x14ac:dyDescent="0.25">
      <c r="A1559" s="13">
        <v>42440</v>
      </c>
      <c r="B1559" t="s">
        <v>31</v>
      </c>
      <c r="C1559">
        <v>726.82000700000003</v>
      </c>
      <c r="D1559">
        <v>1.9640301706627117E-2</v>
      </c>
    </row>
    <row r="1560" spans="1:4" x14ac:dyDescent="0.25">
      <c r="A1560" s="13">
        <v>42443</v>
      </c>
      <c r="B1560" t="s">
        <v>31</v>
      </c>
      <c r="C1560">
        <v>730.48999000000003</v>
      </c>
      <c r="D1560">
        <v>5.0493698091060857E-3</v>
      </c>
    </row>
    <row r="1561" spans="1:4" x14ac:dyDescent="0.25">
      <c r="A1561" s="13">
        <v>42444</v>
      </c>
      <c r="B1561" t="s">
        <v>31</v>
      </c>
      <c r="C1561">
        <v>728.330017</v>
      </c>
      <c r="D1561">
        <v>-2.9568824071087851E-3</v>
      </c>
    </row>
    <row r="1562" spans="1:4" x14ac:dyDescent="0.25">
      <c r="A1562" s="13">
        <v>42445</v>
      </c>
      <c r="B1562" t="s">
        <v>31</v>
      </c>
      <c r="C1562">
        <v>736.09002699999996</v>
      </c>
      <c r="D1562">
        <v>1.0654524485979033E-2</v>
      </c>
    </row>
    <row r="1563" spans="1:4" x14ac:dyDescent="0.25">
      <c r="A1563" s="13">
        <v>42446</v>
      </c>
      <c r="B1563" t="s">
        <v>31</v>
      </c>
      <c r="C1563">
        <v>737.78002900000001</v>
      </c>
      <c r="D1563">
        <v>2.2959175345544924E-3</v>
      </c>
    </row>
    <row r="1564" spans="1:4" x14ac:dyDescent="0.25">
      <c r="A1564" s="13">
        <v>42447</v>
      </c>
      <c r="B1564" t="s">
        <v>31</v>
      </c>
      <c r="C1564">
        <v>737.59997599999997</v>
      </c>
      <c r="D1564">
        <v>-2.4404699628977067E-4</v>
      </c>
    </row>
    <row r="1565" spans="1:4" x14ac:dyDescent="0.25">
      <c r="A1565" s="13">
        <v>42450</v>
      </c>
      <c r="B1565" t="s">
        <v>31</v>
      </c>
      <c r="C1565">
        <v>742.09002699999996</v>
      </c>
      <c r="D1565">
        <v>6.0873795364657646E-3</v>
      </c>
    </row>
    <row r="1566" spans="1:4" x14ac:dyDescent="0.25">
      <c r="A1566" s="13">
        <v>42451</v>
      </c>
      <c r="B1566" t="s">
        <v>31</v>
      </c>
      <c r="C1566">
        <v>740.75</v>
      </c>
      <c r="D1566">
        <v>-1.805747215627207E-3</v>
      </c>
    </row>
    <row r="1567" spans="1:4" x14ac:dyDescent="0.25">
      <c r="A1567" s="13">
        <v>42452</v>
      </c>
      <c r="B1567" t="s">
        <v>31</v>
      </c>
      <c r="C1567">
        <v>738.05999799999995</v>
      </c>
      <c r="D1567">
        <v>-3.6314573067837141E-3</v>
      </c>
    </row>
    <row r="1568" spans="1:4" x14ac:dyDescent="0.25">
      <c r="A1568" s="13">
        <v>42453</v>
      </c>
      <c r="B1568" t="s">
        <v>31</v>
      </c>
      <c r="C1568">
        <v>735.29998799999998</v>
      </c>
      <c r="D1568">
        <v>-3.7395469304379869E-3</v>
      </c>
    </row>
    <row r="1569" spans="1:4" x14ac:dyDescent="0.25">
      <c r="A1569" s="13">
        <v>42457</v>
      </c>
      <c r="B1569" t="s">
        <v>31</v>
      </c>
      <c r="C1569">
        <v>733.53002900000001</v>
      </c>
      <c r="D1569">
        <v>-2.4071250222840179E-3</v>
      </c>
    </row>
    <row r="1570" spans="1:4" x14ac:dyDescent="0.25">
      <c r="A1570" s="13">
        <v>42458</v>
      </c>
      <c r="B1570" t="s">
        <v>31</v>
      </c>
      <c r="C1570">
        <v>744.77002000000005</v>
      </c>
      <c r="D1570">
        <v>1.5323150458234291E-2</v>
      </c>
    </row>
    <row r="1571" spans="1:4" x14ac:dyDescent="0.25">
      <c r="A1571" s="13">
        <v>42459</v>
      </c>
      <c r="B1571" t="s">
        <v>31</v>
      </c>
      <c r="C1571">
        <v>750.53002900000001</v>
      </c>
      <c r="D1571">
        <v>7.7339431573788531E-3</v>
      </c>
    </row>
    <row r="1572" spans="1:4" x14ac:dyDescent="0.25">
      <c r="A1572" s="13">
        <v>42460</v>
      </c>
      <c r="B1572" t="s">
        <v>31</v>
      </c>
      <c r="C1572">
        <v>744.95001200000002</v>
      </c>
      <c r="D1572">
        <v>-7.4347684761324473E-3</v>
      </c>
    </row>
    <row r="1573" spans="1:4" x14ac:dyDescent="0.25">
      <c r="A1573" s="13">
        <v>42461</v>
      </c>
      <c r="B1573" t="s">
        <v>31</v>
      </c>
      <c r="C1573">
        <v>749.90997300000004</v>
      </c>
      <c r="D1573">
        <v>6.6581125177564981E-3</v>
      </c>
    </row>
    <row r="1574" spans="1:4" x14ac:dyDescent="0.25">
      <c r="A1574" s="13">
        <v>42464</v>
      </c>
      <c r="B1574" t="s">
        <v>31</v>
      </c>
      <c r="C1574">
        <v>745.28997800000002</v>
      </c>
      <c r="D1574">
        <v>-6.1607328430609565E-3</v>
      </c>
    </row>
    <row r="1575" spans="1:4" x14ac:dyDescent="0.25">
      <c r="A1575" s="13">
        <v>42465</v>
      </c>
      <c r="B1575" t="s">
        <v>31</v>
      </c>
      <c r="C1575">
        <v>737.79998799999998</v>
      </c>
      <c r="D1575">
        <v>-1.0049766159608842E-2</v>
      </c>
    </row>
    <row r="1576" spans="1:4" x14ac:dyDescent="0.25">
      <c r="A1576" s="13">
        <v>42466</v>
      </c>
      <c r="B1576" t="s">
        <v>31</v>
      </c>
      <c r="C1576">
        <v>745.69000200000005</v>
      </c>
      <c r="D1576">
        <v>1.0693974150620456E-2</v>
      </c>
    </row>
    <row r="1577" spans="1:4" x14ac:dyDescent="0.25">
      <c r="A1577" s="13">
        <v>42467</v>
      </c>
      <c r="B1577" t="s">
        <v>31</v>
      </c>
      <c r="C1577">
        <v>740.28002900000001</v>
      </c>
      <c r="D1577">
        <v>-7.2549893192748183E-3</v>
      </c>
    </row>
    <row r="1578" spans="1:4" x14ac:dyDescent="0.25">
      <c r="A1578" s="13">
        <v>42468</v>
      </c>
      <c r="B1578" t="s">
        <v>31</v>
      </c>
      <c r="C1578">
        <v>739.15002400000003</v>
      </c>
      <c r="D1578">
        <v>-1.5264561459620296E-3</v>
      </c>
    </row>
    <row r="1579" spans="1:4" x14ac:dyDescent="0.25">
      <c r="A1579" s="13">
        <v>42471</v>
      </c>
      <c r="B1579" t="s">
        <v>31</v>
      </c>
      <c r="C1579">
        <v>736.09997599999997</v>
      </c>
      <c r="D1579">
        <v>-4.1264261664963886E-3</v>
      </c>
    </row>
    <row r="1580" spans="1:4" x14ac:dyDescent="0.25">
      <c r="A1580" s="13">
        <v>42472</v>
      </c>
      <c r="B1580" t="s">
        <v>31</v>
      </c>
      <c r="C1580">
        <v>743.09002699999996</v>
      </c>
      <c r="D1580">
        <v>9.4960619860147144E-3</v>
      </c>
    </row>
    <row r="1581" spans="1:4" x14ac:dyDescent="0.25">
      <c r="A1581" s="13">
        <v>42473</v>
      </c>
      <c r="B1581" t="s">
        <v>31</v>
      </c>
      <c r="C1581">
        <v>751.71997099999999</v>
      </c>
      <c r="D1581">
        <v>1.161359147133334E-2</v>
      </c>
    </row>
    <row r="1582" spans="1:4" x14ac:dyDescent="0.25">
      <c r="A1582" s="13">
        <v>42474</v>
      </c>
      <c r="B1582" t="s">
        <v>31</v>
      </c>
      <c r="C1582">
        <v>753.20001200000002</v>
      </c>
      <c r="D1582">
        <v>1.9688727945210704E-3</v>
      </c>
    </row>
    <row r="1583" spans="1:4" x14ac:dyDescent="0.25">
      <c r="A1583" s="13">
        <v>42475</v>
      </c>
      <c r="B1583" t="s">
        <v>31</v>
      </c>
      <c r="C1583">
        <v>759</v>
      </c>
      <c r="D1583">
        <v>7.7004619059937163E-3</v>
      </c>
    </row>
    <row r="1584" spans="1:4" x14ac:dyDescent="0.25">
      <c r="A1584" s="13">
        <v>42478</v>
      </c>
      <c r="B1584" t="s">
        <v>31</v>
      </c>
      <c r="C1584">
        <v>766.60998500000005</v>
      </c>
      <c r="D1584">
        <v>1.0026330698287289E-2</v>
      </c>
    </row>
    <row r="1585" spans="1:4" x14ac:dyDescent="0.25">
      <c r="A1585" s="13">
        <v>42479</v>
      </c>
      <c r="B1585" t="s">
        <v>31</v>
      </c>
      <c r="C1585">
        <v>753.92999299999997</v>
      </c>
      <c r="D1585">
        <v>-1.6540342870697278E-2</v>
      </c>
    </row>
    <row r="1586" spans="1:4" x14ac:dyDescent="0.25">
      <c r="A1586" s="13">
        <v>42480</v>
      </c>
      <c r="B1586" t="s">
        <v>31</v>
      </c>
      <c r="C1586">
        <v>752.669983</v>
      </c>
      <c r="D1586">
        <v>-1.671255967661156E-3</v>
      </c>
    </row>
    <row r="1587" spans="1:4" x14ac:dyDescent="0.25">
      <c r="A1587" s="13">
        <v>42481</v>
      </c>
      <c r="B1587" t="s">
        <v>31</v>
      </c>
      <c r="C1587">
        <v>759.14001499999995</v>
      </c>
      <c r="D1587">
        <v>8.596107385884677E-3</v>
      </c>
    </row>
    <row r="1588" spans="1:4" x14ac:dyDescent="0.25">
      <c r="A1588" s="13">
        <v>42482</v>
      </c>
      <c r="B1588" t="s">
        <v>31</v>
      </c>
      <c r="C1588">
        <v>718.77002000000005</v>
      </c>
      <c r="D1588">
        <v>-5.3178589196091752E-2</v>
      </c>
    </row>
    <row r="1589" spans="1:4" x14ac:dyDescent="0.25">
      <c r="A1589" s="13">
        <v>42485</v>
      </c>
      <c r="B1589" t="s">
        <v>31</v>
      </c>
      <c r="C1589">
        <v>723.15002400000003</v>
      </c>
      <c r="D1589">
        <v>6.0937488739443157E-3</v>
      </c>
    </row>
    <row r="1590" spans="1:4" x14ac:dyDescent="0.25">
      <c r="A1590" s="13">
        <v>42486</v>
      </c>
      <c r="B1590" t="s">
        <v>31</v>
      </c>
      <c r="C1590">
        <v>708.14001499999995</v>
      </c>
      <c r="D1590">
        <v>-2.0756424672399798E-2</v>
      </c>
    </row>
    <row r="1591" spans="1:4" x14ac:dyDescent="0.25">
      <c r="A1591" s="13">
        <v>42487</v>
      </c>
      <c r="B1591" t="s">
        <v>31</v>
      </c>
      <c r="C1591">
        <v>705.84002699999996</v>
      </c>
      <c r="D1591">
        <v>-3.2479283069464238E-3</v>
      </c>
    </row>
    <row r="1592" spans="1:4" x14ac:dyDescent="0.25">
      <c r="A1592" s="13">
        <v>42488</v>
      </c>
      <c r="B1592" t="s">
        <v>31</v>
      </c>
      <c r="C1592">
        <v>691.02002000000005</v>
      </c>
      <c r="D1592">
        <v>-2.0996268889692637E-2</v>
      </c>
    </row>
    <row r="1593" spans="1:4" x14ac:dyDescent="0.25">
      <c r="A1593" s="13">
        <v>42489</v>
      </c>
      <c r="B1593" t="s">
        <v>31</v>
      </c>
      <c r="C1593">
        <v>693.01000999999997</v>
      </c>
      <c r="D1593">
        <v>2.8797863193601447E-3</v>
      </c>
    </row>
    <row r="1594" spans="1:4" x14ac:dyDescent="0.25">
      <c r="A1594" s="13">
        <v>42492</v>
      </c>
      <c r="B1594" t="s">
        <v>31</v>
      </c>
      <c r="C1594">
        <v>698.21002199999998</v>
      </c>
      <c r="D1594">
        <v>7.503516435498625E-3</v>
      </c>
    </row>
    <row r="1595" spans="1:4" x14ac:dyDescent="0.25">
      <c r="A1595" s="13">
        <v>42493</v>
      </c>
      <c r="B1595" t="s">
        <v>31</v>
      </c>
      <c r="C1595">
        <v>692.35998500000005</v>
      </c>
      <c r="D1595">
        <v>-8.3786207812409641E-3</v>
      </c>
    </row>
    <row r="1596" spans="1:4" x14ac:dyDescent="0.25">
      <c r="A1596" s="13">
        <v>42494</v>
      </c>
      <c r="B1596" t="s">
        <v>31</v>
      </c>
      <c r="C1596">
        <v>695.70001200000002</v>
      </c>
      <c r="D1596">
        <v>4.8241190599713768E-3</v>
      </c>
    </row>
    <row r="1597" spans="1:4" x14ac:dyDescent="0.25">
      <c r="A1597" s="13">
        <v>42495</v>
      </c>
      <c r="B1597" t="s">
        <v>31</v>
      </c>
      <c r="C1597">
        <v>701.42999299999997</v>
      </c>
      <c r="D1597">
        <v>8.2362813010845581E-3</v>
      </c>
    </row>
    <row r="1598" spans="1:4" x14ac:dyDescent="0.25">
      <c r="A1598" s="13">
        <v>42496</v>
      </c>
      <c r="B1598" t="s">
        <v>31</v>
      </c>
      <c r="C1598">
        <v>711.11999500000002</v>
      </c>
      <c r="D1598">
        <v>1.3814638804588553E-2</v>
      </c>
    </row>
    <row r="1599" spans="1:4" x14ac:dyDescent="0.25">
      <c r="A1599" s="13">
        <v>42499</v>
      </c>
      <c r="B1599" t="s">
        <v>31</v>
      </c>
      <c r="C1599">
        <v>712.90002400000003</v>
      </c>
      <c r="D1599">
        <v>2.5031345096688806E-3</v>
      </c>
    </row>
    <row r="1600" spans="1:4" x14ac:dyDescent="0.25">
      <c r="A1600" s="13">
        <v>42500</v>
      </c>
      <c r="B1600" t="s">
        <v>31</v>
      </c>
      <c r="C1600">
        <v>723.17999299999997</v>
      </c>
      <c r="D1600">
        <v>1.4419930781205847E-2</v>
      </c>
    </row>
    <row r="1601" spans="1:4" x14ac:dyDescent="0.25">
      <c r="A1601" s="13">
        <v>42501</v>
      </c>
      <c r="B1601" t="s">
        <v>31</v>
      </c>
      <c r="C1601">
        <v>715.28997800000002</v>
      </c>
      <c r="D1601">
        <v>-1.0910167698734874E-2</v>
      </c>
    </row>
    <row r="1602" spans="1:4" x14ac:dyDescent="0.25">
      <c r="A1602" s="13">
        <v>42502</v>
      </c>
      <c r="B1602" t="s">
        <v>31</v>
      </c>
      <c r="C1602">
        <v>713.30999799999995</v>
      </c>
      <c r="D1602">
        <v>-2.768080164545661E-3</v>
      </c>
    </row>
    <row r="1603" spans="1:4" x14ac:dyDescent="0.25">
      <c r="A1603" s="13">
        <v>42503</v>
      </c>
      <c r="B1603" t="s">
        <v>31</v>
      </c>
      <c r="C1603">
        <v>710.830017</v>
      </c>
      <c r="D1603">
        <v>-3.4767226128238349E-3</v>
      </c>
    </row>
    <row r="1604" spans="1:4" x14ac:dyDescent="0.25">
      <c r="A1604" s="13">
        <v>42506</v>
      </c>
      <c r="B1604" t="s">
        <v>31</v>
      </c>
      <c r="C1604">
        <v>716.48999000000003</v>
      </c>
      <c r="D1604">
        <v>7.9624845105550346E-3</v>
      </c>
    </row>
    <row r="1605" spans="1:4" x14ac:dyDescent="0.25">
      <c r="A1605" s="13">
        <v>42507</v>
      </c>
      <c r="B1605" t="s">
        <v>31</v>
      </c>
      <c r="C1605">
        <v>706.22997999999995</v>
      </c>
      <c r="D1605">
        <v>-1.4319823226002226E-2</v>
      </c>
    </row>
    <row r="1606" spans="1:4" x14ac:dyDescent="0.25">
      <c r="A1606" s="13">
        <v>42508</v>
      </c>
      <c r="B1606" t="s">
        <v>31</v>
      </c>
      <c r="C1606">
        <v>706.63000499999998</v>
      </c>
      <c r="D1606">
        <v>5.6642313598764815E-4</v>
      </c>
    </row>
    <row r="1607" spans="1:4" x14ac:dyDescent="0.25">
      <c r="A1607" s="13">
        <v>42509</v>
      </c>
      <c r="B1607" t="s">
        <v>31</v>
      </c>
      <c r="C1607">
        <v>700.32000700000003</v>
      </c>
      <c r="D1607">
        <v>-8.9297057234357657E-3</v>
      </c>
    </row>
    <row r="1608" spans="1:4" x14ac:dyDescent="0.25">
      <c r="A1608" s="13">
        <v>42510</v>
      </c>
      <c r="B1608" t="s">
        <v>31</v>
      </c>
      <c r="C1608">
        <v>709.73999000000003</v>
      </c>
      <c r="D1608">
        <v>1.3450969422325709E-2</v>
      </c>
    </row>
    <row r="1609" spans="1:4" x14ac:dyDescent="0.25">
      <c r="A1609" s="13">
        <v>42513</v>
      </c>
      <c r="B1609" t="s">
        <v>31</v>
      </c>
      <c r="C1609">
        <v>704.23999000000003</v>
      </c>
      <c r="D1609">
        <v>-7.7493167603532864E-3</v>
      </c>
    </row>
    <row r="1610" spans="1:4" x14ac:dyDescent="0.25">
      <c r="A1610" s="13">
        <v>42514</v>
      </c>
      <c r="B1610" t="s">
        <v>31</v>
      </c>
      <c r="C1610">
        <v>720.09002699999996</v>
      </c>
      <c r="D1610">
        <v>2.2506584722631118E-2</v>
      </c>
    </row>
    <row r="1611" spans="1:4" x14ac:dyDescent="0.25">
      <c r="A1611" s="13">
        <v>42515</v>
      </c>
      <c r="B1611" t="s">
        <v>31</v>
      </c>
      <c r="C1611">
        <v>725.27002000000005</v>
      </c>
      <c r="D1611">
        <v>7.1935352605572156E-3</v>
      </c>
    </row>
    <row r="1612" spans="1:4" x14ac:dyDescent="0.25">
      <c r="A1612" s="13">
        <v>42516</v>
      </c>
      <c r="B1612" t="s">
        <v>31</v>
      </c>
      <c r="C1612">
        <v>724.11999500000002</v>
      </c>
      <c r="D1612">
        <v>-1.5856508173328621E-3</v>
      </c>
    </row>
    <row r="1613" spans="1:4" x14ac:dyDescent="0.25">
      <c r="A1613" s="13">
        <v>42517</v>
      </c>
      <c r="B1613" t="s">
        <v>31</v>
      </c>
      <c r="C1613">
        <v>732.65997300000004</v>
      </c>
      <c r="D1613">
        <v>1.1793595065690665E-2</v>
      </c>
    </row>
    <row r="1614" spans="1:4" x14ac:dyDescent="0.25">
      <c r="A1614" s="13">
        <v>42521</v>
      </c>
      <c r="B1614" t="s">
        <v>31</v>
      </c>
      <c r="C1614">
        <v>735.71997099999999</v>
      </c>
      <c r="D1614">
        <v>4.1765595402603051E-3</v>
      </c>
    </row>
    <row r="1615" spans="1:4" x14ac:dyDescent="0.25">
      <c r="A1615" s="13">
        <v>42522</v>
      </c>
      <c r="B1615" t="s">
        <v>31</v>
      </c>
      <c r="C1615">
        <v>734.15002400000003</v>
      </c>
      <c r="D1615">
        <v>-2.1338920538830353E-3</v>
      </c>
    </row>
    <row r="1616" spans="1:4" x14ac:dyDescent="0.25">
      <c r="A1616" s="13">
        <v>42523</v>
      </c>
      <c r="B1616" t="s">
        <v>31</v>
      </c>
      <c r="C1616">
        <v>730.40002400000003</v>
      </c>
      <c r="D1616">
        <v>-5.107947800053414E-3</v>
      </c>
    </row>
    <row r="1617" spans="1:4" x14ac:dyDescent="0.25">
      <c r="A1617" s="13">
        <v>42524</v>
      </c>
      <c r="B1617" t="s">
        <v>31</v>
      </c>
      <c r="C1617">
        <v>722.34002699999996</v>
      </c>
      <c r="D1617">
        <v>-1.1035044818125672E-2</v>
      </c>
    </row>
    <row r="1618" spans="1:4" x14ac:dyDescent="0.25">
      <c r="A1618" s="13">
        <v>42527</v>
      </c>
      <c r="B1618" t="s">
        <v>31</v>
      </c>
      <c r="C1618">
        <v>716.54998799999998</v>
      </c>
      <c r="D1618">
        <v>-8.0156696065244448E-3</v>
      </c>
    </row>
    <row r="1619" spans="1:4" x14ac:dyDescent="0.25">
      <c r="A1619" s="13">
        <v>42528</v>
      </c>
      <c r="B1619" t="s">
        <v>31</v>
      </c>
      <c r="C1619">
        <v>716.65002400000003</v>
      </c>
      <c r="D1619">
        <v>1.3960784547539795E-4</v>
      </c>
    </row>
    <row r="1620" spans="1:4" x14ac:dyDescent="0.25">
      <c r="A1620" s="13">
        <v>42529</v>
      </c>
      <c r="B1620" t="s">
        <v>31</v>
      </c>
      <c r="C1620">
        <v>728.28002900000001</v>
      </c>
      <c r="D1620">
        <v>1.6228290812141166E-2</v>
      </c>
    </row>
    <row r="1621" spans="1:4" x14ac:dyDescent="0.25">
      <c r="A1621" s="13">
        <v>42530</v>
      </c>
      <c r="B1621" t="s">
        <v>31</v>
      </c>
      <c r="C1621">
        <v>728.580017</v>
      </c>
      <c r="D1621">
        <v>4.1191298409204435E-4</v>
      </c>
    </row>
    <row r="1622" spans="1:4" x14ac:dyDescent="0.25">
      <c r="A1622" s="13">
        <v>42531</v>
      </c>
      <c r="B1622" t="s">
        <v>31</v>
      </c>
      <c r="C1622">
        <v>719.40997300000004</v>
      </c>
      <c r="D1622">
        <v>-1.2586186535500254E-2</v>
      </c>
    </row>
    <row r="1623" spans="1:4" x14ac:dyDescent="0.25">
      <c r="A1623" s="13">
        <v>42534</v>
      </c>
      <c r="B1623" t="s">
        <v>31</v>
      </c>
      <c r="C1623">
        <v>718.35998500000005</v>
      </c>
      <c r="D1623">
        <v>-1.4595127109809924E-3</v>
      </c>
    </row>
    <row r="1624" spans="1:4" x14ac:dyDescent="0.25">
      <c r="A1624" s="13">
        <v>42535</v>
      </c>
      <c r="B1624" t="s">
        <v>31</v>
      </c>
      <c r="C1624">
        <v>718.27002000000005</v>
      </c>
      <c r="D1624">
        <v>-1.2523665276265028E-4</v>
      </c>
    </row>
    <row r="1625" spans="1:4" x14ac:dyDescent="0.25">
      <c r="A1625" s="13">
        <v>42536</v>
      </c>
      <c r="B1625" t="s">
        <v>31</v>
      </c>
      <c r="C1625">
        <v>718.919983</v>
      </c>
      <c r="D1625">
        <v>9.0490063889903105E-4</v>
      </c>
    </row>
    <row r="1626" spans="1:4" x14ac:dyDescent="0.25">
      <c r="A1626" s="13">
        <v>42537</v>
      </c>
      <c r="B1626" t="s">
        <v>31</v>
      </c>
      <c r="C1626">
        <v>710.35998500000005</v>
      </c>
      <c r="D1626">
        <v>-1.1906746512010624E-2</v>
      </c>
    </row>
    <row r="1627" spans="1:4" x14ac:dyDescent="0.25">
      <c r="A1627" s="13">
        <v>42538</v>
      </c>
      <c r="B1627" t="s">
        <v>31</v>
      </c>
      <c r="C1627">
        <v>691.71997099999999</v>
      </c>
      <c r="D1627">
        <v>-2.624023649079843E-2</v>
      </c>
    </row>
    <row r="1628" spans="1:4" x14ac:dyDescent="0.25">
      <c r="A1628" s="13">
        <v>42541</v>
      </c>
      <c r="B1628" t="s">
        <v>31</v>
      </c>
      <c r="C1628">
        <v>693.71002199999998</v>
      </c>
      <c r="D1628">
        <v>2.8769604513847469E-3</v>
      </c>
    </row>
    <row r="1629" spans="1:4" x14ac:dyDescent="0.25">
      <c r="A1629" s="13">
        <v>42542</v>
      </c>
      <c r="B1629" t="s">
        <v>31</v>
      </c>
      <c r="C1629">
        <v>695.94000200000005</v>
      </c>
      <c r="D1629">
        <v>3.2145708282704799E-3</v>
      </c>
    </row>
    <row r="1630" spans="1:4" x14ac:dyDescent="0.25">
      <c r="A1630" s="13">
        <v>42543</v>
      </c>
      <c r="B1630" t="s">
        <v>31</v>
      </c>
      <c r="C1630">
        <v>697.46002199999998</v>
      </c>
      <c r="D1630">
        <v>2.1841250619760721E-3</v>
      </c>
    </row>
    <row r="1631" spans="1:4" x14ac:dyDescent="0.25">
      <c r="A1631" s="13">
        <v>42544</v>
      </c>
      <c r="B1631" t="s">
        <v>31</v>
      </c>
      <c r="C1631">
        <v>701.86999500000002</v>
      </c>
      <c r="D1631">
        <v>6.3229043398849161E-3</v>
      </c>
    </row>
    <row r="1632" spans="1:4" x14ac:dyDescent="0.25">
      <c r="A1632" s="13">
        <v>42545</v>
      </c>
      <c r="B1632" t="s">
        <v>31</v>
      </c>
      <c r="C1632">
        <v>675.21997099999999</v>
      </c>
      <c r="D1632">
        <v>-3.7970028908273834E-2</v>
      </c>
    </row>
    <row r="1633" spans="1:4" x14ac:dyDescent="0.25">
      <c r="A1633" s="13">
        <v>42548</v>
      </c>
      <c r="B1633" t="s">
        <v>31</v>
      </c>
      <c r="C1633">
        <v>668.26000999999997</v>
      </c>
      <c r="D1633">
        <v>-1.0307694231395881E-2</v>
      </c>
    </row>
    <row r="1634" spans="1:4" x14ac:dyDescent="0.25">
      <c r="A1634" s="13">
        <v>42549</v>
      </c>
      <c r="B1634" t="s">
        <v>31</v>
      </c>
      <c r="C1634">
        <v>680.03997800000002</v>
      </c>
      <c r="D1634">
        <v>1.762782124281248E-2</v>
      </c>
    </row>
    <row r="1635" spans="1:4" x14ac:dyDescent="0.25">
      <c r="A1635" s="13">
        <v>42550</v>
      </c>
      <c r="B1635" t="s">
        <v>31</v>
      </c>
      <c r="C1635">
        <v>684.10998500000005</v>
      </c>
      <c r="D1635">
        <v>5.9849525493631539E-3</v>
      </c>
    </row>
    <row r="1636" spans="1:4" x14ac:dyDescent="0.25">
      <c r="A1636" s="13">
        <v>42551</v>
      </c>
      <c r="B1636" t="s">
        <v>31</v>
      </c>
      <c r="C1636">
        <v>692.09997599999997</v>
      </c>
      <c r="D1636">
        <v>1.1679395382600433E-2</v>
      </c>
    </row>
    <row r="1637" spans="1:4" x14ac:dyDescent="0.25">
      <c r="A1637" s="13">
        <v>42552</v>
      </c>
      <c r="B1637" t="s">
        <v>31</v>
      </c>
      <c r="C1637">
        <v>699.21002199999998</v>
      </c>
      <c r="D1637">
        <v>1.0273148745203908E-2</v>
      </c>
    </row>
    <row r="1638" spans="1:4" x14ac:dyDescent="0.25">
      <c r="A1638" s="13">
        <v>42556</v>
      </c>
      <c r="B1638" t="s">
        <v>31</v>
      </c>
      <c r="C1638">
        <v>694.95001200000002</v>
      </c>
      <c r="D1638">
        <v>-6.0926043191068535E-3</v>
      </c>
    </row>
    <row r="1639" spans="1:4" x14ac:dyDescent="0.25">
      <c r="A1639" s="13">
        <v>42557</v>
      </c>
      <c r="B1639" t="s">
        <v>31</v>
      </c>
      <c r="C1639">
        <v>697.77002000000005</v>
      </c>
      <c r="D1639">
        <v>4.0578573297442855E-3</v>
      </c>
    </row>
    <row r="1640" spans="1:4" x14ac:dyDescent="0.25">
      <c r="A1640" s="13">
        <v>42558</v>
      </c>
      <c r="B1640" t="s">
        <v>31</v>
      </c>
      <c r="C1640">
        <v>695.35998500000005</v>
      </c>
      <c r="D1640">
        <v>-3.4539102152884027E-3</v>
      </c>
    </row>
    <row r="1641" spans="1:4" x14ac:dyDescent="0.25">
      <c r="A1641" s="13">
        <v>42559</v>
      </c>
      <c r="B1641" t="s">
        <v>31</v>
      </c>
      <c r="C1641">
        <v>705.63000499999998</v>
      </c>
      <c r="D1641">
        <v>1.4769357198487487E-2</v>
      </c>
    </row>
    <row r="1642" spans="1:4" x14ac:dyDescent="0.25">
      <c r="A1642" s="13">
        <v>42562</v>
      </c>
      <c r="B1642" t="s">
        <v>31</v>
      </c>
      <c r="C1642">
        <v>715.09002699999996</v>
      </c>
      <c r="D1642">
        <v>1.3406490558745432E-2</v>
      </c>
    </row>
    <row r="1643" spans="1:4" x14ac:dyDescent="0.25">
      <c r="A1643" s="13">
        <v>42563</v>
      </c>
      <c r="B1643" t="s">
        <v>31</v>
      </c>
      <c r="C1643">
        <v>720.64001499999995</v>
      </c>
      <c r="D1643">
        <v>7.7612437461667128E-3</v>
      </c>
    </row>
    <row r="1644" spans="1:4" x14ac:dyDescent="0.25">
      <c r="A1644" s="13">
        <v>42564</v>
      </c>
      <c r="B1644" t="s">
        <v>31</v>
      </c>
      <c r="C1644">
        <v>716.97997999999995</v>
      </c>
      <c r="D1644">
        <v>-5.0788672899325649E-3</v>
      </c>
    </row>
    <row r="1645" spans="1:4" x14ac:dyDescent="0.25">
      <c r="A1645" s="13">
        <v>42565</v>
      </c>
      <c r="B1645" t="s">
        <v>31</v>
      </c>
      <c r="C1645">
        <v>720.95001200000002</v>
      </c>
      <c r="D1645">
        <v>5.537158792076724E-3</v>
      </c>
    </row>
    <row r="1646" spans="1:4" x14ac:dyDescent="0.25">
      <c r="A1646" s="13">
        <v>42566</v>
      </c>
      <c r="B1646" t="s">
        <v>31</v>
      </c>
      <c r="C1646">
        <v>719.84997599999997</v>
      </c>
      <c r="D1646">
        <v>-1.5258145248495669E-3</v>
      </c>
    </row>
    <row r="1647" spans="1:4" x14ac:dyDescent="0.25">
      <c r="A1647" s="13">
        <v>42569</v>
      </c>
      <c r="B1647" t="s">
        <v>31</v>
      </c>
      <c r="C1647">
        <v>733.78002900000001</v>
      </c>
      <c r="D1647">
        <v>1.9351328005045465E-2</v>
      </c>
    </row>
    <row r="1648" spans="1:4" x14ac:dyDescent="0.25">
      <c r="A1648" s="13">
        <v>42570</v>
      </c>
      <c r="B1648" t="s">
        <v>31</v>
      </c>
      <c r="C1648">
        <v>736.96002199999998</v>
      </c>
      <c r="D1648">
        <v>4.3337142935515605E-3</v>
      </c>
    </row>
    <row r="1649" spans="1:4" x14ac:dyDescent="0.25">
      <c r="A1649" s="13">
        <v>42571</v>
      </c>
      <c r="B1649" t="s">
        <v>31</v>
      </c>
      <c r="C1649">
        <v>741.19000200000005</v>
      </c>
      <c r="D1649">
        <v>5.7397686085067789E-3</v>
      </c>
    </row>
    <row r="1650" spans="1:4" x14ac:dyDescent="0.25">
      <c r="A1650" s="13">
        <v>42572</v>
      </c>
      <c r="B1650" t="s">
        <v>31</v>
      </c>
      <c r="C1650">
        <v>738.63000499999998</v>
      </c>
      <c r="D1650">
        <v>-3.453901149627292E-3</v>
      </c>
    </row>
    <row r="1651" spans="1:4" x14ac:dyDescent="0.25">
      <c r="A1651" s="13">
        <v>42573</v>
      </c>
      <c r="B1651" t="s">
        <v>31</v>
      </c>
      <c r="C1651">
        <v>742.73999000000003</v>
      </c>
      <c r="D1651">
        <v>5.5643352858378847E-3</v>
      </c>
    </row>
    <row r="1652" spans="1:4" x14ac:dyDescent="0.25">
      <c r="A1652" s="13">
        <v>42576</v>
      </c>
      <c r="B1652" t="s">
        <v>31</v>
      </c>
      <c r="C1652">
        <v>739.77002000000005</v>
      </c>
      <c r="D1652">
        <v>-3.9986671513405625E-3</v>
      </c>
    </row>
    <row r="1653" spans="1:4" x14ac:dyDescent="0.25">
      <c r="A1653" s="13">
        <v>42577</v>
      </c>
      <c r="B1653" t="s">
        <v>31</v>
      </c>
      <c r="C1653">
        <v>738.419983</v>
      </c>
      <c r="D1653">
        <v>-1.8249414865447733E-3</v>
      </c>
    </row>
    <row r="1654" spans="1:4" x14ac:dyDescent="0.25">
      <c r="A1654" s="13">
        <v>42578</v>
      </c>
      <c r="B1654" t="s">
        <v>31</v>
      </c>
      <c r="C1654">
        <v>741.77002000000005</v>
      </c>
      <c r="D1654">
        <v>4.5367637349003065E-3</v>
      </c>
    </row>
    <row r="1655" spans="1:4" x14ac:dyDescent="0.25">
      <c r="A1655" s="13">
        <v>42579</v>
      </c>
      <c r="B1655" t="s">
        <v>31</v>
      </c>
      <c r="C1655">
        <v>745.90997300000004</v>
      </c>
      <c r="D1655">
        <v>5.5811813478252592E-3</v>
      </c>
    </row>
    <row r="1656" spans="1:4" x14ac:dyDescent="0.25">
      <c r="A1656" s="13">
        <v>42580</v>
      </c>
      <c r="B1656" t="s">
        <v>31</v>
      </c>
      <c r="C1656">
        <v>768.78997800000002</v>
      </c>
      <c r="D1656">
        <v>3.0673949710014137E-2</v>
      </c>
    </row>
    <row r="1657" spans="1:4" x14ac:dyDescent="0.25">
      <c r="A1657" s="13">
        <v>42583</v>
      </c>
      <c r="B1657" t="s">
        <v>31</v>
      </c>
      <c r="C1657">
        <v>772.88000499999998</v>
      </c>
      <c r="D1657">
        <v>5.3200836600915125E-3</v>
      </c>
    </row>
    <row r="1658" spans="1:4" x14ac:dyDescent="0.25">
      <c r="A1658" s="13">
        <v>42584</v>
      </c>
      <c r="B1658" t="s">
        <v>31</v>
      </c>
      <c r="C1658">
        <v>771.07000700000003</v>
      </c>
      <c r="D1658">
        <v>-2.3418874706170323E-3</v>
      </c>
    </row>
    <row r="1659" spans="1:4" x14ac:dyDescent="0.25">
      <c r="A1659" s="13">
        <v>42585</v>
      </c>
      <c r="B1659" t="s">
        <v>31</v>
      </c>
      <c r="C1659">
        <v>773.17999299999997</v>
      </c>
      <c r="D1659">
        <v>2.7364389495698749E-3</v>
      </c>
    </row>
    <row r="1660" spans="1:4" x14ac:dyDescent="0.25">
      <c r="A1660" s="13">
        <v>42586</v>
      </c>
      <c r="B1660" t="s">
        <v>31</v>
      </c>
      <c r="C1660">
        <v>771.60998500000005</v>
      </c>
      <c r="D1660">
        <v>-2.0305853930702167E-3</v>
      </c>
    </row>
    <row r="1661" spans="1:4" x14ac:dyDescent="0.25">
      <c r="A1661" s="13">
        <v>42587</v>
      </c>
      <c r="B1661" t="s">
        <v>31</v>
      </c>
      <c r="C1661">
        <v>782.21997099999999</v>
      </c>
      <c r="D1661">
        <v>1.3750451920344187E-2</v>
      </c>
    </row>
    <row r="1662" spans="1:4" x14ac:dyDescent="0.25">
      <c r="A1662" s="13">
        <v>42590</v>
      </c>
      <c r="B1662" t="s">
        <v>31</v>
      </c>
      <c r="C1662">
        <v>781.76000999999997</v>
      </c>
      <c r="D1662">
        <v>-5.8802001617519473E-4</v>
      </c>
    </row>
    <row r="1663" spans="1:4" x14ac:dyDescent="0.25">
      <c r="A1663" s="13">
        <v>42591</v>
      </c>
      <c r="B1663" t="s">
        <v>31</v>
      </c>
      <c r="C1663">
        <v>784.26000999999997</v>
      </c>
      <c r="D1663">
        <v>3.1979123618768313E-3</v>
      </c>
    </row>
    <row r="1664" spans="1:4" x14ac:dyDescent="0.25">
      <c r="A1664" s="13">
        <v>42592</v>
      </c>
      <c r="B1664" t="s">
        <v>31</v>
      </c>
      <c r="C1664">
        <v>784.67999299999997</v>
      </c>
      <c r="D1664">
        <v>5.3551500094983773E-4</v>
      </c>
    </row>
    <row r="1665" spans="1:4" x14ac:dyDescent="0.25">
      <c r="A1665" s="13">
        <v>42593</v>
      </c>
      <c r="B1665" t="s">
        <v>31</v>
      </c>
      <c r="C1665">
        <v>784.84997599999997</v>
      </c>
      <c r="D1665">
        <v>2.1662716204873256E-4</v>
      </c>
    </row>
    <row r="1666" spans="1:4" x14ac:dyDescent="0.25">
      <c r="A1666" s="13">
        <v>42594</v>
      </c>
      <c r="B1666" t="s">
        <v>31</v>
      </c>
      <c r="C1666">
        <v>783.21997099999999</v>
      </c>
      <c r="D1666">
        <v>-2.0768364016615637E-3</v>
      </c>
    </row>
    <row r="1667" spans="1:4" x14ac:dyDescent="0.25">
      <c r="A1667" s="13">
        <v>42597</v>
      </c>
      <c r="B1667" t="s">
        <v>31</v>
      </c>
      <c r="C1667">
        <v>782.44000200000005</v>
      </c>
      <c r="D1667">
        <v>-9.9584922356366068E-4</v>
      </c>
    </row>
    <row r="1668" spans="1:4" x14ac:dyDescent="0.25">
      <c r="A1668" s="13">
        <v>42598</v>
      </c>
      <c r="B1668" t="s">
        <v>31</v>
      </c>
      <c r="C1668">
        <v>777.14001499999995</v>
      </c>
      <c r="D1668">
        <v>-6.7736656950727614E-3</v>
      </c>
    </row>
    <row r="1669" spans="1:4" x14ac:dyDescent="0.25">
      <c r="A1669" s="13">
        <v>42599</v>
      </c>
      <c r="B1669" t="s">
        <v>31</v>
      </c>
      <c r="C1669">
        <v>779.90997300000004</v>
      </c>
      <c r="D1669">
        <v>3.5642972264142703E-3</v>
      </c>
    </row>
    <row r="1670" spans="1:4" x14ac:dyDescent="0.25">
      <c r="A1670" s="13">
        <v>42600</v>
      </c>
      <c r="B1670" t="s">
        <v>31</v>
      </c>
      <c r="C1670">
        <v>777.5</v>
      </c>
      <c r="D1670">
        <v>-3.0900656273568083E-3</v>
      </c>
    </row>
    <row r="1671" spans="1:4" x14ac:dyDescent="0.25">
      <c r="A1671" s="13">
        <v>42601</v>
      </c>
      <c r="B1671" t="s">
        <v>31</v>
      </c>
      <c r="C1671">
        <v>775.419983</v>
      </c>
      <c r="D1671">
        <v>-2.6752630225080898E-3</v>
      </c>
    </row>
    <row r="1672" spans="1:4" x14ac:dyDescent="0.25">
      <c r="A1672" s="13">
        <v>42604</v>
      </c>
      <c r="B1672" t="s">
        <v>31</v>
      </c>
      <c r="C1672">
        <v>772.15002400000003</v>
      </c>
      <c r="D1672">
        <v>-4.217016677012797E-3</v>
      </c>
    </row>
    <row r="1673" spans="1:4" x14ac:dyDescent="0.25">
      <c r="A1673" s="13">
        <v>42605</v>
      </c>
      <c r="B1673" t="s">
        <v>31</v>
      </c>
      <c r="C1673">
        <v>772.080017</v>
      </c>
      <c r="D1673">
        <v>-9.0665023407487944E-5</v>
      </c>
    </row>
    <row r="1674" spans="1:4" x14ac:dyDescent="0.25">
      <c r="A1674" s="13">
        <v>42606</v>
      </c>
      <c r="B1674" t="s">
        <v>31</v>
      </c>
      <c r="C1674">
        <v>769.64001499999995</v>
      </c>
      <c r="D1674">
        <v>-3.1602967908441748E-3</v>
      </c>
    </row>
    <row r="1675" spans="1:4" x14ac:dyDescent="0.25">
      <c r="A1675" s="13">
        <v>42607</v>
      </c>
      <c r="B1675" t="s">
        <v>31</v>
      </c>
      <c r="C1675">
        <v>769.40997300000004</v>
      </c>
      <c r="D1675">
        <v>-2.9889558172191411E-4</v>
      </c>
    </row>
    <row r="1676" spans="1:4" x14ac:dyDescent="0.25">
      <c r="A1676" s="13">
        <v>42608</v>
      </c>
      <c r="B1676" t="s">
        <v>31</v>
      </c>
      <c r="C1676">
        <v>769.53997800000002</v>
      </c>
      <c r="D1676">
        <v>1.6896713658787199E-4</v>
      </c>
    </row>
    <row r="1677" spans="1:4" x14ac:dyDescent="0.25">
      <c r="A1677" s="13">
        <v>42611</v>
      </c>
      <c r="B1677" t="s">
        <v>31</v>
      </c>
      <c r="C1677">
        <v>772.15002400000003</v>
      </c>
      <c r="D1677">
        <v>3.3916964350355627E-3</v>
      </c>
    </row>
    <row r="1678" spans="1:4" x14ac:dyDescent="0.25">
      <c r="A1678" s="13">
        <v>42612</v>
      </c>
      <c r="B1678" t="s">
        <v>31</v>
      </c>
      <c r="C1678">
        <v>769.09002699999996</v>
      </c>
      <c r="D1678">
        <v>-3.9629565562249169E-3</v>
      </c>
    </row>
    <row r="1679" spans="1:4" x14ac:dyDescent="0.25">
      <c r="A1679" s="13">
        <v>42613</v>
      </c>
      <c r="B1679" t="s">
        <v>31</v>
      </c>
      <c r="C1679">
        <v>767.04998799999998</v>
      </c>
      <c r="D1679">
        <v>-2.6525360209878057E-3</v>
      </c>
    </row>
    <row r="1680" spans="1:4" x14ac:dyDescent="0.25">
      <c r="A1680" s="13">
        <v>42614</v>
      </c>
      <c r="B1680" t="s">
        <v>31</v>
      </c>
      <c r="C1680">
        <v>768.78002900000001</v>
      </c>
      <c r="D1680">
        <v>2.2554475289295883E-3</v>
      </c>
    </row>
    <row r="1681" spans="1:4" x14ac:dyDescent="0.25">
      <c r="A1681" s="13">
        <v>42615</v>
      </c>
      <c r="B1681" t="s">
        <v>31</v>
      </c>
      <c r="C1681">
        <v>771.46002199999998</v>
      </c>
      <c r="D1681">
        <v>3.4860335842568091E-3</v>
      </c>
    </row>
    <row r="1682" spans="1:4" x14ac:dyDescent="0.25">
      <c r="A1682" s="13">
        <v>42619</v>
      </c>
      <c r="B1682" t="s">
        <v>31</v>
      </c>
      <c r="C1682">
        <v>780.080017</v>
      </c>
      <c r="D1682">
        <v>1.117361205270595E-2</v>
      </c>
    </row>
    <row r="1683" spans="1:4" x14ac:dyDescent="0.25">
      <c r="A1683" s="13">
        <v>42620</v>
      </c>
      <c r="B1683" t="s">
        <v>31</v>
      </c>
      <c r="C1683">
        <v>780.34997599999997</v>
      </c>
      <c r="D1683">
        <v>3.4606578058249404E-4</v>
      </c>
    </row>
    <row r="1684" spans="1:4" x14ac:dyDescent="0.25">
      <c r="A1684" s="13">
        <v>42621</v>
      </c>
      <c r="B1684" t="s">
        <v>31</v>
      </c>
      <c r="C1684">
        <v>775.32000700000003</v>
      </c>
      <c r="D1684">
        <v>-6.4457860635597219E-3</v>
      </c>
    </row>
    <row r="1685" spans="1:4" x14ac:dyDescent="0.25">
      <c r="A1685" s="13">
        <v>42622</v>
      </c>
      <c r="B1685" t="s">
        <v>31</v>
      </c>
      <c r="C1685">
        <v>759.65997300000004</v>
      </c>
      <c r="D1685">
        <v>-2.0198155417908592E-2</v>
      </c>
    </row>
    <row r="1686" spans="1:4" x14ac:dyDescent="0.25">
      <c r="A1686" s="13">
        <v>42625</v>
      </c>
      <c r="B1686" t="s">
        <v>31</v>
      </c>
      <c r="C1686">
        <v>769.02002000000005</v>
      </c>
      <c r="D1686">
        <v>1.2321363942654484E-2</v>
      </c>
    </row>
    <row r="1687" spans="1:4" x14ac:dyDescent="0.25">
      <c r="A1687" s="13">
        <v>42626</v>
      </c>
      <c r="B1687" t="s">
        <v>31</v>
      </c>
      <c r="C1687">
        <v>759.69000200000005</v>
      </c>
      <c r="D1687">
        <v>-1.2132347347732275E-2</v>
      </c>
    </row>
    <row r="1688" spans="1:4" x14ac:dyDescent="0.25">
      <c r="A1688" s="13">
        <v>42627</v>
      </c>
      <c r="B1688" t="s">
        <v>31</v>
      </c>
      <c r="C1688">
        <v>762.48999000000003</v>
      </c>
      <c r="D1688">
        <v>3.6856981040009895E-3</v>
      </c>
    </row>
    <row r="1689" spans="1:4" x14ac:dyDescent="0.25">
      <c r="A1689" s="13">
        <v>42628</v>
      </c>
      <c r="B1689" t="s">
        <v>31</v>
      </c>
      <c r="C1689">
        <v>771.76000999999997</v>
      </c>
      <c r="D1689">
        <v>1.2157562881579542E-2</v>
      </c>
    </row>
    <row r="1690" spans="1:4" x14ac:dyDescent="0.25">
      <c r="A1690" s="13">
        <v>42629</v>
      </c>
      <c r="B1690" t="s">
        <v>31</v>
      </c>
      <c r="C1690">
        <v>768.88000499999998</v>
      </c>
      <c r="D1690">
        <v>-3.7317365018693094E-3</v>
      </c>
    </row>
    <row r="1691" spans="1:4" x14ac:dyDescent="0.25">
      <c r="A1691" s="13">
        <v>42632</v>
      </c>
      <c r="B1691" t="s">
        <v>31</v>
      </c>
      <c r="C1691">
        <v>765.70001200000002</v>
      </c>
      <c r="D1691">
        <v>-4.1358768329525786E-3</v>
      </c>
    </row>
    <row r="1692" spans="1:4" x14ac:dyDescent="0.25">
      <c r="A1692" s="13">
        <v>42633</v>
      </c>
      <c r="B1692" t="s">
        <v>31</v>
      </c>
      <c r="C1692">
        <v>771.40997300000004</v>
      </c>
      <c r="D1692">
        <v>7.4571776289851233E-3</v>
      </c>
    </row>
    <row r="1693" spans="1:4" x14ac:dyDescent="0.25">
      <c r="A1693" s="13">
        <v>42634</v>
      </c>
      <c r="B1693" t="s">
        <v>31</v>
      </c>
      <c r="C1693">
        <v>776.21997099999999</v>
      </c>
      <c r="D1693">
        <v>6.2353329206958907E-3</v>
      </c>
    </row>
    <row r="1694" spans="1:4" x14ac:dyDescent="0.25">
      <c r="A1694" s="13">
        <v>42635</v>
      </c>
      <c r="B1694" t="s">
        <v>31</v>
      </c>
      <c r="C1694">
        <v>787.21002199999998</v>
      </c>
      <c r="D1694">
        <v>1.4158423398771269E-2</v>
      </c>
    </row>
    <row r="1695" spans="1:4" x14ac:dyDescent="0.25">
      <c r="A1695" s="13">
        <v>42636</v>
      </c>
      <c r="B1695" t="s">
        <v>31</v>
      </c>
      <c r="C1695">
        <v>786.90002400000003</v>
      </c>
      <c r="D1695">
        <v>-3.9379325889721262E-4</v>
      </c>
    </row>
    <row r="1696" spans="1:4" x14ac:dyDescent="0.25">
      <c r="A1696" s="13">
        <v>42639</v>
      </c>
      <c r="B1696" t="s">
        <v>31</v>
      </c>
      <c r="C1696">
        <v>774.21002199999998</v>
      </c>
      <c r="D1696">
        <v>-1.6126574676531003E-2</v>
      </c>
    </row>
    <row r="1697" spans="1:4" x14ac:dyDescent="0.25">
      <c r="A1697" s="13">
        <v>42640</v>
      </c>
      <c r="B1697" t="s">
        <v>31</v>
      </c>
      <c r="C1697">
        <v>783.01000999999997</v>
      </c>
      <c r="D1697">
        <v>1.1366409307473457E-2</v>
      </c>
    </row>
    <row r="1698" spans="1:4" x14ac:dyDescent="0.25">
      <c r="A1698" s="13">
        <v>42641</v>
      </c>
      <c r="B1698" t="s">
        <v>31</v>
      </c>
      <c r="C1698">
        <v>781.55999799999995</v>
      </c>
      <c r="D1698">
        <v>-1.8518435032522929E-3</v>
      </c>
    </row>
    <row r="1699" spans="1:4" x14ac:dyDescent="0.25">
      <c r="A1699" s="13">
        <v>42642</v>
      </c>
      <c r="B1699" t="s">
        <v>31</v>
      </c>
      <c r="C1699">
        <v>775.01000999999997</v>
      </c>
      <c r="D1699">
        <v>-8.3806592158776061E-3</v>
      </c>
    </row>
    <row r="1700" spans="1:4" x14ac:dyDescent="0.25">
      <c r="A1700" s="13">
        <v>42643</v>
      </c>
      <c r="B1700" t="s">
        <v>31</v>
      </c>
      <c r="C1700">
        <v>777.28997800000002</v>
      </c>
      <c r="D1700">
        <v>2.94185619615428E-3</v>
      </c>
    </row>
    <row r="1701" spans="1:4" x14ac:dyDescent="0.25">
      <c r="A1701" s="13">
        <v>42646</v>
      </c>
      <c r="B1701" t="s">
        <v>31</v>
      </c>
      <c r="C1701">
        <v>772.55999799999995</v>
      </c>
      <c r="D1701">
        <v>-6.0852193311053959E-3</v>
      </c>
    </row>
    <row r="1702" spans="1:4" x14ac:dyDescent="0.25">
      <c r="A1702" s="13">
        <v>42647</v>
      </c>
      <c r="B1702" t="s">
        <v>31</v>
      </c>
      <c r="C1702">
        <v>776.42999299999997</v>
      </c>
      <c r="D1702">
        <v>5.0093132054709333E-3</v>
      </c>
    </row>
    <row r="1703" spans="1:4" x14ac:dyDescent="0.25">
      <c r="A1703" s="13">
        <v>42648</v>
      </c>
      <c r="B1703" t="s">
        <v>31</v>
      </c>
      <c r="C1703">
        <v>776.46997099999999</v>
      </c>
      <c r="D1703">
        <v>5.1489510143110095E-5</v>
      </c>
    </row>
    <row r="1704" spans="1:4" x14ac:dyDescent="0.25">
      <c r="A1704" s="13">
        <v>42649</v>
      </c>
      <c r="B1704" t="s">
        <v>31</v>
      </c>
      <c r="C1704">
        <v>776.85998500000005</v>
      </c>
      <c r="D1704">
        <v>5.0229115685929138E-4</v>
      </c>
    </row>
    <row r="1705" spans="1:4" x14ac:dyDescent="0.25">
      <c r="A1705" s="13">
        <v>42650</v>
      </c>
      <c r="B1705" t="s">
        <v>31</v>
      </c>
      <c r="C1705">
        <v>775.080017</v>
      </c>
      <c r="D1705">
        <v>-2.2912339860059472E-3</v>
      </c>
    </row>
    <row r="1706" spans="1:4" x14ac:dyDescent="0.25">
      <c r="A1706" s="13">
        <v>42653</v>
      </c>
      <c r="B1706" t="s">
        <v>31</v>
      </c>
      <c r="C1706">
        <v>785.94000200000005</v>
      </c>
      <c r="D1706">
        <v>1.4011437221713496E-2</v>
      </c>
    </row>
    <row r="1707" spans="1:4" x14ac:dyDescent="0.25">
      <c r="A1707" s="13">
        <v>42654</v>
      </c>
      <c r="B1707" t="s">
        <v>31</v>
      </c>
      <c r="C1707">
        <v>783.07000700000003</v>
      </c>
      <c r="D1707">
        <v>-3.6516718740573495E-3</v>
      </c>
    </row>
    <row r="1708" spans="1:4" x14ac:dyDescent="0.25">
      <c r="A1708" s="13">
        <v>42655</v>
      </c>
      <c r="B1708" t="s">
        <v>31</v>
      </c>
      <c r="C1708">
        <v>786.14001499999995</v>
      </c>
      <c r="D1708">
        <v>3.9204770615099971E-3</v>
      </c>
    </row>
    <row r="1709" spans="1:4" x14ac:dyDescent="0.25">
      <c r="A1709" s="13">
        <v>42656</v>
      </c>
      <c r="B1709" t="s">
        <v>31</v>
      </c>
      <c r="C1709">
        <v>778.19000200000005</v>
      </c>
      <c r="D1709">
        <v>-1.0112718915599173E-2</v>
      </c>
    </row>
    <row r="1710" spans="1:4" x14ac:dyDescent="0.25">
      <c r="A1710" s="13">
        <v>42657</v>
      </c>
      <c r="B1710" t="s">
        <v>31</v>
      </c>
      <c r="C1710">
        <v>778.53002900000001</v>
      </c>
      <c r="D1710">
        <v>4.3694598893084802E-4</v>
      </c>
    </row>
    <row r="1711" spans="1:4" x14ac:dyDescent="0.25">
      <c r="A1711" s="13">
        <v>42660</v>
      </c>
      <c r="B1711" t="s">
        <v>31</v>
      </c>
      <c r="C1711">
        <v>779.96002199999998</v>
      </c>
      <c r="D1711">
        <v>1.8367859256973595E-3</v>
      </c>
    </row>
    <row r="1712" spans="1:4" x14ac:dyDescent="0.25">
      <c r="A1712" s="13">
        <v>42661</v>
      </c>
      <c r="B1712" t="s">
        <v>31</v>
      </c>
      <c r="C1712">
        <v>795.26000999999997</v>
      </c>
      <c r="D1712">
        <v>1.9616374645417434E-2</v>
      </c>
    </row>
    <row r="1713" spans="1:4" x14ac:dyDescent="0.25">
      <c r="A1713" s="13">
        <v>42662</v>
      </c>
      <c r="B1713" t="s">
        <v>31</v>
      </c>
      <c r="C1713">
        <v>801.5</v>
      </c>
      <c r="D1713">
        <v>7.8464777827820242E-3</v>
      </c>
    </row>
    <row r="1714" spans="1:4" x14ac:dyDescent="0.25">
      <c r="A1714" s="13">
        <v>42663</v>
      </c>
      <c r="B1714" t="s">
        <v>31</v>
      </c>
      <c r="C1714">
        <v>796.96997099999999</v>
      </c>
      <c r="D1714">
        <v>-5.6519388646288915E-3</v>
      </c>
    </row>
    <row r="1715" spans="1:4" x14ac:dyDescent="0.25">
      <c r="A1715" s="13">
        <v>42664</v>
      </c>
      <c r="B1715" t="s">
        <v>31</v>
      </c>
      <c r="C1715">
        <v>799.36999500000002</v>
      </c>
      <c r="D1715">
        <v>3.0114359227217946E-3</v>
      </c>
    </row>
    <row r="1716" spans="1:4" x14ac:dyDescent="0.25">
      <c r="A1716" s="13">
        <v>42667</v>
      </c>
      <c r="B1716" t="s">
        <v>31</v>
      </c>
      <c r="C1716">
        <v>813.10998500000005</v>
      </c>
      <c r="D1716">
        <v>1.7188523569739544E-2</v>
      </c>
    </row>
    <row r="1717" spans="1:4" x14ac:dyDescent="0.25">
      <c r="A1717" s="13">
        <v>42668</v>
      </c>
      <c r="B1717" t="s">
        <v>31</v>
      </c>
      <c r="C1717">
        <v>807.669983</v>
      </c>
      <c r="D1717">
        <v>-6.6903642807929486E-3</v>
      </c>
    </row>
    <row r="1718" spans="1:4" x14ac:dyDescent="0.25">
      <c r="A1718" s="13">
        <v>42669</v>
      </c>
      <c r="B1718" t="s">
        <v>31</v>
      </c>
      <c r="C1718">
        <v>799.07000700000003</v>
      </c>
      <c r="D1718">
        <v>-1.0647883641851208E-2</v>
      </c>
    </row>
    <row r="1719" spans="1:4" x14ac:dyDescent="0.25">
      <c r="A1719" s="13">
        <v>42670</v>
      </c>
      <c r="B1719" t="s">
        <v>31</v>
      </c>
      <c r="C1719">
        <v>795.34997599999997</v>
      </c>
      <c r="D1719">
        <v>-4.6554506706695253E-3</v>
      </c>
    </row>
    <row r="1720" spans="1:4" x14ac:dyDescent="0.25">
      <c r="A1720" s="13">
        <v>42671</v>
      </c>
      <c r="B1720" t="s">
        <v>31</v>
      </c>
      <c r="C1720">
        <v>795.36999500000002</v>
      </c>
      <c r="D1720">
        <v>2.5170051680456496E-5</v>
      </c>
    </row>
    <row r="1721" spans="1:4" x14ac:dyDescent="0.25">
      <c r="A1721" s="13">
        <v>42674</v>
      </c>
      <c r="B1721" t="s">
        <v>31</v>
      </c>
      <c r="C1721">
        <v>784.53997800000002</v>
      </c>
      <c r="D1721">
        <v>-1.3616325820789865E-2</v>
      </c>
    </row>
    <row r="1722" spans="1:4" x14ac:dyDescent="0.25">
      <c r="A1722" s="13">
        <v>42675</v>
      </c>
      <c r="B1722" t="s">
        <v>31</v>
      </c>
      <c r="C1722">
        <v>783.60998500000005</v>
      </c>
      <c r="D1722">
        <v>-1.1853991206041137E-3</v>
      </c>
    </row>
    <row r="1723" spans="1:4" x14ac:dyDescent="0.25">
      <c r="A1723" s="13">
        <v>42676</v>
      </c>
      <c r="B1723" t="s">
        <v>31</v>
      </c>
      <c r="C1723">
        <v>768.70001200000002</v>
      </c>
      <c r="D1723">
        <v>-1.9027288173210311E-2</v>
      </c>
    </row>
    <row r="1724" spans="1:4" x14ac:dyDescent="0.25">
      <c r="A1724" s="13">
        <v>42677</v>
      </c>
      <c r="B1724" t="s">
        <v>31</v>
      </c>
      <c r="C1724">
        <v>762.13000499999998</v>
      </c>
      <c r="D1724">
        <v>-8.5469063320373628E-3</v>
      </c>
    </row>
    <row r="1725" spans="1:4" x14ac:dyDescent="0.25">
      <c r="A1725" s="13">
        <v>42678</v>
      </c>
      <c r="B1725" t="s">
        <v>31</v>
      </c>
      <c r="C1725">
        <v>762.02002000000005</v>
      </c>
      <c r="D1725">
        <v>-1.4431264912595498E-4</v>
      </c>
    </row>
    <row r="1726" spans="1:4" x14ac:dyDescent="0.25">
      <c r="A1726" s="13">
        <v>42681</v>
      </c>
      <c r="B1726" t="s">
        <v>31</v>
      </c>
      <c r="C1726">
        <v>782.52002000000005</v>
      </c>
      <c r="D1726">
        <v>2.6902180339041459E-2</v>
      </c>
    </row>
    <row r="1727" spans="1:4" x14ac:dyDescent="0.25">
      <c r="A1727" s="13">
        <v>42682</v>
      </c>
      <c r="B1727" t="s">
        <v>31</v>
      </c>
      <c r="C1727">
        <v>790.51000999999997</v>
      </c>
      <c r="D1727">
        <v>1.0210588605771287E-2</v>
      </c>
    </row>
    <row r="1728" spans="1:4" x14ac:dyDescent="0.25">
      <c r="A1728" s="13">
        <v>42683</v>
      </c>
      <c r="B1728" t="s">
        <v>31</v>
      </c>
      <c r="C1728">
        <v>785.30999799999995</v>
      </c>
      <c r="D1728">
        <v>-6.5780470003157232E-3</v>
      </c>
    </row>
    <row r="1729" spans="1:4" x14ac:dyDescent="0.25">
      <c r="A1729" s="13">
        <v>42684</v>
      </c>
      <c r="B1729" t="s">
        <v>31</v>
      </c>
      <c r="C1729">
        <v>762.55999799999995</v>
      </c>
      <c r="D1729">
        <v>-2.8969451627941734E-2</v>
      </c>
    </row>
    <row r="1730" spans="1:4" x14ac:dyDescent="0.25">
      <c r="A1730" s="13">
        <v>42685</v>
      </c>
      <c r="B1730" t="s">
        <v>31</v>
      </c>
      <c r="C1730">
        <v>754.02002000000005</v>
      </c>
      <c r="D1730">
        <v>-1.1199089937051654E-2</v>
      </c>
    </row>
    <row r="1731" spans="1:4" x14ac:dyDescent="0.25">
      <c r="A1731" s="13">
        <v>42688</v>
      </c>
      <c r="B1731" t="s">
        <v>31</v>
      </c>
      <c r="C1731">
        <v>736.080017</v>
      </c>
      <c r="D1731">
        <v>-2.379247569580456E-2</v>
      </c>
    </row>
    <row r="1732" spans="1:4" x14ac:dyDescent="0.25">
      <c r="A1732" s="13">
        <v>42689</v>
      </c>
      <c r="B1732" t="s">
        <v>31</v>
      </c>
      <c r="C1732">
        <v>758.48999000000003</v>
      </c>
      <c r="D1732">
        <v>3.0445022935597477E-2</v>
      </c>
    </row>
    <row r="1733" spans="1:4" x14ac:dyDescent="0.25">
      <c r="A1733" s="13">
        <v>42690</v>
      </c>
      <c r="B1733" t="s">
        <v>31</v>
      </c>
      <c r="C1733">
        <v>764.47997999999995</v>
      </c>
      <c r="D1733">
        <v>7.8972564951054203E-3</v>
      </c>
    </row>
    <row r="1734" spans="1:4" x14ac:dyDescent="0.25">
      <c r="A1734" s="13">
        <v>42691</v>
      </c>
      <c r="B1734" t="s">
        <v>31</v>
      </c>
      <c r="C1734">
        <v>771.22997999999995</v>
      </c>
      <c r="D1734">
        <v>8.829531415590397E-3</v>
      </c>
    </row>
    <row r="1735" spans="1:4" x14ac:dyDescent="0.25">
      <c r="A1735" s="13">
        <v>42692</v>
      </c>
      <c r="B1735" t="s">
        <v>31</v>
      </c>
      <c r="C1735">
        <v>760.53997800000002</v>
      </c>
      <c r="D1735">
        <v>-1.3860978277841274E-2</v>
      </c>
    </row>
    <row r="1736" spans="1:4" x14ac:dyDescent="0.25">
      <c r="A1736" s="13">
        <v>42695</v>
      </c>
      <c r="B1736" t="s">
        <v>31</v>
      </c>
      <c r="C1736">
        <v>769.20001200000002</v>
      </c>
      <c r="D1736">
        <v>1.1386691364697832E-2</v>
      </c>
    </row>
    <row r="1737" spans="1:4" x14ac:dyDescent="0.25">
      <c r="A1737" s="13">
        <v>42696</v>
      </c>
      <c r="B1737" t="s">
        <v>31</v>
      </c>
      <c r="C1737">
        <v>768.27002000000005</v>
      </c>
      <c r="D1737">
        <v>-1.2090379426566988E-3</v>
      </c>
    </row>
    <row r="1738" spans="1:4" x14ac:dyDescent="0.25">
      <c r="A1738" s="13">
        <v>42697</v>
      </c>
      <c r="B1738" t="s">
        <v>31</v>
      </c>
      <c r="C1738">
        <v>760.98999000000003</v>
      </c>
      <c r="D1738">
        <v>-9.4758741204036268E-3</v>
      </c>
    </row>
    <row r="1739" spans="1:4" x14ac:dyDescent="0.25">
      <c r="A1739" s="13">
        <v>42699</v>
      </c>
      <c r="B1739" t="s">
        <v>31</v>
      </c>
      <c r="C1739">
        <v>761.67999299999997</v>
      </c>
      <c r="D1739">
        <v>9.0671757719174018E-4</v>
      </c>
    </row>
    <row r="1740" spans="1:4" x14ac:dyDescent="0.25">
      <c r="A1740" s="13">
        <v>42702</v>
      </c>
      <c r="B1740" t="s">
        <v>31</v>
      </c>
      <c r="C1740">
        <v>768.23999000000003</v>
      </c>
      <c r="D1740">
        <v>8.6125368399956326E-3</v>
      </c>
    </row>
    <row r="1741" spans="1:4" x14ac:dyDescent="0.25">
      <c r="A1741" s="13">
        <v>42703</v>
      </c>
      <c r="B1741" t="s">
        <v>31</v>
      </c>
      <c r="C1741">
        <v>770.84002699999996</v>
      </c>
      <c r="D1741">
        <v>3.384407260548894E-3</v>
      </c>
    </row>
    <row r="1742" spans="1:4" x14ac:dyDescent="0.25">
      <c r="A1742" s="13">
        <v>42704</v>
      </c>
      <c r="B1742" t="s">
        <v>31</v>
      </c>
      <c r="C1742">
        <v>758.03997800000002</v>
      </c>
      <c r="D1742">
        <v>-1.6605324777718034E-2</v>
      </c>
    </row>
    <row r="1743" spans="1:4" x14ac:dyDescent="0.25">
      <c r="A1743" s="13">
        <v>42705</v>
      </c>
      <c r="B1743" t="s">
        <v>31</v>
      </c>
      <c r="C1743">
        <v>747.919983</v>
      </c>
      <c r="D1743">
        <v>-1.3350212777300308E-2</v>
      </c>
    </row>
    <row r="1744" spans="1:4" x14ac:dyDescent="0.25">
      <c r="A1744" s="13">
        <v>42706</v>
      </c>
      <c r="B1744" t="s">
        <v>31</v>
      </c>
      <c r="C1744">
        <v>750.5</v>
      </c>
      <c r="D1744">
        <v>3.4495896066999432E-3</v>
      </c>
    </row>
    <row r="1745" spans="1:4" x14ac:dyDescent="0.25">
      <c r="A1745" s="13">
        <v>42709</v>
      </c>
      <c r="B1745" t="s">
        <v>31</v>
      </c>
      <c r="C1745">
        <v>762.52002000000005</v>
      </c>
      <c r="D1745">
        <v>1.6016015989340548E-2</v>
      </c>
    </row>
    <row r="1746" spans="1:4" x14ac:dyDescent="0.25">
      <c r="A1746" s="13">
        <v>42710</v>
      </c>
      <c r="B1746" t="s">
        <v>31</v>
      </c>
      <c r="C1746">
        <v>759.10998500000005</v>
      </c>
      <c r="D1746">
        <v>-4.4720596319556272E-3</v>
      </c>
    </row>
    <row r="1747" spans="1:4" x14ac:dyDescent="0.25">
      <c r="A1747" s="13">
        <v>42711</v>
      </c>
      <c r="B1747" t="s">
        <v>31</v>
      </c>
      <c r="C1747">
        <v>771.19000200000005</v>
      </c>
      <c r="D1747">
        <v>1.5913394947637327E-2</v>
      </c>
    </row>
    <row r="1748" spans="1:4" x14ac:dyDescent="0.25">
      <c r="A1748" s="13">
        <v>42712</v>
      </c>
      <c r="B1748" t="s">
        <v>31</v>
      </c>
      <c r="C1748">
        <v>776.419983</v>
      </c>
      <c r="D1748">
        <v>6.7817022866434318E-3</v>
      </c>
    </row>
    <row r="1749" spans="1:4" x14ac:dyDescent="0.25">
      <c r="A1749" s="13">
        <v>42713</v>
      </c>
      <c r="B1749" t="s">
        <v>31</v>
      </c>
      <c r="C1749">
        <v>789.28997800000002</v>
      </c>
      <c r="D1749">
        <v>1.6576073879850162E-2</v>
      </c>
    </row>
    <row r="1750" spans="1:4" x14ac:dyDescent="0.25">
      <c r="A1750" s="13">
        <v>42716</v>
      </c>
      <c r="B1750" t="s">
        <v>31</v>
      </c>
      <c r="C1750">
        <v>789.27002000000005</v>
      </c>
      <c r="D1750">
        <v>-2.5286017251269222E-5</v>
      </c>
    </row>
    <row r="1751" spans="1:4" x14ac:dyDescent="0.25">
      <c r="A1751" s="13">
        <v>42717</v>
      </c>
      <c r="B1751" t="s">
        <v>31</v>
      </c>
      <c r="C1751">
        <v>796.09997599999997</v>
      </c>
      <c r="D1751">
        <v>8.6535099863540577E-3</v>
      </c>
    </row>
    <row r="1752" spans="1:4" x14ac:dyDescent="0.25">
      <c r="A1752" s="13">
        <v>42718</v>
      </c>
      <c r="B1752" t="s">
        <v>31</v>
      </c>
      <c r="C1752">
        <v>797.07000700000003</v>
      </c>
      <c r="D1752">
        <v>1.2184788710507544E-3</v>
      </c>
    </row>
    <row r="1753" spans="1:4" x14ac:dyDescent="0.25">
      <c r="A1753" s="13">
        <v>42719</v>
      </c>
      <c r="B1753" t="s">
        <v>31</v>
      </c>
      <c r="C1753">
        <v>797.84997599999997</v>
      </c>
      <c r="D1753">
        <v>9.785451630974773E-4</v>
      </c>
    </row>
    <row r="1754" spans="1:4" x14ac:dyDescent="0.25">
      <c r="A1754" s="13">
        <v>42720</v>
      </c>
      <c r="B1754" t="s">
        <v>31</v>
      </c>
      <c r="C1754">
        <v>790.79998799999998</v>
      </c>
      <c r="D1754">
        <v>-8.8362326403077507E-3</v>
      </c>
    </row>
    <row r="1755" spans="1:4" x14ac:dyDescent="0.25">
      <c r="A1755" s="13">
        <v>42723</v>
      </c>
      <c r="B1755" t="s">
        <v>31</v>
      </c>
      <c r="C1755">
        <v>794.20001200000002</v>
      </c>
      <c r="D1755">
        <v>4.2994740156723221E-3</v>
      </c>
    </row>
    <row r="1756" spans="1:4" x14ac:dyDescent="0.25">
      <c r="A1756" s="13">
        <v>42724</v>
      </c>
      <c r="B1756" t="s">
        <v>31</v>
      </c>
      <c r="C1756">
        <v>796.419983</v>
      </c>
      <c r="D1756">
        <v>2.795229119185727E-3</v>
      </c>
    </row>
    <row r="1757" spans="1:4" x14ac:dyDescent="0.25">
      <c r="A1757" s="13">
        <v>42725</v>
      </c>
      <c r="B1757" t="s">
        <v>31</v>
      </c>
      <c r="C1757">
        <v>794.55999799999995</v>
      </c>
      <c r="D1757">
        <v>-2.3354323594364512E-3</v>
      </c>
    </row>
    <row r="1758" spans="1:4" x14ac:dyDescent="0.25">
      <c r="A1758" s="13">
        <v>42726</v>
      </c>
      <c r="B1758" t="s">
        <v>31</v>
      </c>
      <c r="C1758">
        <v>791.26000999999997</v>
      </c>
      <c r="D1758">
        <v>-4.1532269536680433E-3</v>
      </c>
    </row>
    <row r="1759" spans="1:4" x14ac:dyDescent="0.25">
      <c r="A1759" s="13">
        <v>42727</v>
      </c>
      <c r="B1759" t="s">
        <v>31</v>
      </c>
      <c r="C1759">
        <v>789.90997300000004</v>
      </c>
      <c r="D1759">
        <v>-1.7061863141547562E-3</v>
      </c>
    </row>
    <row r="1760" spans="1:4" x14ac:dyDescent="0.25">
      <c r="A1760" s="13">
        <v>42731</v>
      </c>
      <c r="B1760" t="s">
        <v>31</v>
      </c>
      <c r="C1760">
        <v>791.54998799999998</v>
      </c>
      <c r="D1760">
        <v>2.076204955067551E-3</v>
      </c>
    </row>
    <row r="1761" spans="1:4" x14ac:dyDescent="0.25">
      <c r="A1761" s="13">
        <v>42732</v>
      </c>
      <c r="B1761" t="s">
        <v>31</v>
      </c>
      <c r="C1761">
        <v>785.04998799999998</v>
      </c>
      <c r="D1761">
        <v>-8.2117365909175621E-3</v>
      </c>
    </row>
    <row r="1762" spans="1:4" x14ac:dyDescent="0.25">
      <c r="A1762" s="13">
        <v>42733</v>
      </c>
      <c r="B1762" t="s">
        <v>31</v>
      </c>
      <c r="C1762">
        <v>782.78997800000002</v>
      </c>
      <c r="D1762">
        <v>-2.8788103108664531E-3</v>
      </c>
    </row>
    <row r="1763" spans="1:4" x14ac:dyDescent="0.25">
      <c r="A1763" s="13">
        <v>42734</v>
      </c>
      <c r="B1763" t="s">
        <v>31</v>
      </c>
      <c r="C1763">
        <v>771.82000700000003</v>
      </c>
      <c r="D1763">
        <v>-1.4013938998079456E-2</v>
      </c>
    </row>
  </sheetData>
  <autoFilter ref="A1:D1763" xr:uid="{A17F5279-4F6B-4A7A-A735-B76F6709E32F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610C8-D5CE-4D66-AAF9-40BCCBF8740A}">
  <sheetPr codeName="Feuil2"/>
  <dimension ref="A1:E1659"/>
  <sheetViews>
    <sheetView zoomScale="64" workbookViewId="0">
      <selection activeCell="A2" sqref="A2:D1659"/>
    </sheetView>
  </sheetViews>
  <sheetFormatPr baseColWidth="10" defaultRowHeight="15" x14ac:dyDescent="0.25"/>
  <cols>
    <col min="1" max="1" width="11.42578125" style="13"/>
    <col min="3" max="3" width="7.140625" bestFit="1" customWidth="1"/>
    <col min="4" max="4" width="14.42578125" bestFit="1" customWidth="1"/>
    <col min="5" max="5" width="11.5703125" bestFit="1" customWidth="1"/>
  </cols>
  <sheetData>
    <row r="1" spans="1:5" ht="18.75" x14ac:dyDescent="0.3">
      <c r="A1" s="31" t="s">
        <v>28</v>
      </c>
      <c r="B1" s="29" t="s">
        <v>41</v>
      </c>
      <c r="C1" s="29" t="s">
        <v>27</v>
      </c>
      <c r="D1" s="29" t="s">
        <v>42</v>
      </c>
    </row>
    <row r="2" spans="1:5" x14ac:dyDescent="0.25">
      <c r="A2" s="13">
        <v>40269</v>
      </c>
      <c r="B2" t="s">
        <v>31</v>
      </c>
      <c r="C2">
        <v>283.33846790000001</v>
      </c>
      <c r="D2">
        <v>2.962299185961248E-3</v>
      </c>
      <c r="E2">
        <f>IF(D2&gt;0,1,0)</f>
        <v>1</v>
      </c>
    </row>
    <row r="3" spans="1:5" x14ac:dyDescent="0.25">
      <c r="A3" s="13">
        <v>40273</v>
      </c>
      <c r="B3" t="s">
        <v>31</v>
      </c>
      <c r="C3">
        <v>284.43933060000001</v>
      </c>
      <c r="D3">
        <v>3.8853273548036249E-3</v>
      </c>
      <c r="E3">
        <f t="shared" ref="E3:E66" si="0">IF(D3&gt;0,1,0)</f>
        <v>1</v>
      </c>
    </row>
    <row r="4" spans="1:5" x14ac:dyDescent="0.25">
      <c r="A4" s="13">
        <v>40274</v>
      </c>
      <c r="B4" t="s">
        <v>31</v>
      </c>
      <c r="C4">
        <v>283.0495578</v>
      </c>
      <c r="D4">
        <v>-4.8860078424048936E-3</v>
      </c>
      <c r="E4">
        <f t="shared" si="0"/>
        <v>0</v>
      </c>
    </row>
    <row r="5" spans="1:5" x14ac:dyDescent="0.25">
      <c r="A5" s="13">
        <v>40275</v>
      </c>
      <c r="B5" t="s">
        <v>31</v>
      </c>
      <c r="C5">
        <v>280.71828549999998</v>
      </c>
      <c r="D5">
        <v>-8.2362690057522503E-3</v>
      </c>
      <c r="E5">
        <f t="shared" si="0"/>
        <v>0</v>
      </c>
    </row>
    <row r="6" spans="1:5" x14ac:dyDescent="0.25">
      <c r="A6" s="13">
        <v>40276</v>
      </c>
      <c r="B6" t="s">
        <v>31</v>
      </c>
      <c r="C6">
        <v>282.68590929999999</v>
      </c>
      <c r="D6">
        <v>7.00924699826877E-3</v>
      </c>
      <c r="E6">
        <f t="shared" si="0"/>
        <v>1</v>
      </c>
    </row>
    <row r="7" spans="1:5" x14ac:dyDescent="0.25">
      <c r="A7" s="13">
        <v>40277</v>
      </c>
      <c r="B7" t="s">
        <v>31</v>
      </c>
      <c r="C7">
        <v>282.0532791</v>
      </c>
      <c r="D7">
        <v>-2.2379261901187553E-3</v>
      </c>
      <c r="E7">
        <f t="shared" si="0"/>
        <v>0</v>
      </c>
    </row>
    <row r="8" spans="1:5" x14ac:dyDescent="0.25">
      <c r="A8" s="13">
        <v>40280</v>
      </c>
      <c r="B8" t="s">
        <v>31</v>
      </c>
      <c r="C8">
        <v>285.29614350000003</v>
      </c>
      <c r="D8">
        <v>1.1497346920935181E-2</v>
      </c>
      <c r="E8">
        <f t="shared" si="0"/>
        <v>1</v>
      </c>
    </row>
    <row r="9" spans="1:5" x14ac:dyDescent="0.25">
      <c r="A9" s="13">
        <v>40281</v>
      </c>
      <c r="B9" t="s">
        <v>31</v>
      </c>
      <c r="C9">
        <v>292.28993009999999</v>
      </c>
      <c r="D9">
        <v>2.4514129473327317E-2</v>
      </c>
      <c r="E9">
        <f t="shared" si="0"/>
        <v>1</v>
      </c>
    </row>
    <row r="10" spans="1:5" x14ac:dyDescent="0.25">
      <c r="A10" s="13">
        <v>40282</v>
      </c>
      <c r="B10" t="s">
        <v>31</v>
      </c>
      <c r="C10">
        <v>293.4007719</v>
      </c>
      <c r="D10">
        <v>3.800479200976703E-3</v>
      </c>
      <c r="E10">
        <f t="shared" si="0"/>
        <v>1</v>
      </c>
    </row>
    <row r="11" spans="1:5" x14ac:dyDescent="0.25">
      <c r="A11" s="13">
        <v>40283</v>
      </c>
      <c r="B11" t="s">
        <v>31</v>
      </c>
      <c r="C11">
        <v>296.53902140000002</v>
      </c>
      <c r="D11">
        <v>1.0696118758234396E-2</v>
      </c>
      <c r="E11">
        <f t="shared" si="0"/>
        <v>1</v>
      </c>
    </row>
    <row r="12" spans="1:5" x14ac:dyDescent="0.25">
      <c r="A12" s="13">
        <v>40284</v>
      </c>
      <c r="B12" t="s">
        <v>31</v>
      </c>
      <c r="C12">
        <v>274.04826029999998</v>
      </c>
      <c r="D12">
        <v>-7.5844187364678572E-2</v>
      </c>
      <c r="E12">
        <f t="shared" si="0"/>
        <v>0</v>
      </c>
    </row>
    <row r="13" spans="1:5" x14ac:dyDescent="0.25">
      <c r="A13" s="13">
        <v>40287</v>
      </c>
      <c r="B13" t="s">
        <v>31</v>
      </c>
      <c r="C13">
        <v>274.02335820000002</v>
      </c>
      <c r="D13">
        <v>-9.0867571911235068E-5</v>
      </c>
      <c r="E13">
        <f t="shared" si="0"/>
        <v>0</v>
      </c>
    </row>
    <row r="14" spans="1:5" x14ac:dyDescent="0.25">
      <c r="A14" s="13">
        <v>40288</v>
      </c>
      <c r="B14" t="s">
        <v>31</v>
      </c>
      <c r="C14">
        <v>276.48414700000001</v>
      </c>
      <c r="D14">
        <v>8.9802154683613633E-3</v>
      </c>
      <c r="E14">
        <f t="shared" si="0"/>
        <v>1</v>
      </c>
    </row>
    <row r="15" spans="1:5" x14ac:dyDescent="0.25">
      <c r="A15" s="13">
        <v>40289</v>
      </c>
      <c r="B15" t="s">
        <v>31</v>
      </c>
      <c r="C15">
        <v>276.11552469999998</v>
      </c>
      <c r="D15">
        <v>-1.3332493164609494E-3</v>
      </c>
      <c r="E15">
        <f t="shared" si="0"/>
        <v>0</v>
      </c>
    </row>
    <row r="16" spans="1:5" x14ac:dyDescent="0.25">
      <c r="A16" s="13">
        <v>40290</v>
      </c>
      <c r="B16" t="s">
        <v>31</v>
      </c>
      <c r="C16">
        <v>272.50904270000001</v>
      </c>
      <c r="D16">
        <v>-1.3061496646805448E-2</v>
      </c>
      <c r="E16">
        <f t="shared" si="0"/>
        <v>0</v>
      </c>
    </row>
    <row r="17" spans="1:5" x14ac:dyDescent="0.25">
      <c r="A17" s="13">
        <v>40291</v>
      </c>
      <c r="B17" t="s">
        <v>31</v>
      </c>
      <c r="C17">
        <v>271.47791310000002</v>
      </c>
      <c r="D17">
        <v>-3.7838362712063756E-3</v>
      </c>
      <c r="E17">
        <f t="shared" si="0"/>
        <v>0</v>
      </c>
    </row>
    <row r="18" spans="1:5" x14ac:dyDescent="0.25">
      <c r="A18" s="13">
        <v>40294</v>
      </c>
      <c r="B18" t="s">
        <v>31</v>
      </c>
      <c r="C18">
        <v>264.82781629999999</v>
      </c>
      <c r="D18">
        <v>-2.4495903641157168E-2</v>
      </c>
      <c r="E18">
        <f t="shared" si="0"/>
        <v>0</v>
      </c>
    </row>
    <row r="19" spans="1:5" x14ac:dyDescent="0.25">
      <c r="A19" s="13">
        <v>40295</v>
      </c>
      <c r="B19" t="s">
        <v>31</v>
      </c>
      <c r="C19">
        <v>263.54262699999998</v>
      </c>
      <c r="D19">
        <v>-4.8529241299340997E-3</v>
      </c>
      <c r="E19">
        <f t="shared" si="0"/>
        <v>0</v>
      </c>
    </row>
    <row r="20" spans="1:5" x14ac:dyDescent="0.25">
      <c r="A20" s="13">
        <v>40296</v>
      </c>
      <c r="B20" t="s">
        <v>31</v>
      </c>
      <c r="C20">
        <v>263.60738579999997</v>
      </c>
      <c r="D20">
        <v>2.4572419550183966E-4</v>
      </c>
      <c r="E20">
        <f t="shared" si="0"/>
        <v>1</v>
      </c>
    </row>
    <row r="21" spans="1:5" x14ac:dyDescent="0.25">
      <c r="A21" s="13">
        <v>40297</v>
      </c>
      <c r="B21" t="s">
        <v>31</v>
      </c>
      <c r="C21">
        <v>265.00713769999999</v>
      </c>
      <c r="D21">
        <v>5.3099874108308853E-3</v>
      </c>
      <c r="E21">
        <f t="shared" si="0"/>
        <v>1</v>
      </c>
    </row>
    <row r="22" spans="1:5" x14ac:dyDescent="0.25">
      <c r="A22" s="13">
        <v>40298</v>
      </c>
      <c r="B22" t="s">
        <v>31</v>
      </c>
      <c r="C22">
        <v>261.86888759999999</v>
      </c>
      <c r="D22">
        <v>-1.1842134243012836E-2</v>
      </c>
      <c r="E22">
        <f t="shared" si="0"/>
        <v>0</v>
      </c>
    </row>
    <row r="23" spans="1:5" x14ac:dyDescent="0.25">
      <c r="A23" s="13">
        <v>40301</v>
      </c>
      <c r="B23" t="s">
        <v>31</v>
      </c>
      <c r="C23">
        <v>264.3097487</v>
      </c>
      <c r="D23">
        <v>9.3209282033090979E-3</v>
      </c>
      <c r="E23">
        <f t="shared" si="0"/>
        <v>1</v>
      </c>
    </row>
    <row r="24" spans="1:5" x14ac:dyDescent="0.25">
      <c r="A24" s="13">
        <v>40302</v>
      </c>
      <c r="B24" t="s">
        <v>31</v>
      </c>
      <c r="C24">
        <v>252.2399801</v>
      </c>
      <c r="D24">
        <v>-4.5665241858708683E-2</v>
      </c>
      <c r="E24">
        <f t="shared" si="0"/>
        <v>0</v>
      </c>
    </row>
    <row r="25" spans="1:5" x14ac:dyDescent="0.25">
      <c r="A25" s="13">
        <v>40303</v>
      </c>
      <c r="B25" t="s">
        <v>31</v>
      </c>
      <c r="C25">
        <v>253.92864259999999</v>
      </c>
      <c r="D25">
        <v>6.6946663226445935E-3</v>
      </c>
      <c r="E25">
        <f t="shared" si="0"/>
        <v>1</v>
      </c>
    </row>
    <row r="26" spans="1:5" x14ac:dyDescent="0.25">
      <c r="A26" s="13">
        <v>40304</v>
      </c>
      <c r="B26" t="s">
        <v>31</v>
      </c>
      <c r="C26">
        <v>248.40434149999999</v>
      </c>
      <c r="D26">
        <v>-2.175532875470898E-2</v>
      </c>
      <c r="E26">
        <f t="shared" si="0"/>
        <v>0</v>
      </c>
    </row>
    <row r="27" spans="1:5" x14ac:dyDescent="0.25">
      <c r="A27" s="13">
        <v>40305</v>
      </c>
      <c r="B27" t="s">
        <v>31</v>
      </c>
      <c r="C27">
        <v>245.64966720000001</v>
      </c>
      <c r="D27">
        <v>-1.1089477274695558E-2</v>
      </c>
      <c r="E27">
        <f t="shared" si="0"/>
        <v>0</v>
      </c>
    </row>
    <row r="28" spans="1:5" x14ac:dyDescent="0.25">
      <c r="A28" s="13">
        <v>40308</v>
      </c>
      <c r="B28" t="s">
        <v>31</v>
      </c>
      <c r="C28">
        <v>259.85145890000001</v>
      </c>
      <c r="D28">
        <v>5.7813193324774081E-2</v>
      </c>
      <c r="E28">
        <f t="shared" si="0"/>
        <v>1</v>
      </c>
    </row>
    <row r="29" spans="1:5" x14ac:dyDescent="0.25">
      <c r="A29" s="13">
        <v>40309</v>
      </c>
      <c r="B29" t="s">
        <v>31</v>
      </c>
      <c r="C29">
        <v>253.57497369999999</v>
      </c>
      <c r="D29">
        <v>-2.4154127233187661E-2</v>
      </c>
      <c r="E29">
        <f t="shared" si="0"/>
        <v>0</v>
      </c>
    </row>
    <row r="30" spans="1:5" x14ac:dyDescent="0.25">
      <c r="A30" s="13">
        <v>40310</v>
      </c>
      <c r="B30" t="s">
        <v>31</v>
      </c>
      <c r="C30">
        <v>251.7518049</v>
      </c>
      <c r="D30">
        <v>-7.1898609448618478E-3</v>
      </c>
      <c r="E30">
        <f t="shared" si="0"/>
        <v>0</v>
      </c>
    </row>
    <row r="31" spans="1:5" x14ac:dyDescent="0.25">
      <c r="A31" s="13">
        <v>40311</v>
      </c>
      <c r="B31" t="s">
        <v>31</v>
      </c>
      <c r="C31">
        <v>254.48656639999999</v>
      </c>
      <c r="D31">
        <v>1.0862927084420715E-2</v>
      </c>
      <c r="E31">
        <f t="shared" si="0"/>
        <v>1</v>
      </c>
    </row>
    <row r="32" spans="1:5" x14ac:dyDescent="0.25">
      <c r="A32" s="13">
        <v>40312</v>
      </c>
      <c r="B32" t="s">
        <v>31</v>
      </c>
      <c r="C32">
        <v>252.8178163</v>
      </c>
      <c r="D32">
        <v>-6.5573209761377038E-3</v>
      </c>
      <c r="E32">
        <f t="shared" si="0"/>
        <v>0</v>
      </c>
    </row>
    <row r="33" spans="1:5" x14ac:dyDescent="0.25">
      <c r="A33" s="13">
        <v>40315</v>
      </c>
      <c r="B33" t="s">
        <v>31</v>
      </c>
      <c r="C33">
        <v>253.03699370000001</v>
      </c>
      <c r="D33">
        <v>8.6693811064297854E-4</v>
      </c>
      <c r="E33">
        <f t="shared" si="0"/>
        <v>1</v>
      </c>
    </row>
    <row r="34" spans="1:5" x14ac:dyDescent="0.25">
      <c r="A34" s="13">
        <v>40316</v>
      </c>
      <c r="B34" t="s">
        <v>31</v>
      </c>
      <c r="C34">
        <v>248.25491160000001</v>
      </c>
      <c r="D34">
        <v>-1.8898746898920349E-2</v>
      </c>
      <c r="E34">
        <f t="shared" si="0"/>
        <v>0</v>
      </c>
    </row>
    <row r="35" spans="1:5" x14ac:dyDescent="0.25">
      <c r="A35" s="13">
        <v>40317</v>
      </c>
      <c r="B35" t="s">
        <v>31</v>
      </c>
      <c r="C35">
        <v>246.29226209999999</v>
      </c>
      <c r="D35">
        <v>-7.9057831619554486E-3</v>
      </c>
      <c r="E35">
        <f t="shared" si="0"/>
        <v>0</v>
      </c>
    </row>
    <row r="36" spans="1:5" x14ac:dyDescent="0.25">
      <c r="A36" s="13">
        <v>40318</v>
      </c>
      <c r="B36" t="s">
        <v>31</v>
      </c>
      <c r="C36">
        <v>236.61850870000001</v>
      </c>
      <c r="D36">
        <v>-3.9277536847959205E-2</v>
      </c>
      <c r="E36">
        <f t="shared" si="0"/>
        <v>0</v>
      </c>
    </row>
    <row r="37" spans="1:5" x14ac:dyDescent="0.25">
      <c r="A37" s="13">
        <v>40319</v>
      </c>
      <c r="B37" t="s">
        <v>31</v>
      </c>
      <c r="C37">
        <v>235.14403390000001</v>
      </c>
      <c r="D37">
        <v>-6.2314432125402108E-3</v>
      </c>
      <c r="E37">
        <f t="shared" si="0"/>
        <v>0</v>
      </c>
    </row>
    <row r="38" spans="1:5" x14ac:dyDescent="0.25">
      <c r="A38" s="13">
        <v>40322</v>
      </c>
      <c r="B38" t="s">
        <v>31</v>
      </c>
      <c r="C38">
        <v>237.6894944</v>
      </c>
      <c r="D38">
        <v>1.0825111986819458E-2</v>
      </c>
      <c r="E38">
        <f t="shared" si="0"/>
        <v>1</v>
      </c>
    </row>
    <row r="39" spans="1:5" x14ac:dyDescent="0.25">
      <c r="A39" s="13">
        <v>40323</v>
      </c>
      <c r="B39" t="s">
        <v>31</v>
      </c>
      <c r="C39">
        <v>237.64466400000001</v>
      </c>
      <c r="D39">
        <v>-1.8860909319173835E-4</v>
      </c>
      <c r="E39">
        <f t="shared" si="0"/>
        <v>0</v>
      </c>
    </row>
    <row r="40" spans="1:5" x14ac:dyDescent="0.25">
      <c r="A40" s="13">
        <v>40324</v>
      </c>
      <c r="B40" t="s">
        <v>31</v>
      </c>
      <c r="C40">
        <v>236.84765039999999</v>
      </c>
      <c r="D40">
        <v>-3.3538038960555516E-3</v>
      </c>
      <c r="E40">
        <f t="shared" si="0"/>
        <v>0</v>
      </c>
    </row>
    <row r="41" spans="1:5" x14ac:dyDescent="0.25">
      <c r="A41" s="13">
        <v>40325</v>
      </c>
      <c r="B41" t="s">
        <v>31</v>
      </c>
      <c r="C41">
        <v>244.31467359999999</v>
      </c>
      <c r="D41">
        <v>3.1526693160727204E-2</v>
      </c>
      <c r="E41">
        <f t="shared" si="0"/>
        <v>1</v>
      </c>
    </row>
    <row r="42" spans="1:5" x14ac:dyDescent="0.25">
      <c r="A42" s="13">
        <v>40326</v>
      </c>
      <c r="B42" t="s">
        <v>31</v>
      </c>
      <c r="C42">
        <v>241.90867890000001</v>
      </c>
      <c r="D42">
        <v>-9.8479336690974195E-3</v>
      </c>
      <c r="E42">
        <f t="shared" si="0"/>
        <v>0</v>
      </c>
    </row>
    <row r="43" spans="1:5" x14ac:dyDescent="0.25">
      <c r="A43" s="13">
        <v>40330</v>
      </c>
      <c r="B43" t="s">
        <v>31</v>
      </c>
      <c r="C43">
        <v>240.28477470000001</v>
      </c>
      <c r="D43">
        <v>-6.7128811061437643E-3</v>
      </c>
      <c r="E43">
        <f t="shared" si="0"/>
        <v>0</v>
      </c>
    </row>
    <row r="44" spans="1:5" x14ac:dyDescent="0.25">
      <c r="A44" s="13">
        <v>40331</v>
      </c>
      <c r="B44" t="s">
        <v>31</v>
      </c>
      <c r="C44">
        <v>245.7642458</v>
      </c>
      <c r="D44">
        <v>2.2804071156157235E-2</v>
      </c>
      <c r="E44">
        <f t="shared" si="0"/>
        <v>1</v>
      </c>
    </row>
    <row r="45" spans="1:5" x14ac:dyDescent="0.25">
      <c r="A45" s="13">
        <v>40332</v>
      </c>
      <c r="B45" t="s">
        <v>31</v>
      </c>
      <c r="C45">
        <v>251.8564193</v>
      </c>
      <c r="D45">
        <v>2.4788689177178913E-2</v>
      </c>
      <c r="E45">
        <f t="shared" si="0"/>
        <v>1</v>
      </c>
    </row>
    <row r="46" spans="1:5" x14ac:dyDescent="0.25">
      <c r="A46" s="13">
        <v>40333</v>
      </c>
      <c r="B46" t="s">
        <v>31</v>
      </c>
      <c r="C46">
        <v>248.4292591</v>
      </c>
      <c r="D46">
        <v>-1.3607595190646027E-2</v>
      </c>
      <c r="E46">
        <f t="shared" si="0"/>
        <v>0</v>
      </c>
    </row>
    <row r="47" spans="1:5" x14ac:dyDescent="0.25">
      <c r="A47" s="13">
        <v>40336</v>
      </c>
      <c r="B47" t="s">
        <v>31</v>
      </c>
      <c r="C47">
        <v>241.8538848</v>
      </c>
      <c r="D47">
        <v>-2.6467793382393912E-2</v>
      </c>
      <c r="E47">
        <f t="shared" si="0"/>
        <v>0</v>
      </c>
    </row>
    <row r="48" spans="1:5" x14ac:dyDescent="0.25">
      <c r="A48" s="13">
        <v>40337</v>
      </c>
      <c r="B48" t="s">
        <v>31</v>
      </c>
      <c r="C48">
        <v>241.48526200000001</v>
      </c>
      <c r="D48">
        <v>-1.5241549678014499E-3</v>
      </c>
      <c r="E48">
        <f t="shared" si="0"/>
        <v>0</v>
      </c>
    </row>
    <row r="49" spans="1:5" x14ac:dyDescent="0.25">
      <c r="A49" s="13">
        <v>40338</v>
      </c>
      <c r="B49" t="s">
        <v>31</v>
      </c>
      <c r="C49">
        <v>236.1253437</v>
      </c>
      <c r="D49">
        <v>-2.2195633205971843E-2</v>
      </c>
      <c r="E49">
        <f t="shared" si="0"/>
        <v>0</v>
      </c>
    </row>
    <row r="50" spans="1:5" x14ac:dyDescent="0.25">
      <c r="A50" s="13">
        <v>40339</v>
      </c>
      <c r="B50" t="s">
        <v>31</v>
      </c>
      <c r="C50">
        <v>242.59610369999999</v>
      </c>
      <c r="D50">
        <v>2.7403919878338678E-2</v>
      </c>
      <c r="E50">
        <f t="shared" si="0"/>
        <v>1</v>
      </c>
    </row>
    <row r="51" spans="1:5" x14ac:dyDescent="0.25">
      <c r="A51" s="13">
        <v>40340</v>
      </c>
      <c r="B51" t="s">
        <v>31</v>
      </c>
      <c r="C51">
        <v>243.33832319999999</v>
      </c>
      <c r="D51">
        <v>3.0594864825934653E-3</v>
      </c>
      <c r="E51">
        <f t="shared" si="0"/>
        <v>1</v>
      </c>
    </row>
    <row r="52" spans="1:5" x14ac:dyDescent="0.25">
      <c r="A52" s="13">
        <v>40343</v>
      </c>
      <c r="B52" t="s">
        <v>31</v>
      </c>
      <c r="C52">
        <v>240.6932382</v>
      </c>
      <c r="D52">
        <v>-1.0869989425488003E-2</v>
      </c>
      <c r="E52">
        <f t="shared" si="0"/>
        <v>0</v>
      </c>
    </row>
    <row r="53" spans="1:5" x14ac:dyDescent="0.25">
      <c r="A53" s="13">
        <v>40344</v>
      </c>
      <c r="B53" t="s">
        <v>31</v>
      </c>
      <c r="C53">
        <v>248.06561070000001</v>
      </c>
      <c r="D53">
        <v>3.0629744961402139E-2</v>
      </c>
      <c r="E53">
        <f t="shared" si="0"/>
        <v>1</v>
      </c>
    </row>
    <row r="54" spans="1:5" x14ac:dyDescent="0.25">
      <c r="A54" s="13">
        <v>40345</v>
      </c>
      <c r="B54" t="s">
        <v>31</v>
      </c>
      <c r="C54">
        <v>249.69949449999999</v>
      </c>
      <c r="D54">
        <v>6.5864986097405875E-3</v>
      </c>
      <c r="E54">
        <f t="shared" si="0"/>
        <v>1</v>
      </c>
    </row>
    <row r="55" spans="1:5" x14ac:dyDescent="0.25">
      <c r="A55" s="13">
        <v>40346</v>
      </c>
      <c r="B55" t="s">
        <v>31</v>
      </c>
      <c r="C55">
        <v>249.1067199</v>
      </c>
      <c r="D55">
        <v>-2.373951942461705E-3</v>
      </c>
      <c r="E55">
        <f t="shared" si="0"/>
        <v>0</v>
      </c>
    </row>
    <row r="56" spans="1:5" x14ac:dyDescent="0.25">
      <c r="A56" s="13">
        <v>40347</v>
      </c>
      <c r="B56" t="s">
        <v>31</v>
      </c>
      <c r="C56">
        <v>249.08180229999999</v>
      </c>
      <c r="D56">
        <v>-1.0002781141360551E-4</v>
      </c>
      <c r="E56">
        <f t="shared" si="0"/>
        <v>0</v>
      </c>
    </row>
    <row r="57" spans="1:5" x14ac:dyDescent="0.25">
      <c r="A57" s="13">
        <v>40350</v>
      </c>
      <c r="B57" t="s">
        <v>31</v>
      </c>
      <c r="C57">
        <v>243.36821520000001</v>
      </c>
      <c r="D57">
        <v>-2.2938597068277167E-2</v>
      </c>
      <c r="E57">
        <f t="shared" si="0"/>
        <v>0</v>
      </c>
    </row>
    <row r="58" spans="1:5" x14ac:dyDescent="0.25">
      <c r="A58" s="13">
        <v>40351</v>
      </c>
      <c r="B58" t="s">
        <v>31</v>
      </c>
      <c r="C58">
        <v>242.21753269999999</v>
      </c>
      <c r="D58">
        <v>-4.7281544101984707E-3</v>
      </c>
      <c r="E58">
        <f t="shared" si="0"/>
        <v>0</v>
      </c>
    </row>
    <row r="59" spans="1:5" x14ac:dyDescent="0.25">
      <c r="A59" s="13">
        <v>40352</v>
      </c>
      <c r="B59" t="s">
        <v>31</v>
      </c>
      <c r="C59">
        <v>240.1253662</v>
      </c>
      <c r="D59">
        <v>-8.6375518595974698E-3</v>
      </c>
      <c r="E59">
        <f t="shared" si="0"/>
        <v>0</v>
      </c>
    </row>
    <row r="60" spans="1:5" x14ac:dyDescent="0.25">
      <c r="A60" s="13">
        <v>40353</v>
      </c>
      <c r="B60" t="s">
        <v>31</v>
      </c>
      <c r="C60">
        <v>236.6633392</v>
      </c>
      <c r="D60">
        <v>-1.4417581344223662E-2</v>
      </c>
      <c r="E60">
        <f t="shared" si="0"/>
        <v>0</v>
      </c>
    </row>
    <row r="61" spans="1:5" x14ac:dyDescent="0.25">
      <c r="A61" s="13">
        <v>40354</v>
      </c>
      <c r="B61" t="s">
        <v>31</v>
      </c>
      <c r="C61">
        <v>235.4578472</v>
      </c>
      <c r="D61">
        <v>-5.0936997849981847E-3</v>
      </c>
      <c r="E61">
        <f t="shared" si="0"/>
        <v>0</v>
      </c>
    </row>
    <row r="62" spans="1:5" x14ac:dyDescent="0.25">
      <c r="A62" s="13">
        <v>40357</v>
      </c>
      <c r="B62" t="s">
        <v>31</v>
      </c>
      <c r="C62">
        <v>235.15897240000001</v>
      </c>
      <c r="D62">
        <v>-1.2693346327341537E-3</v>
      </c>
      <c r="E62">
        <f t="shared" si="0"/>
        <v>0</v>
      </c>
    </row>
    <row r="63" spans="1:5" x14ac:dyDescent="0.25">
      <c r="A63" s="13">
        <v>40358</v>
      </c>
      <c r="B63" t="s">
        <v>31</v>
      </c>
      <c r="C63">
        <v>226.28223310000001</v>
      </c>
      <c r="D63">
        <v>-3.774782314025793E-2</v>
      </c>
      <c r="E63">
        <f t="shared" si="0"/>
        <v>0</v>
      </c>
    </row>
    <row r="64" spans="1:5" x14ac:dyDescent="0.25">
      <c r="A64" s="13">
        <v>40359</v>
      </c>
      <c r="B64" t="s">
        <v>31</v>
      </c>
      <c r="C64">
        <v>221.6446061</v>
      </c>
      <c r="D64">
        <v>-2.0494879056415005E-2</v>
      </c>
      <c r="E64">
        <f t="shared" si="0"/>
        <v>0</v>
      </c>
    </row>
    <row r="65" spans="1:5" x14ac:dyDescent="0.25">
      <c r="A65" s="13">
        <v>40360</v>
      </c>
      <c r="B65" t="s">
        <v>31</v>
      </c>
      <c r="C65">
        <v>218.9247986</v>
      </c>
      <c r="D65">
        <v>-1.2271029500139918E-2</v>
      </c>
      <c r="E65">
        <f t="shared" si="0"/>
        <v>0</v>
      </c>
    </row>
    <row r="66" spans="1:5" x14ac:dyDescent="0.25">
      <c r="A66" s="13">
        <v>40361</v>
      </c>
      <c r="B66" t="s">
        <v>31</v>
      </c>
      <c r="C66">
        <v>217.460273</v>
      </c>
      <c r="D66">
        <v>-6.6896286275720529E-3</v>
      </c>
      <c r="E66">
        <f t="shared" si="0"/>
        <v>0</v>
      </c>
    </row>
    <row r="67" spans="1:5" x14ac:dyDescent="0.25">
      <c r="A67" s="13">
        <v>40365</v>
      </c>
      <c r="B67" t="s">
        <v>31</v>
      </c>
      <c r="C67">
        <v>217.22118219999999</v>
      </c>
      <c r="D67">
        <v>-1.0994688671250863E-3</v>
      </c>
      <c r="E67">
        <f t="shared" ref="E67:E130" si="1">IF(D67&gt;0,1,0)</f>
        <v>0</v>
      </c>
    </row>
    <row r="68" spans="1:5" x14ac:dyDescent="0.25">
      <c r="A68" s="13">
        <v>40366</v>
      </c>
      <c r="B68" t="s">
        <v>31</v>
      </c>
      <c r="C68">
        <v>224.2597992</v>
      </c>
      <c r="D68">
        <v>3.2402995549114522E-2</v>
      </c>
      <c r="E68">
        <f t="shared" si="1"/>
        <v>1</v>
      </c>
    </row>
    <row r="69" spans="1:5" x14ac:dyDescent="0.25">
      <c r="A69" s="13">
        <v>40367</v>
      </c>
      <c r="B69" t="s">
        <v>31</v>
      </c>
      <c r="C69">
        <v>227.42794119999999</v>
      </c>
      <c r="D69">
        <v>1.4127106201386352E-2</v>
      </c>
      <c r="E69">
        <f t="shared" si="1"/>
        <v>1</v>
      </c>
    </row>
    <row r="70" spans="1:5" x14ac:dyDescent="0.25">
      <c r="A70" s="13">
        <v>40368</v>
      </c>
      <c r="B70" t="s">
        <v>31</v>
      </c>
      <c r="C70">
        <v>232.8725306</v>
      </c>
      <c r="D70">
        <v>2.3939843852396558E-2</v>
      </c>
      <c r="E70">
        <f t="shared" si="1"/>
        <v>1</v>
      </c>
    </row>
    <row r="71" spans="1:5" x14ac:dyDescent="0.25">
      <c r="A71" s="13">
        <v>40371</v>
      </c>
      <c r="B71" t="s">
        <v>31</v>
      </c>
      <c r="C71">
        <v>237.02697219999999</v>
      </c>
      <c r="D71">
        <v>1.7839981337841815E-2</v>
      </c>
      <c r="E71">
        <f t="shared" si="1"/>
        <v>1</v>
      </c>
    </row>
    <row r="72" spans="1:5" x14ac:dyDescent="0.25">
      <c r="A72" s="13">
        <v>40372</v>
      </c>
      <c r="B72" t="s">
        <v>31</v>
      </c>
      <c r="C72">
        <v>243.68701770000001</v>
      </c>
      <c r="D72">
        <v>2.8098260034222555E-2</v>
      </c>
      <c r="E72">
        <f t="shared" si="1"/>
        <v>1</v>
      </c>
    </row>
    <row r="73" spans="1:5" x14ac:dyDescent="0.25">
      <c r="A73" s="13">
        <v>40373</v>
      </c>
      <c r="B73" t="s">
        <v>31</v>
      </c>
      <c r="C73">
        <v>244.75302909999999</v>
      </c>
      <c r="D73">
        <v>4.374510427602285E-3</v>
      </c>
      <c r="E73">
        <f t="shared" si="1"/>
        <v>1</v>
      </c>
    </row>
    <row r="74" spans="1:5" x14ac:dyDescent="0.25">
      <c r="A74" s="13">
        <v>40374</v>
      </c>
      <c r="B74" t="s">
        <v>31</v>
      </c>
      <c r="C74">
        <v>246.08802270000001</v>
      </c>
      <c r="D74">
        <v>5.4544517994692399E-3</v>
      </c>
      <c r="E74">
        <f t="shared" si="1"/>
        <v>1</v>
      </c>
    </row>
    <row r="75" spans="1:5" x14ac:dyDescent="0.25">
      <c r="A75" s="13">
        <v>40375</v>
      </c>
      <c r="B75" t="s">
        <v>31</v>
      </c>
      <c r="C75">
        <v>228.94724600000001</v>
      </c>
      <c r="D75">
        <v>-6.9653031106255425E-2</v>
      </c>
      <c r="E75">
        <f t="shared" si="1"/>
        <v>0</v>
      </c>
    </row>
    <row r="76" spans="1:5" x14ac:dyDescent="0.25">
      <c r="A76" s="13">
        <v>40378</v>
      </c>
      <c r="B76" t="s">
        <v>31</v>
      </c>
      <c r="C76">
        <v>232.2199875</v>
      </c>
      <c r="D76">
        <v>1.4294740632084357E-2</v>
      </c>
      <c r="E76">
        <f t="shared" si="1"/>
        <v>1</v>
      </c>
    </row>
    <row r="77" spans="1:5" x14ac:dyDescent="0.25">
      <c r="A77" s="13">
        <v>40379</v>
      </c>
      <c r="B77" t="s">
        <v>31</v>
      </c>
      <c r="C77">
        <v>239.89622460000001</v>
      </c>
      <c r="D77">
        <v>3.3055884562908311E-2</v>
      </c>
      <c r="E77">
        <f t="shared" si="1"/>
        <v>1</v>
      </c>
    </row>
    <row r="78" spans="1:5" x14ac:dyDescent="0.25">
      <c r="A78" s="13">
        <v>40380</v>
      </c>
      <c r="B78" t="s">
        <v>31</v>
      </c>
      <c r="C78">
        <v>237.85885210000001</v>
      </c>
      <c r="D78">
        <v>-8.4927243160958232E-3</v>
      </c>
      <c r="E78">
        <f t="shared" si="1"/>
        <v>0</v>
      </c>
    </row>
    <row r="79" spans="1:5" x14ac:dyDescent="0.25">
      <c r="A79" s="13">
        <v>40381</v>
      </c>
      <c r="B79" t="s">
        <v>31</v>
      </c>
      <c r="C79">
        <v>241.5002159</v>
      </c>
      <c r="D79">
        <v>1.530892698695574E-2</v>
      </c>
      <c r="E79">
        <f t="shared" si="1"/>
        <v>1</v>
      </c>
    </row>
    <row r="80" spans="1:5" x14ac:dyDescent="0.25">
      <c r="A80" s="13">
        <v>40382</v>
      </c>
      <c r="B80" t="s">
        <v>31</v>
      </c>
      <c r="C80">
        <v>244.115409</v>
      </c>
      <c r="D80">
        <v>1.0828947254783783E-2</v>
      </c>
      <c r="E80">
        <f t="shared" si="1"/>
        <v>1</v>
      </c>
    </row>
    <row r="81" spans="1:5" x14ac:dyDescent="0.25">
      <c r="A81" s="13">
        <v>40385</v>
      </c>
      <c r="B81" t="s">
        <v>31</v>
      </c>
      <c r="C81">
        <v>243.57245459999999</v>
      </c>
      <c r="D81">
        <v>-2.224170945308912E-3</v>
      </c>
      <c r="E81">
        <f t="shared" si="1"/>
        <v>0</v>
      </c>
    </row>
    <row r="82" spans="1:5" x14ac:dyDescent="0.25">
      <c r="A82" s="13">
        <v>40386</v>
      </c>
      <c r="B82" t="s">
        <v>31</v>
      </c>
      <c r="C82">
        <v>245.3956235</v>
      </c>
      <c r="D82">
        <v>7.4851193785194781E-3</v>
      </c>
      <c r="E82">
        <f t="shared" si="1"/>
        <v>1</v>
      </c>
    </row>
    <row r="83" spans="1:5" x14ac:dyDescent="0.25">
      <c r="A83" s="13">
        <v>40387</v>
      </c>
      <c r="B83" t="s">
        <v>31</v>
      </c>
      <c r="C83">
        <v>241.27107430000001</v>
      </c>
      <c r="D83">
        <v>-1.6807753704702888E-2</v>
      </c>
      <c r="E83">
        <f t="shared" si="1"/>
        <v>0</v>
      </c>
    </row>
    <row r="84" spans="1:5" x14ac:dyDescent="0.25">
      <c r="A84" s="13">
        <v>40388</v>
      </c>
      <c r="B84" t="s">
        <v>31</v>
      </c>
      <c r="C84">
        <v>241.58987629999999</v>
      </c>
      <c r="D84">
        <v>1.3213436418970659E-3</v>
      </c>
      <c r="E84">
        <f t="shared" si="1"/>
        <v>1</v>
      </c>
    </row>
    <row r="85" spans="1:5" x14ac:dyDescent="0.25">
      <c r="A85" s="13">
        <v>40389</v>
      </c>
      <c r="B85" t="s">
        <v>31</v>
      </c>
      <c r="C85">
        <v>241.52014370000001</v>
      </c>
      <c r="D85">
        <v>-2.8864040607967656E-4</v>
      </c>
      <c r="E85">
        <f t="shared" si="1"/>
        <v>0</v>
      </c>
    </row>
    <row r="86" spans="1:5" x14ac:dyDescent="0.25">
      <c r="A86" s="13">
        <v>40392</v>
      </c>
      <c r="B86" t="s">
        <v>31</v>
      </c>
      <c r="C86">
        <v>244.28975600000001</v>
      </c>
      <c r="D86">
        <v>1.1467417406973102E-2</v>
      </c>
      <c r="E86">
        <f t="shared" si="1"/>
        <v>1</v>
      </c>
    </row>
    <row r="87" spans="1:5" x14ac:dyDescent="0.25">
      <c r="A87" s="13">
        <v>40393</v>
      </c>
      <c r="B87" t="s">
        <v>31</v>
      </c>
      <c r="C87">
        <v>244.0008454</v>
      </c>
      <c r="D87">
        <v>-1.1826554036920012E-3</v>
      </c>
      <c r="E87">
        <f t="shared" si="1"/>
        <v>0</v>
      </c>
    </row>
    <row r="88" spans="1:5" x14ac:dyDescent="0.25">
      <c r="A88" s="13">
        <v>40394</v>
      </c>
      <c r="B88" t="s">
        <v>31</v>
      </c>
      <c r="C88">
        <v>252.21506249999999</v>
      </c>
      <c r="D88">
        <v>3.3664707540394412E-2</v>
      </c>
      <c r="E88">
        <f t="shared" si="1"/>
        <v>1</v>
      </c>
    </row>
    <row r="89" spans="1:5" x14ac:dyDescent="0.25">
      <c r="A89" s="13">
        <v>40395</v>
      </c>
      <c r="B89" t="s">
        <v>31</v>
      </c>
      <c r="C89">
        <v>253.1017525</v>
      </c>
      <c r="D89">
        <v>3.5156108093268301E-3</v>
      </c>
      <c r="E89">
        <f t="shared" si="1"/>
        <v>1</v>
      </c>
    </row>
    <row r="90" spans="1:5" x14ac:dyDescent="0.25">
      <c r="A90" s="13">
        <v>40396</v>
      </c>
      <c r="B90" t="s">
        <v>31</v>
      </c>
      <c r="C90">
        <v>249.17645250000001</v>
      </c>
      <c r="D90">
        <v>-1.5508782381899899E-2</v>
      </c>
      <c r="E90">
        <f t="shared" si="1"/>
        <v>0</v>
      </c>
    </row>
    <row r="91" spans="1:5" x14ac:dyDescent="0.25">
      <c r="A91" s="13">
        <v>40399</v>
      </c>
      <c r="B91" t="s">
        <v>31</v>
      </c>
      <c r="C91">
        <v>251.73187709999999</v>
      </c>
      <c r="D91">
        <v>1.0255481905939723E-2</v>
      </c>
      <c r="E91">
        <f t="shared" si="1"/>
        <v>1</v>
      </c>
    </row>
    <row r="92" spans="1:5" x14ac:dyDescent="0.25">
      <c r="A92" s="13">
        <v>40400</v>
      </c>
      <c r="B92" t="s">
        <v>31</v>
      </c>
      <c r="C92">
        <v>250.9149352</v>
      </c>
      <c r="D92">
        <v>-3.2452858549791852E-3</v>
      </c>
      <c r="E92">
        <f t="shared" si="1"/>
        <v>0</v>
      </c>
    </row>
    <row r="93" spans="1:5" x14ac:dyDescent="0.25">
      <c r="A93" s="13">
        <v>40401</v>
      </c>
      <c r="B93" t="s">
        <v>31</v>
      </c>
      <c r="C93">
        <v>244.95227869999999</v>
      </c>
      <c r="D93">
        <v>-2.3763657174282082E-2</v>
      </c>
      <c r="E93">
        <f t="shared" si="1"/>
        <v>0</v>
      </c>
    </row>
    <row r="94" spans="1:5" x14ac:dyDescent="0.25">
      <c r="A94" s="13">
        <v>40402</v>
      </c>
      <c r="B94" t="s">
        <v>31</v>
      </c>
      <c r="C94">
        <v>245.0867696</v>
      </c>
      <c r="D94">
        <v>5.4904939326871904E-4</v>
      </c>
      <c r="E94">
        <f t="shared" si="1"/>
        <v>1</v>
      </c>
    </row>
    <row r="95" spans="1:5" x14ac:dyDescent="0.25">
      <c r="A95" s="13">
        <v>40403</v>
      </c>
      <c r="B95" t="s">
        <v>31</v>
      </c>
      <c r="C95">
        <v>242.2673375</v>
      </c>
      <c r="D95">
        <v>-1.1503811913639916E-2</v>
      </c>
      <c r="E95">
        <f t="shared" si="1"/>
        <v>0</v>
      </c>
    </row>
    <row r="96" spans="1:5" x14ac:dyDescent="0.25">
      <c r="A96" s="13">
        <v>40406</v>
      </c>
      <c r="B96" t="s">
        <v>31</v>
      </c>
      <c r="C96">
        <v>241.88875110000001</v>
      </c>
      <c r="D96">
        <v>-1.5626803179772386E-3</v>
      </c>
      <c r="E96">
        <f t="shared" si="1"/>
        <v>0</v>
      </c>
    </row>
    <row r="97" spans="1:5" x14ac:dyDescent="0.25">
      <c r="A97" s="13">
        <v>40407</v>
      </c>
      <c r="B97" t="s">
        <v>31</v>
      </c>
      <c r="C97">
        <v>244.34455059999999</v>
      </c>
      <c r="D97">
        <v>1.0152599030885501E-2</v>
      </c>
      <c r="E97">
        <f t="shared" si="1"/>
        <v>1</v>
      </c>
    </row>
    <row r="98" spans="1:5" x14ac:dyDescent="0.25">
      <c r="A98" s="13">
        <v>40408</v>
      </c>
      <c r="B98" t="s">
        <v>31</v>
      </c>
      <c r="C98">
        <v>240.17517050000001</v>
      </c>
      <c r="D98">
        <v>-1.7063528078534507E-2</v>
      </c>
      <c r="E98">
        <f t="shared" si="1"/>
        <v>0</v>
      </c>
    </row>
    <row r="99" spans="1:5" x14ac:dyDescent="0.25">
      <c r="A99" s="13">
        <v>40409</v>
      </c>
      <c r="B99" t="s">
        <v>31</v>
      </c>
      <c r="C99">
        <v>233.11163640000001</v>
      </c>
      <c r="D99">
        <v>-2.9409926451993473E-2</v>
      </c>
      <c r="E99">
        <f t="shared" si="1"/>
        <v>0</v>
      </c>
    </row>
    <row r="100" spans="1:5" x14ac:dyDescent="0.25">
      <c r="A100" s="13">
        <v>40410</v>
      </c>
      <c r="B100" t="s">
        <v>31</v>
      </c>
      <c r="C100">
        <v>230.14774869999999</v>
      </c>
      <c r="D100">
        <v>-1.2714456239817373E-2</v>
      </c>
      <c r="E100">
        <f t="shared" si="1"/>
        <v>0</v>
      </c>
    </row>
    <row r="101" spans="1:5" x14ac:dyDescent="0.25">
      <c r="A101" s="13">
        <v>40413</v>
      </c>
      <c r="B101" t="s">
        <v>31</v>
      </c>
      <c r="C101">
        <v>231.16891469999999</v>
      </c>
      <c r="D101">
        <v>4.4370019075490319E-3</v>
      </c>
      <c r="E101">
        <f t="shared" si="1"/>
        <v>1</v>
      </c>
    </row>
    <row r="102" spans="1:5" x14ac:dyDescent="0.25">
      <c r="A102" s="13">
        <v>40414</v>
      </c>
      <c r="B102" t="s">
        <v>31</v>
      </c>
      <c r="C102">
        <v>224.85258880000001</v>
      </c>
      <c r="D102">
        <v>-2.7323422390925778E-2</v>
      </c>
      <c r="E102">
        <f t="shared" si="1"/>
        <v>0</v>
      </c>
    </row>
    <row r="103" spans="1:5" x14ac:dyDescent="0.25">
      <c r="A103" s="13">
        <v>40415</v>
      </c>
      <c r="B103" t="s">
        <v>31</v>
      </c>
      <c r="C103">
        <v>226.46155450000001</v>
      </c>
      <c r="D103">
        <v>7.1556467665627732E-3</v>
      </c>
      <c r="E103">
        <f t="shared" si="1"/>
        <v>1</v>
      </c>
    </row>
    <row r="104" spans="1:5" x14ac:dyDescent="0.25">
      <c r="A104" s="13">
        <v>40416</v>
      </c>
      <c r="B104" t="s">
        <v>31</v>
      </c>
      <c r="C104">
        <v>224.64834980000001</v>
      </c>
      <c r="D104">
        <v>-8.0066777957227275E-3</v>
      </c>
      <c r="E104">
        <f t="shared" si="1"/>
        <v>0</v>
      </c>
    </row>
    <row r="105" spans="1:5" x14ac:dyDescent="0.25">
      <c r="A105" s="13">
        <v>40417</v>
      </c>
      <c r="B105" t="s">
        <v>31</v>
      </c>
      <c r="C105">
        <v>228.5586959</v>
      </c>
      <c r="D105">
        <v>1.7406520472913689E-2</v>
      </c>
      <c r="E105">
        <f t="shared" si="1"/>
        <v>1</v>
      </c>
    </row>
    <row r="106" spans="1:5" x14ac:dyDescent="0.25">
      <c r="A106" s="13">
        <v>40420</v>
      </c>
      <c r="B106" t="s">
        <v>31</v>
      </c>
      <c r="C106">
        <v>225.5001575</v>
      </c>
      <c r="D106">
        <v>-1.3381850941861284E-2</v>
      </c>
      <c r="E106">
        <f t="shared" si="1"/>
        <v>0</v>
      </c>
    </row>
    <row r="107" spans="1:5" x14ac:dyDescent="0.25">
      <c r="A107" s="13">
        <v>40421</v>
      </c>
      <c r="B107" t="s">
        <v>31</v>
      </c>
      <c r="C107">
        <v>224.17013829999999</v>
      </c>
      <c r="D107">
        <v>-5.8980854592086684E-3</v>
      </c>
      <c r="E107">
        <f t="shared" si="1"/>
        <v>0</v>
      </c>
    </row>
    <row r="108" spans="1:5" x14ac:dyDescent="0.25">
      <c r="A108" s="13">
        <v>40422</v>
      </c>
      <c r="B108" t="s">
        <v>31</v>
      </c>
      <c r="C108">
        <v>229.30590470000001</v>
      </c>
      <c r="D108">
        <v>2.2910127276305481E-2</v>
      </c>
      <c r="E108">
        <f t="shared" si="1"/>
        <v>1</v>
      </c>
    </row>
    <row r="109" spans="1:5" x14ac:dyDescent="0.25">
      <c r="A109" s="13">
        <v>40423</v>
      </c>
      <c r="B109" t="s">
        <v>31</v>
      </c>
      <c r="C109">
        <v>230.7255849</v>
      </c>
      <c r="D109">
        <v>6.1912064665641253E-3</v>
      </c>
      <c r="E109">
        <f t="shared" si="1"/>
        <v>1</v>
      </c>
    </row>
    <row r="110" spans="1:5" x14ac:dyDescent="0.25">
      <c r="A110" s="13">
        <v>40424</v>
      </c>
      <c r="B110" t="s">
        <v>31</v>
      </c>
      <c r="C110">
        <v>234.27229790000001</v>
      </c>
      <c r="D110">
        <v>1.5371997004741456E-2</v>
      </c>
      <c r="E110">
        <f t="shared" si="1"/>
        <v>1</v>
      </c>
    </row>
    <row r="111" spans="1:5" x14ac:dyDescent="0.25">
      <c r="A111" s="13">
        <v>40428</v>
      </c>
      <c r="B111" t="s">
        <v>31</v>
      </c>
      <c r="C111">
        <v>231.33329749999999</v>
      </c>
      <c r="D111">
        <v>-1.2545232305932075E-2</v>
      </c>
      <c r="E111">
        <f t="shared" si="1"/>
        <v>0</v>
      </c>
    </row>
    <row r="112" spans="1:5" x14ac:dyDescent="0.25">
      <c r="A112" s="13">
        <v>40429</v>
      </c>
      <c r="B112" t="s">
        <v>31</v>
      </c>
      <c r="C112">
        <v>234.41176369999999</v>
      </c>
      <c r="D112">
        <v>1.3307492839417234E-2</v>
      </c>
      <c r="E112">
        <f t="shared" si="1"/>
        <v>1</v>
      </c>
    </row>
    <row r="113" spans="1:5" x14ac:dyDescent="0.25">
      <c r="A113" s="13">
        <v>40430</v>
      </c>
      <c r="B113" t="s">
        <v>31</v>
      </c>
      <c r="C113">
        <v>237.2013192</v>
      </c>
      <c r="D113">
        <v>1.1900236813925824E-2</v>
      </c>
      <c r="E113">
        <f t="shared" si="1"/>
        <v>1</v>
      </c>
    </row>
    <row r="114" spans="1:5" x14ac:dyDescent="0.25">
      <c r="A114" s="13">
        <v>40431</v>
      </c>
      <c r="B114" t="s">
        <v>31</v>
      </c>
      <c r="C114">
        <v>237.1813914</v>
      </c>
      <c r="D114">
        <v>-8.4012180316728191E-5</v>
      </c>
      <c r="E114">
        <f t="shared" si="1"/>
        <v>0</v>
      </c>
    </row>
    <row r="115" spans="1:5" x14ac:dyDescent="0.25">
      <c r="A115" s="13">
        <v>40434</v>
      </c>
      <c r="B115" t="s">
        <v>31</v>
      </c>
      <c r="C115">
        <v>240.23495489999999</v>
      </c>
      <c r="D115">
        <v>1.2874380582624356E-2</v>
      </c>
      <c r="E115">
        <f t="shared" si="1"/>
        <v>1</v>
      </c>
    </row>
    <row r="116" spans="1:5" x14ac:dyDescent="0.25">
      <c r="A116" s="13">
        <v>40435</v>
      </c>
      <c r="B116" t="s">
        <v>31</v>
      </c>
      <c r="C116">
        <v>239.3183884</v>
      </c>
      <c r="D116">
        <v>-3.8152919935465768E-3</v>
      </c>
      <c r="E116">
        <f t="shared" si="1"/>
        <v>0</v>
      </c>
    </row>
    <row r="117" spans="1:5" x14ac:dyDescent="0.25">
      <c r="A117" s="13">
        <v>40436</v>
      </c>
      <c r="B117" t="s">
        <v>31</v>
      </c>
      <c r="C117">
        <v>239.42300280000001</v>
      </c>
      <c r="D117">
        <v>4.3713481734286574E-4</v>
      </c>
      <c r="E117">
        <f t="shared" si="1"/>
        <v>1</v>
      </c>
    </row>
    <row r="118" spans="1:5" x14ac:dyDescent="0.25">
      <c r="A118" s="13">
        <v>40437</v>
      </c>
      <c r="B118" t="s">
        <v>31</v>
      </c>
      <c r="C118">
        <v>239.63221609999999</v>
      </c>
      <c r="D118">
        <v>8.7382288900106353E-4</v>
      </c>
      <c r="E118">
        <f t="shared" si="1"/>
        <v>1</v>
      </c>
    </row>
    <row r="119" spans="1:5" x14ac:dyDescent="0.25">
      <c r="A119" s="13">
        <v>40438</v>
      </c>
      <c r="B119" t="s">
        <v>31</v>
      </c>
      <c r="C119">
        <v>244.16025440000001</v>
      </c>
      <c r="D119">
        <v>1.8895782769502212E-2</v>
      </c>
      <c r="E119">
        <f t="shared" si="1"/>
        <v>1</v>
      </c>
    </row>
    <row r="120" spans="1:5" x14ac:dyDescent="0.25">
      <c r="A120" s="13">
        <v>40441</v>
      </c>
      <c r="B120" t="s">
        <v>31</v>
      </c>
      <c r="C120">
        <v>253.19141289999999</v>
      </c>
      <c r="D120">
        <v>3.6988651253633265E-2</v>
      </c>
      <c r="E120">
        <f t="shared" si="1"/>
        <v>1</v>
      </c>
    </row>
    <row r="121" spans="1:5" x14ac:dyDescent="0.25">
      <c r="A121" s="13">
        <v>40442</v>
      </c>
      <c r="B121" t="s">
        <v>31</v>
      </c>
      <c r="C121">
        <v>255.77173970000001</v>
      </c>
      <c r="D121">
        <v>1.0191209766735376E-2</v>
      </c>
      <c r="E121">
        <f t="shared" si="1"/>
        <v>1</v>
      </c>
    </row>
    <row r="122" spans="1:5" x14ac:dyDescent="0.25">
      <c r="A122" s="13">
        <v>40443</v>
      </c>
      <c r="B122" t="s">
        <v>31</v>
      </c>
      <c r="C122">
        <v>257.03700070000002</v>
      </c>
      <c r="D122">
        <v>4.9468365875138254E-3</v>
      </c>
      <c r="E122">
        <f t="shared" si="1"/>
        <v>1</v>
      </c>
    </row>
    <row r="123" spans="1:5" x14ac:dyDescent="0.25">
      <c r="A123" s="13">
        <v>40444</v>
      </c>
      <c r="B123" t="s">
        <v>31</v>
      </c>
      <c r="C123">
        <v>255.7817039</v>
      </c>
      <c r="D123">
        <v>-4.8837202293110504E-3</v>
      </c>
      <c r="E123">
        <f t="shared" si="1"/>
        <v>0</v>
      </c>
    </row>
    <row r="124" spans="1:5" x14ac:dyDescent="0.25">
      <c r="A124" s="13">
        <v>40445</v>
      </c>
      <c r="B124" t="s">
        <v>31</v>
      </c>
      <c r="C124">
        <v>262.66094229999999</v>
      </c>
      <c r="D124">
        <v>2.6894958846194417E-2</v>
      </c>
      <c r="E124">
        <f t="shared" si="1"/>
        <v>1</v>
      </c>
    </row>
    <row r="125" spans="1:5" x14ac:dyDescent="0.25">
      <c r="A125" s="13">
        <v>40448</v>
      </c>
      <c r="B125" t="s">
        <v>31</v>
      </c>
      <c r="C125">
        <v>264.21511390000001</v>
      </c>
      <c r="D125">
        <v>5.9170259056822161E-3</v>
      </c>
      <c r="E125">
        <f t="shared" si="1"/>
        <v>1</v>
      </c>
    </row>
    <row r="126" spans="1:5" x14ac:dyDescent="0.25">
      <c r="A126" s="13">
        <v>40449</v>
      </c>
      <c r="B126" t="s">
        <v>31</v>
      </c>
      <c r="C126">
        <v>262.60115839999997</v>
      </c>
      <c r="D126">
        <v>-6.1084904499857373E-3</v>
      </c>
      <c r="E126">
        <f t="shared" si="1"/>
        <v>0</v>
      </c>
    </row>
    <row r="127" spans="1:5" x14ac:dyDescent="0.25">
      <c r="A127" s="13">
        <v>40450</v>
      </c>
      <c r="B127" t="s">
        <v>31</v>
      </c>
      <c r="C127">
        <v>262.86019199999998</v>
      </c>
      <c r="D127">
        <v>9.8641453670000878E-4</v>
      </c>
      <c r="E127">
        <f t="shared" si="1"/>
        <v>1</v>
      </c>
    </row>
    <row r="128" spans="1:5" x14ac:dyDescent="0.25">
      <c r="A128" s="13">
        <v>40451</v>
      </c>
      <c r="B128" t="s">
        <v>31</v>
      </c>
      <c r="C128">
        <v>261.9137485</v>
      </c>
      <c r="D128">
        <v>-3.6005585052604205E-3</v>
      </c>
      <c r="E128">
        <f t="shared" si="1"/>
        <v>0</v>
      </c>
    </row>
    <row r="129" spans="1:5" x14ac:dyDescent="0.25">
      <c r="A129" s="13">
        <v>40452</v>
      </c>
      <c r="B129" t="s">
        <v>31</v>
      </c>
      <c r="C129">
        <v>261.8290624</v>
      </c>
      <c r="D129">
        <v>-3.2333583282662115E-4</v>
      </c>
      <c r="E129">
        <f t="shared" si="1"/>
        <v>0</v>
      </c>
    </row>
    <row r="130" spans="1:5" x14ac:dyDescent="0.25">
      <c r="A130" s="13">
        <v>40455</v>
      </c>
      <c r="B130" t="s">
        <v>31</v>
      </c>
      <c r="C130">
        <v>260.20015289999998</v>
      </c>
      <c r="D130">
        <v>-6.2212707980885407E-3</v>
      </c>
      <c r="E130">
        <f t="shared" si="1"/>
        <v>0</v>
      </c>
    </row>
    <row r="131" spans="1:5" x14ac:dyDescent="0.25">
      <c r="A131" s="13">
        <v>40456</v>
      </c>
      <c r="B131" t="s">
        <v>31</v>
      </c>
      <c r="C131">
        <v>268.11050599999999</v>
      </c>
      <c r="D131">
        <v>3.0401031712844917E-2</v>
      </c>
      <c r="E131">
        <f t="shared" ref="E131:E194" si="2">IF(D131&gt;0,1,0)</f>
        <v>1</v>
      </c>
    </row>
    <row r="132" spans="1:5" x14ac:dyDescent="0.25">
      <c r="A132" s="13">
        <v>40457</v>
      </c>
      <c r="B132" t="s">
        <v>31</v>
      </c>
      <c r="C132">
        <v>266.1777634</v>
      </c>
      <c r="D132">
        <v>-7.2087536920316664E-3</v>
      </c>
      <c r="E132">
        <f t="shared" si="2"/>
        <v>0</v>
      </c>
    </row>
    <row r="133" spans="1:5" x14ac:dyDescent="0.25">
      <c r="A133" s="13">
        <v>40458</v>
      </c>
      <c r="B133" t="s">
        <v>31</v>
      </c>
      <c r="C133">
        <v>264.01586420000001</v>
      </c>
      <c r="D133">
        <v>-8.1220127947021492E-3</v>
      </c>
      <c r="E133">
        <f t="shared" si="2"/>
        <v>0</v>
      </c>
    </row>
    <row r="134" spans="1:5" x14ac:dyDescent="0.25">
      <c r="A134" s="13">
        <v>40459</v>
      </c>
      <c r="B134" t="s">
        <v>31</v>
      </c>
      <c r="C134">
        <v>267.17401169999999</v>
      </c>
      <c r="D134">
        <v>1.1961961110062758E-2</v>
      </c>
      <c r="E134">
        <f t="shared" si="2"/>
        <v>1</v>
      </c>
    </row>
    <row r="135" spans="1:5" x14ac:dyDescent="0.25">
      <c r="A135" s="13">
        <v>40462</v>
      </c>
      <c r="B135" t="s">
        <v>31</v>
      </c>
      <c r="C135">
        <v>268.41437000000002</v>
      </c>
      <c r="D135">
        <v>4.6425110440486694E-3</v>
      </c>
      <c r="E135">
        <f t="shared" si="2"/>
        <v>1</v>
      </c>
    </row>
    <row r="136" spans="1:5" x14ac:dyDescent="0.25">
      <c r="A136" s="13">
        <v>40463</v>
      </c>
      <c r="B136" t="s">
        <v>31</v>
      </c>
      <c r="C136">
        <v>269.68460540000001</v>
      </c>
      <c r="D136">
        <v>4.7323673468002703E-3</v>
      </c>
      <c r="E136">
        <f t="shared" si="2"/>
        <v>1</v>
      </c>
    </row>
    <row r="137" spans="1:5" x14ac:dyDescent="0.25">
      <c r="A137" s="13">
        <v>40464</v>
      </c>
      <c r="B137" t="s">
        <v>31</v>
      </c>
      <c r="C137">
        <v>270.63605360000003</v>
      </c>
      <c r="D137">
        <v>3.5280033822799872E-3</v>
      </c>
      <c r="E137">
        <f t="shared" si="2"/>
        <v>1</v>
      </c>
    </row>
    <row r="138" spans="1:5" x14ac:dyDescent="0.25">
      <c r="A138" s="13">
        <v>40465</v>
      </c>
      <c r="B138" t="s">
        <v>31</v>
      </c>
      <c r="C138">
        <v>269.45547920000001</v>
      </c>
      <c r="D138">
        <v>-4.362221456808979E-3</v>
      </c>
      <c r="E138">
        <f t="shared" si="2"/>
        <v>0</v>
      </c>
    </row>
    <row r="139" spans="1:5" x14ac:dyDescent="0.25">
      <c r="A139" s="13">
        <v>40466</v>
      </c>
      <c r="B139" t="s">
        <v>31</v>
      </c>
      <c r="C139">
        <v>299.60253410000001</v>
      </c>
      <c r="D139">
        <v>0.11188139498779215</v>
      </c>
      <c r="E139">
        <f t="shared" si="2"/>
        <v>1</v>
      </c>
    </row>
    <row r="140" spans="1:5" x14ac:dyDescent="0.25">
      <c r="A140" s="13">
        <v>40469</v>
      </c>
      <c r="B140" t="s">
        <v>31</v>
      </c>
      <c r="C140">
        <v>307.70218770000002</v>
      </c>
      <c r="D140">
        <v>2.7034663189118957E-2</v>
      </c>
      <c r="E140">
        <f t="shared" si="2"/>
        <v>1</v>
      </c>
    </row>
    <row r="141" spans="1:5" x14ac:dyDescent="0.25">
      <c r="A141" s="13">
        <v>40470</v>
      </c>
      <c r="B141" t="s">
        <v>31</v>
      </c>
      <c r="C141">
        <v>302.78063980000002</v>
      </c>
      <c r="D141">
        <v>-1.5994517090656357E-2</v>
      </c>
      <c r="E141">
        <f t="shared" si="2"/>
        <v>0</v>
      </c>
    </row>
    <row r="142" spans="1:5" x14ac:dyDescent="0.25">
      <c r="A142" s="13">
        <v>40471</v>
      </c>
      <c r="B142" t="s">
        <v>31</v>
      </c>
      <c r="C142">
        <v>302.85534730000001</v>
      </c>
      <c r="D142">
        <v>2.4673803466868094E-4</v>
      </c>
      <c r="E142">
        <f t="shared" si="2"/>
        <v>1</v>
      </c>
    </row>
    <row r="143" spans="1:5" x14ac:dyDescent="0.25">
      <c r="A143" s="13">
        <v>40472</v>
      </c>
      <c r="B143" t="s">
        <v>31</v>
      </c>
      <c r="C143">
        <v>304.85284819999998</v>
      </c>
      <c r="D143">
        <v>6.5955609428989259E-3</v>
      </c>
      <c r="E143">
        <f t="shared" si="2"/>
        <v>1</v>
      </c>
    </row>
    <row r="144" spans="1:5" x14ac:dyDescent="0.25">
      <c r="A144" s="13">
        <v>40473</v>
      </c>
      <c r="B144" t="s">
        <v>31</v>
      </c>
      <c r="C144">
        <v>305.1218609</v>
      </c>
      <c r="D144">
        <v>8.8243459619419262E-4</v>
      </c>
      <c r="E144">
        <f t="shared" si="2"/>
        <v>1</v>
      </c>
    </row>
    <row r="145" spans="1:5" x14ac:dyDescent="0.25">
      <c r="A145" s="13">
        <v>40476</v>
      </c>
      <c r="B145" t="s">
        <v>31</v>
      </c>
      <c r="C145">
        <v>307.09943390000001</v>
      </c>
      <c r="D145">
        <v>6.4812563549752067E-3</v>
      </c>
      <c r="E145">
        <f t="shared" si="2"/>
        <v>1</v>
      </c>
    </row>
    <row r="146" spans="1:5" x14ac:dyDescent="0.25">
      <c r="A146" s="13">
        <v>40477</v>
      </c>
      <c r="B146" t="s">
        <v>31</v>
      </c>
      <c r="C146">
        <v>308.14551749999998</v>
      </c>
      <c r="D146">
        <v>3.4063351622477533E-3</v>
      </c>
      <c r="E146">
        <f t="shared" si="2"/>
        <v>1</v>
      </c>
    </row>
    <row r="147" spans="1:5" x14ac:dyDescent="0.25">
      <c r="A147" s="13">
        <v>40478</v>
      </c>
      <c r="B147" t="s">
        <v>31</v>
      </c>
      <c r="C147">
        <v>307.0845109</v>
      </c>
      <c r="D147">
        <v>-3.4431998511871287E-3</v>
      </c>
      <c r="E147">
        <f t="shared" si="2"/>
        <v>0</v>
      </c>
    </row>
    <row r="148" spans="1:5" x14ac:dyDescent="0.25">
      <c r="A148" s="13">
        <v>40479</v>
      </c>
      <c r="B148" t="s">
        <v>31</v>
      </c>
      <c r="C148">
        <v>308.13556870000002</v>
      </c>
      <c r="D148">
        <v>3.4226988424770344E-3</v>
      </c>
      <c r="E148">
        <f t="shared" si="2"/>
        <v>1</v>
      </c>
    </row>
    <row r="149" spans="1:5" x14ac:dyDescent="0.25">
      <c r="A149" s="13">
        <v>40480</v>
      </c>
      <c r="B149" t="s">
        <v>31</v>
      </c>
      <c r="C149">
        <v>305.70465639999998</v>
      </c>
      <c r="D149">
        <v>-7.889099951219114E-3</v>
      </c>
      <c r="E149">
        <f t="shared" si="2"/>
        <v>0</v>
      </c>
    </row>
    <row r="150" spans="1:5" x14ac:dyDescent="0.25">
      <c r="A150" s="13">
        <v>40483</v>
      </c>
      <c r="B150" t="s">
        <v>31</v>
      </c>
      <c r="C150">
        <v>306.35224060000002</v>
      </c>
      <c r="D150">
        <v>2.1183327974982902E-3</v>
      </c>
      <c r="E150">
        <f t="shared" si="2"/>
        <v>1</v>
      </c>
    </row>
    <row r="151" spans="1:5" x14ac:dyDescent="0.25">
      <c r="A151" s="13">
        <v>40484</v>
      </c>
      <c r="B151" t="s">
        <v>31</v>
      </c>
      <c r="C151">
        <v>306.65113029999998</v>
      </c>
      <c r="D151">
        <v>9.7564065278121781E-4</v>
      </c>
      <c r="E151">
        <f t="shared" si="2"/>
        <v>1</v>
      </c>
    </row>
    <row r="152" spans="1:5" x14ac:dyDescent="0.25">
      <c r="A152" s="13">
        <v>40485</v>
      </c>
      <c r="B152" t="s">
        <v>31</v>
      </c>
      <c r="C152">
        <v>308.93256689999998</v>
      </c>
      <c r="D152">
        <v>7.4398440917795572E-3</v>
      </c>
      <c r="E152">
        <f t="shared" si="2"/>
        <v>1</v>
      </c>
    </row>
    <row r="153" spans="1:5" x14ac:dyDescent="0.25">
      <c r="A153" s="13">
        <v>40486</v>
      </c>
      <c r="B153" t="s">
        <v>31</v>
      </c>
      <c r="C153">
        <v>310.96995479999998</v>
      </c>
      <c r="D153">
        <v>6.5949275611965064E-3</v>
      </c>
      <c r="E153">
        <f t="shared" si="2"/>
        <v>1</v>
      </c>
    </row>
    <row r="154" spans="1:5" x14ac:dyDescent="0.25">
      <c r="A154" s="13">
        <v>40487</v>
      </c>
      <c r="B154" t="s">
        <v>31</v>
      </c>
      <c r="C154">
        <v>311.37342799999999</v>
      </c>
      <c r="D154">
        <v>1.2974668252421218E-3</v>
      </c>
      <c r="E154">
        <f t="shared" si="2"/>
        <v>1</v>
      </c>
    </row>
    <row r="155" spans="1:5" x14ac:dyDescent="0.25">
      <c r="A155" s="13">
        <v>40490</v>
      </c>
      <c r="B155" t="s">
        <v>31</v>
      </c>
      <c r="C155">
        <v>312.21528749999999</v>
      </c>
      <c r="D155">
        <v>2.7036973109986207E-3</v>
      </c>
      <c r="E155">
        <f t="shared" si="2"/>
        <v>1</v>
      </c>
    </row>
    <row r="156" spans="1:5" x14ac:dyDescent="0.25">
      <c r="A156" s="13">
        <v>40491</v>
      </c>
      <c r="B156" t="s">
        <v>31</v>
      </c>
      <c r="C156">
        <v>311.2439114</v>
      </c>
      <c r="D156">
        <v>-3.1112381068143513E-3</v>
      </c>
      <c r="E156">
        <f t="shared" si="2"/>
        <v>0</v>
      </c>
    </row>
    <row r="157" spans="1:5" x14ac:dyDescent="0.25">
      <c r="A157" s="13">
        <v>40492</v>
      </c>
      <c r="B157" t="s">
        <v>31</v>
      </c>
      <c r="C157">
        <v>310.27754010000001</v>
      </c>
      <c r="D157">
        <v>-3.1048681262653144E-3</v>
      </c>
      <c r="E157">
        <f t="shared" si="2"/>
        <v>0</v>
      </c>
    </row>
    <row r="158" spans="1:5" x14ac:dyDescent="0.25">
      <c r="A158" s="13">
        <v>40493</v>
      </c>
      <c r="B158" t="s">
        <v>31</v>
      </c>
      <c r="C158">
        <v>307.44315410000002</v>
      </c>
      <c r="D158">
        <v>-9.1350021631810829E-3</v>
      </c>
      <c r="E158">
        <f t="shared" si="2"/>
        <v>0</v>
      </c>
    </row>
    <row r="159" spans="1:5" x14ac:dyDescent="0.25">
      <c r="A159" s="13">
        <v>40494</v>
      </c>
      <c r="B159" t="s">
        <v>31</v>
      </c>
      <c r="C159">
        <v>300.5191006</v>
      </c>
      <c r="D159">
        <v>-2.2521410568627775E-2</v>
      </c>
      <c r="E159">
        <f t="shared" si="2"/>
        <v>0</v>
      </c>
    </row>
    <row r="160" spans="1:5" x14ac:dyDescent="0.25">
      <c r="A160" s="13">
        <v>40497</v>
      </c>
      <c r="B160" t="s">
        <v>31</v>
      </c>
      <c r="C160">
        <v>296.62367760000001</v>
      </c>
      <c r="D160">
        <v>-1.2962314183100565E-2</v>
      </c>
      <c r="E160">
        <f t="shared" si="2"/>
        <v>0</v>
      </c>
    </row>
    <row r="161" spans="1:5" x14ac:dyDescent="0.25">
      <c r="A161" s="13">
        <v>40498</v>
      </c>
      <c r="B161" t="s">
        <v>31</v>
      </c>
      <c r="C161">
        <v>290.77060990000001</v>
      </c>
      <c r="D161">
        <v>-1.9732301033273947E-2</v>
      </c>
      <c r="E161">
        <f t="shared" si="2"/>
        <v>0</v>
      </c>
    </row>
    <row r="162" spans="1:5" x14ac:dyDescent="0.25">
      <c r="A162" s="13">
        <v>40499</v>
      </c>
      <c r="B162" t="s">
        <v>31</v>
      </c>
      <c r="C162">
        <v>290.68592330000001</v>
      </c>
      <c r="D162">
        <v>-2.9124883023468051E-4</v>
      </c>
      <c r="E162">
        <f t="shared" si="2"/>
        <v>0</v>
      </c>
    </row>
    <row r="163" spans="1:5" x14ac:dyDescent="0.25">
      <c r="A163" s="13">
        <v>40500</v>
      </c>
      <c r="B163" t="s">
        <v>31</v>
      </c>
      <c r="C163">
        <v>297.16664750000001</v>
      </c>
      <c r="D163">
        <v>2.2294592481217679E-2</v>
      </c>
      <c r="E163">
        <f t="shared" si="2"/>
        <v>1</v>
      </c>
    </row>
    <row r="164" spans="1:5" x14ac:dyDescent="0.25">
      <c r="A164" s="13">
        <v>40501</v>
      </c>
      <c r="B164" t="s">
        <v>31</v>
      </c>
      <c r="C164">
        <v>294.312364</v>
      </c>
      <c r="D164">
        <v>-9.6049927675682101E-3</v>
      </c>
      <c r="E164">
        <f t="shared" si="2"/>
        <v>0</v>
      </c>
    </row>
    <row r="165" spans="1:5" x14ac:dyDescent="0.25">
      <c r="A165" s="13">
        <v>40504</v>
      </c>
      <c r="B165" t="s">
        <v>31</v>
      </c>
      <c r="C165">
        <v>294.5066084</v>
      </c>
      <c r="D165">
        <v>6.5999401914362821E-4</v>
      </c>
      <c r="E165">
        <f t="shared" si="2"/>
        <v>1</v>
      </c>
    </row>
    <row r="166" spans="1:5" x14ac:dyDescent="0.25">
      <c r="A166" s="13">
        <v>40505</v>
      </c>
      <c r="B166" t="s">
        <v>31</v>
      </c>
      <c r="C166">
        <v>290.41694100000001</v>
      </c>
      <c r="D166">
        <v>-1.3886504694133661E-2</v>
      </c>
      <c r="E166">
        <f t="shared" si="2"/>
        <v>0</v>
      </c>
    </row>
    <row r="167" spans="1:5" x14ac:dyDescent="0.25">
      <c r="A167" s="13">
        <v>40506</v>
      </c>
      <c r="B167" t="s">
        <v>31</v>
      </c>
      <c r="C167">
        <v>296.37462319999997</v>
      </c>
      <c r="D167">
        <v>2.0514237838487492E-2</v>
      </c>
      <c r="E167">
        <f t="shared" si="2"/>
        <v>1</v>
      </c>
    </row>
    <row r="168" spans="1:5" x14ac:dyDescent="0.25">
      <c r="A168" s="13">
        <v>40508</v>
      </c>
      <c r="B168" t="s">
        <v>31</v>
      </c>
      <c r="C168">
        <v>293.89891069999999</v>
      </c>
      <c r="D168">
        <v>-8.3533214594061489E-3</v>
      </c>
      <c r="E168">
        <f t="shared" si="2"/>
        <v>0</v>
      </c>
    </row>
    <row r="169" spans="1:5" x14ac:dyDescent="0.25">
      <c r="A169" s="13">
        <v>40511</v>
      </c>
      <c r="B169" t="s">
        <v>31</v>
      </c>
      <c r="C169">
        <v>289.96863689999998</v>
      </c>
      <c r="D169">
        <v>-1.3372876376571141E-2</v>
      </c>
      <c r="E169">
        <f t="shared" si="2"/>
        <v>0</v>
      </c>
    </row>
    <row r="170" spans="1:5" x14ac:dyDescent="0.25">
      <c r="A170" s="13">
        <v>40512</v>
      </c>
      <c r="B170" t="s">
        <v>31</v>
      </c>
      <c r="C170">
        <v>276.8178881</v>
      </c>
      <c r="D170">
        <v>-4.5352314445424646E-2</v>
      </c>
      <c r="E170">
        <f t="shared" si="2"/>
        <v>0</v>
      </c>
    </row>
    <row r="171" spans="1:5" x14ac:dyDescent="0.25">
      <c r="A171" s="13">
        <v>40513</v>
      </c>
      <c r="B171" t="s">
        <v>31</v>
      </c>
      <c r="C171">
        <v>281.12175910000002</v>
      </c>
      <c r="D171">
        <v>1.5547662145465324E-2</v>
      </c>
      <c r="E171">
        <f t="shared" si="2"/>
        <v>1</v>
      </c>
    </row>
    <row r="172" spans="1:5" x14ac:dyDescent="0.25">
      <c r="A172" s="13">
        <v>40514</v>
      </c>
      <c r="B172" t="s">
        <v>31</v>
      </c>
      <c r="C172">
        <v>284.8428346</v>
      </c>
      <c r="D172">
        <v>1.323652609429038E-2</v>
      </c>
      <c r="E172">
        <f t="shared" si="2"/>
        <v>1</v>
      </c>
    </row>
    <row r="173" spans="1:5" x14ac:dyDescent="0.25">
      <c r="A173" s="13">
        <v>40515</v>
      </c>
      <c r="B173" t="s">
        <v>31</v>
      </c>
      <c r="C173">
        <v>285.43063489999997</v>
      </c>
      <c r="D173">
        <v>2.063595178110722E-3</v>
      </c>
      <c r="E173">
        <f t="shared" si="2"/>
        <v>1</v>
      </c>
    </row>
    <row r="174" spans="1:5" x14ac:dyDescent="0.25">
      <c r="A174" s="13">
        <v>40518</v>
      </c>
      <c r="B174" t="s">
        <v>31</v>
      </c>
      <c r="C174">
        <v>288.10062210000001</v>
      </c>
      <c r="D174">
        <v>9.3542418841463526E-3</v>
      </c>
      <c r="E174">
        <f t="shared" si="2"/>
        <v>1</v>
      </c>
    </row>
    <row r="175" spans="1:5" x14ac:dyDescent="0.25">
      <c r="A175" s="13">
        <v>40519</v>
      </c>
      <c r="B175" t="s">
        <v>31</v>
      </c>
      <c r="C175">
        <v>292.4742258</v>
      </c>
      <c r="D175">
        <v>1.5180820048635413E-2</v>
      </c>
      <c r="E175">
        <f t="shared" si="2"/>
        <v>1</v>
      </c>
    </row>
    <row r="176" spans="1:5" x14ac:dyDescent="0.25">
      <c r="A176" s="13">
        <v>40520</v>
      </c>
      <c r="B176" t="s">
        <v>31</v>
      </c>
      <c r="C176">
        <v>294.16789349999999</v>
      </c>
      <c r="D176">
        <v>5.790827192951209E-3</v>
      </c>
      <c r="E176">
        <f t="shared" si="2"/>
        <v>1</v>
      </c>
    </row>
    <row r="177" spans="1:5" x14ac:dyDescent="0.25">
      <c r="A177" s="13">
        <v>40521</v>
      </c>
      <c r="B177" t="s">
        <v>31</v>
      </c>
      <c r="C177">
        <v>294.6461046</v>
      </c>
      <c r="D177">
        <v>1.6256400190730602E-3</v>
      </c>
      <c r="E177">
        <f t="shared" si="2"/>
        <v>1</v>
      </c>
    </row>
    <row r="178" spans="1:5" x14ac:dyDescent="0.25">
      <c r="A178" s="13">
        <v>40522</v>
      </c>
      <c r="B178" t="s">
        <v>31</v>
      </c>
      <c r="C178">
        <v>294.99977339999998</v>
      </c>
      <c r="D178">
        <v>1.2003172432233367E-3</v>
      </c>
      <c r="E178">
        <f t="shared" si="2"/>
        <v>1</v>
      </c>
    </row>
    <row r="179" spans="1:5" x14ac:dyDescent="0.25">
      <c r="A179" s="13">
        <v>40525</v>
      </c>
      <c r="B179" t="s">
        <v>31</v>
      </c>
      <c r="C179">
        <v>296.2002761</v>
      </c>
      <c r="D179">
        <v>4.0695038038969233E-3</v>
      </c>
      <c r="E179">
        <f t="shared" si="2"/>
        <v>1</v>
      </c>
    </row>
    <row r="180" spans="1:5" x14ac:dyDescent="0.25">
      <c r="A180" s="13">
        <v>40526</v>
      </c>
      <c r="B180" t="s">
        <v>31</v>
      </c>
      <c r="C180">
        <v>296.34474660000001</v>
      </c>
      <c r="D180">
        <v>4.8774600045020655E-4</v>
      </c>
      <c r="E180">
        <f t="shared" si="2"/>
        <v>1</v>
      </c>
    </row>
    <row r="181" spans="1:5" x14ac:dyDescent="0.25">
      <c r="A181" s="13">
        <v>40527</v>
      </c>
      <c r="B181" t="s">
        <v>31</v>
      </c>
      <c r="C181">
        <v>294.04835559999998</v>
      </c>
      <c r="D181">
        <v>-7.7490525016785661E-3</v>
      </c>
      <c r="E181">
        <f t="shared" si="2"/>
        <v>0</v>
      </c>
    </row>
    <row r="182" spans="1:5" x14ac:dyDescent="0.25">
      <c r="A182" s="13">
        <v>40528</v>
      </c>
      <c r="B182" t="s">
        <v>31</v>
      </c>
      <c r="C182">
        <v>294.75071889999998</v>
      </c>
      <c r="D182">
        <v>2.3885979520845702E-3</v>
      </c>
      <c r="E182">
        <f t="shared" si="2"/>
        <v>1</v>
      </c>
    </row>
    <row r="183" spans="1:5" x14ac:dyDescent="0.25">
      <c r="A183" s="13">
        <v>40529</v>
      </c>
      <c r="B183" t="s">
        <v>31</v>
      </c>
      <c r="C183">
        <v>294.29741009999998</v>
      </c>
      <c r="D183">
        <v>-1.5379395907556548E-3</v>
      </c>
      <c r="E183">
        <f t="shared" si="2"/>
        <v>0</v>
      </c>
    </row>
    <row r="184" spans="1:5" x14ac:dyDescent="0.25">
      <c r="A184" s="13">
        <v>40532</v>
      </c>
      <c r="B184" t="s">
        <v>31</v>
      </c>
      <c r="C184">
        <v>296.4194536</v>
      </c>
      <c r="D184">
        <v>7.210540858239245E-3</v>
      </c>
      <c r="E184">
        <f t="shared" si="2"/>
        <v>1</v>
      </c>
    </row>
    <row r="185" spans="1:5" x14ac:dyDescent="0.25">
      <c r="A185" s="13">
        <v>40533</v>
      </c>
      <c r="B185" t="s">
        <v>31</v>
      </c>
      <c r="C185">
        <v>300.40951189999998</v>
      </c>
      <c r="D185">
        <v>1.3460851680080044E-2</v>
      </c>
      <c r="E185">
        <f t="shared" si="2"/>
        <v>1</v>
      </c>
    </row>
    <row r="186" spans="1:5" x14ac:dyDescent="0.25">
      <c r="A186" s="13">
        <v>40534</v>
      </c>
      <c r="B186" t="s">
        <v>31</v>
      </c>
      <c r="C186">
        <v>301.61498849999998</v>
      </c>
      <c r="D186">
        <v>4.0127777325549285E-3</v>
      </c>
      <c r="E186">
        <f t="shared" si="2"/>
        <v>1</v>
      </c>
    </row>
    <row r="187" spans="1:5" x14ac:dyDescent="0.25">
      <c r="A187" s="13">
        <v>40535</v>
      </c>
      <c r="B187" t="s">
        <v>31</v>
      </c>
      <c r="C187">
        <v>300.9873326</v>
      </c>
      <c r="D187">
        <v>-2.0809837837352241E-3</v>
      </c>
      <c r="E187">
        <f t="shared" si="2"/>
        <v>0</v>
      </c>
    </row>
    <row r="188" spans="1:5" x14ac:dyDescent="0.25">
      <c r="A188" s="13">
        <v>40539</v>
      </c>
      <c r="B188" t="s">
        <v>31</v>
      </c>
      <c r="C188">
        <v>300.06579169999998</v>
      </c>
      <c r="D188">
        <v>-3.0617265252976811E-3</v>
      </c>
      <c r="E188">
        <f t="shared" si="2"/>
        <v>0</v>
      </c>
    </row>
    <row r="189" spans="1:5" x14ac:dyDescent="0.25">
      <c r="A189" s="13">
        <v>40540</v>
      </c>
      <c r="B189" t="s">
        <v>31</v>
      </c>
      <c r="C189">
        <v>298.34224749999998</v>
      </c>
      <c r="D189">
        <v>-5.7438876662193605E-3</v>
      </c>
      <c r="E189">
        <f t="shared" si="2"/>
        <v>0</v>
      </c>
    </row>
    <row r="190" spans="1:5" x14ac:dyDescent="0.25">
      <c r="A190" s="13">
        <v>40541</v>
      </c>
      <c r="B190" t="s">
        <v>31</v>
      </c>
      <c r="C190">
        <v>299.3783818</v>
      </c>
      <c r="D190">
        <v>3.4729720939037367E-3</v>
      </c>
      <c r="E190">
        <f t="shared" si="2"/>
        <v>1</v>
      </c>
    </row>
    <row r="191" spans="1:5" x14ac:dyDescent="0.25">
      <c r="A191" s="13">
        <v>40542</v>
      </c>
      <c r="B191" t="s">
        <v>31</v>
      </c>
      <c r="C191">
        <v>298.31237049999999</v>
      </c>
      <c r="D191">
        <v>-3.5607490881294224E-3</v>
      </c>
      <c r="E191">
        <f t="shared" si="2"/>
        <v>0</v>
      </c>
    </row>
    <row r="192" spans="1:5" x14ac:dyDescent="0.25">
      <c r="A192" s="13">
        <v>40543</v>
      </c>
      <c r="B192" t="s">
        <v>31</v>
      </c>
      <c r="C192">
        <v>295.87648380000002</v>
      </c>
      <c r="D192">
        <v>-8.1655571169146901E-3</v>
      </c>
      <c r="E192">
        <f t="shared" si="2"/>
        <v>0</v>
      </c>
    </row>
    <row r="193" spans="1:5" x14ac:dyDescent="0.25">
      <c r="A193" s="13">
        <v>40546</v>
      </c>
      <c r="B193" t="s">
        <v>31</v>
      </c>
      <c r="C193">
        <v>301.04711650000002</v>
      </c>
      <c r="D193">
        <v>1.7475646031724246E-2</v>
      </c>
      <c r="E193">
        <f t="shared" si="2"/>
        <v>1</v>
      </c>
    </row>
    <row r="194" spans="1:5" x14ac:dyDescent="0.25">
      <c r="A194" s="13">
        <v>40547</v>
      </c>
      <c r="B194" t="s">
        <v>31</v>
      </c>
      <c r="C194">
        <v>299.93627470000001</v>
      </c>
      <c r="D194">
        <v>-3.6899267228158728E-3</v>
      </c>
      <c r="E194">
        <f t="shared" si="2"/>
        <v>0</v>
      </c>
    </row>
    <row r="195" spans="1:5" x14ac:dyDescent="0.25">
      <c r="A195" s="13">
        <v>40548</v>
      </c>
      <c r="B195" t="s">
        <v>31</v>
      </c>
      <c r="C195">
        <v>303.39831659999999</v>
      </c>
      <c r="D195">
        <v>1.154259151702397E-2</v>
      </c>
      <c r="E195">
        <f t="shared" ref="E195:E258" si="3">IF(D195&gt;0,1,0)</f>
        <v>1</v>
      </c>
    </row>
    <row r="196" spans="1:5" x14ac:dyDescent="0.25">
      <c r="A196" s="13">
        <v>40549</v>
      </c>
      <c r="B196" t="s">
        <v>31</v>
      </c>
      <c r="C196">
        <v>305.60504680000003</v>
      </c>
      <c r="D196">
        <v>7.2733765458210531E-3</v>
      </c>
      <c r="E196">
        <f t="shared" si="3"/>
        <v>1</v>
      </c>
    </row>
    <row r="197" spans="1:5" x14ac:dyDescent="0.25">
      <c r="A197" s="13">
        <v>40550</v>
      </c>
      <c r="B197" t="s">
        <v>31</v>
      </c>
      <c r="C197">
        <v>307.06955740000001</v>
      </c>
      <c r="D197">
        <v>4.7921675879862846E-3</v>
      </c>
      <c r="E197">
        <f t="shared" si="3"/>
        <v>1</v>
      </c>
    </row>
    <row r="198" spans="1:5" x14ac:dyDescent="0.25">
      <c r="A198" s="13">
        <v>40553</v>
      </c>
      <c r="B198" t="s">
        <v>31</v>
      </c>
      <c r="C198">
        <v>305.9587156</v>
      </c>
      <c r="D198">
        <v>-3.6175575638485169E-3</v>
      </c>
      <c r="E198">
        <f t="shared" si="3"/>
        <v>0</v>
      </c>
    </row>
    <row r="199" spans="1:5" x14ac:dyDescent="0.25">
      <c r="A199" s="13">
        <v>40554</v>
      </c>
      <c r="B199" t="s">
        <v>31</v>
      </c>
      <c r="C199">
        <v>306.85535379999999</v>
      </c>
      <c r="D199">
        <v>2.9305855799584002E-3</v>
      </c>
      <c r="E199">
        <f t="shared" si="3"/>
        <v>1</v>
      </c>
    </row>
    <row r="200" spans="1:5" x14ac:dyDescent="0.25">
      <c r="A200" s="13">
        <v>40555</v>
      </c>
      <c r="B200" t="s">
        <v>31</v>
      </c>
      <c r="C200">
        <v>307.28376050000003</v>
      </c>
      <c r="D200">
        <v>1.3961193594793642E-3</v>
      </c>
      <c r="E200">
        <f t="shared" si="3"/>
        <v>1</v>
      </c>
    </row>
    <row r="201" spans="1:5" x14ac:dyDescent="0.25">
      <c r="A201" s="13">
        <v>40556</v>
      </c>
      <c r="B201" t="s">
        <v>31</v>
      </c>
      <c r="C201">
        <v>307.19409960000002</v>
      </c>
      <c r="D201">
        <v>-2.9178535127960536E-4</v>
      </c>
      <c r="E201">
        <f t="shared" si="3"/>
        <v>0</v>
      </c>
    </row>
    <row r="202" spans="1:5" x14ac:dyDescent="0.25">
      <c r="A202" s="13">
        <v>40557</v>
      </c>
      <c r="B202" t="s">
        <v>31</v>
      </c>
      <c r="C202">
        <v>310.92512429999999</v>
      </c>
      <c r="D202">
        <v>1.2145495974233089E-2</v>
      </c>
      <c r="E202">
        <f t="shared" si="3"/>
        <v>1</v>
      </c>
    </row>
    <row r="203" spans="1:5" x14ac:dyDescent="0.25">
      <c r="A203" s="13">
        <v>40561</v>
      </c>
      <c r="B203" t="s">
        <v>31</v>
      </c>
      <c r="C203">
        <v>318.62127370000002</v>
      </c>
      <c r="D203">
        <v>2.475242043346193E-2</v>
      </c>
      <c r="E203">
        <f t="shared" si="3"/>
        <v>1</v>
      </c>
    </row>
    <row r="204" spans="1:5" x14ac:dyDescent="0.25">
      <c r="A204" s="13">
        <v>40562</v>
      </c>
      <c r="B204" t="s">
        <v>31</v>
      </c>
      <c r="C204">
        <v>314.69597420000002</v>
      </c>
      <c r="D204">
        <v>-1.2319640350493044E-2</v>
      </c>
      <c r="E204">
        <f t="shared" si="3"/>
        <v>0</v>
      </c>
    </row>
    <row r="205" spans="1:5" x14ac:dyDescent="0.25">
      <c r="A205" s="13">
        <v>40563</v>
      </c>
      <c r="B205" t="s">
        <v>31</v>
      </c>
      <c r="C205">
        <v>312.21528749999999</v>
      </c>
      <c r="D205">
        <v>-7.8828040501829344E-3</v>
      </c>
      <c r="E205">
        <f t="shared" si="3"/>
        <v>0</v>
      </c>
    </row>
    <row r="206" spans="1:5" x14ac:dyDescent="0.25">
      <c r="A206" s="13">
        <v>40564</v>
      </c>
      <c r="B206" t="s">
        <v>31</v>
      </c>
      <c r="C206">
        <v>304.77316680000001</v>
      </c>
      <c r="D206">
        <v>-2.3836503201336567E-2</v>
      </c>
      <c r="E206">
        <f t="shared" si="3"/>
        <v>0</v>
      </c>
    </row>
    <row r="207" spans="1:5" x14ac:dyDescent="0.25">
      <c r="A207" s="13">
        <v>40567</v>
      </c>
      <c r="B207" t="s">
        <v>31</v>
      </c>
      <c r="C207">
        <v>304.39956969999997</v>
      </c>
      <c r="D207">
        <v>-1.2258201859522977E-3</v>
      </c>
      <c r="E207">
        <f t="shared" si="3"/>
        <v>0</v>
      </c>
    </row>
    <row r="208" spans="1:5" x14ac:dyDescent="0.25">
      <c r="A208" s="13">
        <v>40568</v>
      </c>
      <c r="B208" t="s">
        <v>31</v>
      </c>
      <c r="C208">
        <v>308.79807599999998</v>
      </c>
      <c r="D208">
        <v>1.4449778310577033E-2</v>
      </c>
      <c r="E208">
        <f t="shared" si="3"/>
        <v>1</v>
      </c>
    </row>
    <row r="209" spans="1:5" x14ac:dyDescent="0.25">
      <c r="A209" s="13">
        <v>40569</v>
      </c>
      <c r="B209" t="s">
        <v>31</v>
      </c>
      <c r="C209">
        <v>307.09943390000001</v>
      </c>
      <c r="D209">
        <v>-5.5008182758236046E-3</v>
      </c>
      <c r="E209">
        <f t="shared" si="3"/>
        <v>0</v>
      </c>
    </row>
    <row r="210" spans="1:5" x14ac:dyDescent="0.25">
      <c r="A210" s="13">
        <v>40570</v>
      </c>
      <c r="B210" t="s">
        <v>31</v>
      </c>
      <c r="C210">
        <v>307.24390440000002</v>
      </c>
      <c r="D210">
        <v>4.7043557900883215E-4</v>
      </c>
      <c r="E210">
        <f t="shared" si="3"/>
        <v>1</v>
      </c>
    </row>
    <row r="211" spans="1:5" x14ac:dyDescent="0.25">
      <c r="A211" s="13">
        <v>40571</v>
      </c>
      <c r="B211" t="s">
        <v>31</v>
      </c>
      <c r="C211">
        <v>299.37337710000003</v>
      </c>
      <c r="D211">
        <v>-2.5616544990111123E-2</v>
      </c>
      <c r="E211">
        <f t="shared" si="3"/>
        <v>0</v>
      </c>
    </row>
    <row r="212" spans="1:5" x14ac:dyDescent="0.25">
      <c r="A212" s="13">
        <v>40574</v>
      </c>
      <c r="B212" t="s">
        <v>31</v>
      </c>
      <c r="C212">
        <v>299.05956429999998</v>
      </c>
      <c r="D212">
        <v>-1.0482321542414352E-3</v>
      </c>
      <c r="E212">
        <f t="shared" si="3"/>
        <v>0</v>
      </c>
    </row>
    <row r="213" spans="1:5" x14ac:dyDescent="0.25">
      <c r="A213" s="13">
        <v>40575</v>
      </c>
      <c r="B213" t="s">
        <v>31</v>
      </c>
      <c r="C213">
        <v>304.37964190000002</v>
      </c>
      <c r="D213">
        <v>1.7789357823925878E-2</v>
      </c>
      <c r="E213">
        <f t="shared" si="3"/>
        <v>1</v>
      </c>
    </row>
    <row r="214" spans="1:5" x14ac:dyDescent="0.25">
      <c r="A214" s="13">
        <v>40576</v>
      </c>
      <c r="B214" t="s">
        <v>31</v>
      </c>
      <c r="C214">
        <v>304.85785290000001</v>
      </c>
      <c r="D214">
        <v>1.5711004751004509E-3</v>
      </c>
      <c r="E214">
        <f t="shared" si="3"/>
        <v>1</v>
      </c>
    </row>
    <row r="215" spans="1:5" x14ac:dyDescent="0.25">
      <c r="A215" s="13">
        <v>40577</v>
      </c>
      <c r="B215" t="s">
        <v>31</v>
      </c>
      <c r="C215">
        <v>303.93628169999999</v>
      </c>
      <c r="D215">
        <v>-3.0229537839797649E-3</v>
      </c>
      <c r="E215">
        <f t="shared" si="3"/>
        <v>0</v>
      </c>
    </row>
    <row r="216" spans="1:5" x14ac:dyDescent="0.25">
      <c r="A216" s="13">
        <v>40578</v>
      </c>
      <c r="B216" t="s">
        <v>31</v>
      </c>
      <c r="C216">
        <v>304.34973450000001</v>
      </c>
      <c r="D216">
        <v>1.3603272294029356E-3</v>
      </c>
      <c r="E216">
        <f t="shared" si="3"/>
        <v>1</v>
      </c>
    </row>
    <row r="217" spans="1:5" x14ac:dyDescent="0.25">
      <c r="A217" s="13">
        <v>40581</v>
      </c>
      <c r="B217" t="s">
        <v>31</v>
      </c>
      <c r="C217">
        <v>305.99857170000001</v>
      </c>
      <c r="D217">
        <v>5.4175739719595217E-3</v>
      </c>
      <c r="E217">
        <f t="shared" si="3"/>
        <v>1</v>
      </c>
    </row>
    <row r="218" spans="1:5" x14ac:dyDescent="0.25">
      <c r="A218" s="13">
        <v>40582</v>
      </c>
      <c r="B218" t="s">
        <v>31</v>
      </c>
      <c r="C218">
        <v>308.0359287</v>
      </c>
      <c r="D218">
        <v>6.6580604892412243E-3</v>
      </c>
      <c r="E218">
        <f t="shared" si="3"/>
        <v>1</v>
      </c>
    </row>
    <row r="219" spans="1:5" x14ac:dyDescent="0.25">
      <c r="A219" s="13">
        <v>40583</v>
      </c>
      <c r="B219" t="s">
        <v>31</v>
      </c>
      <c r="C219">
        <v>307.09943390000001</v>
      </c>
      <c r="D219">
        <v>-3.0402128866988676E-3</v>
      </c>
      <c r="E219">
        <f t="shared" si="3"/>
        <v>0</v>
      </c>
    </row>
    <row r="220" spans="1:5" x14ac:dyDescent="0.25">
      <c r="A220" s="13">
        <v>40584</v>
      </c>
      <c r="B220" t="s">
        <v>31</v>
      </c>
      <c r="C220">
        <v>307.06955740000001</v>
      </c>
      <c r="D220">
        <v>-9.7286079692726624E-5</v>
      </c>
      <c r="E220">
        <f t="shared" si="3"/>
        <v>0</v>
      </c>
    </row>
    <row r="221" spans="1:5" x14ac:dyDescent="0.25">
      <c r="A221" s="13">
        <v>40585</v>
      </c>
      <c r="B221" t="s">
        <v>31</v>
      </c>
      <c r="C221">
        <v>311.08451789999998</v>
      </c>
      <c r="D221">
        <v>1.3075084791847047E-2</v>
      </c>
      <c r="E221">
        <f t="shared" si="3"/>
        <v>1</v>
      </c>
    </row>
    <row r="222" spans="1:5" x14ac:dyDescent="0.25">
      <c r="A222" s="13">
        <v>40588</v>
      </c>
      <c r="B222" t="s">
        <v>31</v>
      </c>
      <c r="C222">
        <v>312.90269740000002</v>
      </c>
      <c r="D222">
        <v>5.8446479827212183E-3</v>
      </c>
      <c r="E222">
        <f t="shared" si="3"/>
        <v>1</v>
      </c>
    </row>
    <row r="223" spans="1:5" x14ac:dyDescent="0.25">
      <c r="A223" s="13">
        <v>40589</v>
      </c>
      <c r="B223" t="s">
        <v>31</v>
      </c>
      <c r="C223">
        <v>310.91017040000003</v>
      </c>
      <c r="D223">
        <v>-6.3678805473921241E-3</v>
      </c>
      <c r="E223">
        <f t="shared" si="3"/>
        <v>0</v>
      </c>
    </row>
    <row r="224" spans="1:5" x14ac:dyDescent="0.25">
      <c r="A224" s="13">
        <v>40590</v>
      </c>
      <c r="B224" t="s">
        <v>31</v>
      </c>
      <c r="C224">
        <v>310.94502169999998</v>
      </c>
      <c r="D224">
        <v>1.1209443536408514E-4</v>
      </c>
      <c r="E224">
        <f t="shared" si="3"/>
        <v>1</v>
      </c>
    </row>
    <row r="225" spans="1:5" x14ac:dyDescent="0.25">
      <c r="A225" s="13">
        <v>40591</v>
      </c>
      <c r="B225" t="s">
        <v>31</v>
      </c>
      <c r="C225">
        <v>311.4630889</v>
      </c>
      <c r="D225">
        <v>1.6661054650999318E-3</v>
      </c>
      <c r="E225">
        <f t="shared" si="3"/>
        <v>1</v>
      </c>
    </row>
    <row r="226" spans="1:5" x14ac:dyDescent="0.25">
      <c r="A226" s="13">
        <v>40592</v>
      </c>
      <c r="B226" t="s">
        <v>31</v>
      </c>
      <c r="C226">
        <v>313.86409429999998</v>
      </c>
      <c r="D226">
        <v>7.7087959555004471E-3</v>
      </c>
      <c r="E226">
        <f t="shared" si="3"/>
        <v>1</v>
      </c>
    </row>
    <row r="227" spans="1:5" x14ac:dyDescent="0.25">
      <c r="A227" s="13">
        <v>40596</v>
      </c>
      <c r="B227" t="s">
        <v>31</v>
      </c>
      <c r="C227">
        <v>303.96618910000001</v>
      </c>
      <c r="D227">
        <v>-3.1535640360758399E-2</v>
      </c>
      <c r="E227">
        <f t="shared" si="3"/>
        <v>0</v>
      </c>
    </row>
    <row r="228" spans="1:5" x14ac:dyDescent="0.25">
      <c r="A228" s="13">
        <v>40597</v>
      </c>
      <c r="B228" t="s">
        <v>31</v>
      </c>
      <c r="C228">
        <v>304.51910709999999</v>
      </c>
      <c r="D228">
        <v>1.8190115211071944E-3</v>
      </c>
      <c r="E228">
        <f t="shared" si="3"/>
        <v>1</v>
      </c>
    </row>
    <row r="229" spans="1:5" x14ac:dyDescent="0.25">
      <c r="A229" s="13">
        <v>40598</v>
      </c>
      <c r="B229" t="s">
        <v>31</v>
      </c>
      <c r="C229">
        <v>303.27377439999998</v>
      </c>
      <c r="D229">
        <v>-4.0895059487714436E-3</v>
      </c>
      <c r="E229">
        <f t="shared" si="3"/>
        <v>0</v>
      </c>
    </row>
    <row r="230" spans="1:5" x14ac:dyDescent="0.25">
      <c r="A230" s="13">
        <v>40599</v>
      </c>
      <c r="B230" t="s">
        <v>31</v>
      </c>
      <c r="C230">
        <v>303.88150250000001</v>
      </c>
      <c r="D230">
        <v>2.003892691355702E-3</v>
      </c>
      <c r="E230">
        <f t="shared" si="3"/>
        <v>1</v>
      </c>
    </row>
    <row r="231" spans="1:5" x14ac:dyDescent="0.25">
      <c r="A231" s="13">
        <v>40602</v>
      </c>
      <c r="B231" t="s">
        <v>31</v>
      </c>
      <c r="C231">
        <v>305.5552419</v>
      </c>
      <c r="D231">
        <v>5.5078686469243188E-3</v>
      </c>
      <c r="E231">
        <f t="shared" si="3"/>
        <v>1</v>
      </c>
    </row>
    <row r="232" spans="1:5" x14ac:dyDescent="0.25">
      <c r="A232" s="13">
        <v>40603</v>
      </c>
      <c r="B232" t="s">
        <v>31</v>
      </c>
      <c r="C232">
        <v>299.25881399999997</v>
      </c>
      <c r="D232">
        <v>-2.0606512461863402E-2</v>
      </c>
      <c r="E232">
        <f t="shared" si="3"/>
        <v>0</v>
      </c>
    </row>
    <row r="233" spans="1:5" x14ac:dyDescent="0.25">
      <c r="A233" s="13">
        <v>40604</v>
      </c>
      <c r="B233" t="s">
        <v>31</v>
      </c>
      <c r="C233">
        <v>299.2737674</v>
      </c>
      <c r="D233">
        <v>4.9968118900567404E-5</v>
      </c>
      <c r="E233">
        <f t="shared" si="3"/>
        <v>1</v>
      </c>
    </row>
    <row r="234" spans="1:5" x14ac:dyDescent="0.25">
      <c r="A234" s="13">
        <v>40605</v>
      </c>
      <c r="B234" t="s">
        <v>31</v>
      </c>
      <c r="C234">
        <v>303.64239679999997</v>
      </c>
      <c r="D234">
        <v>1.4597435110846213E-2</v>
      </c>
      <c r="E234">
        <f t="shared" si="3"/>
        <v>1</v>
      </c>
    </row>
    <row r="235" spans="1:5" x14ac:dyDescent="0.25">
      <c r="A235" s="13">
        <v>40606</v>
      </c>
      <c r="B235" t="s">
        <v>31</v>
      </c>
      <c r="C235">
        <v>299.18908140000002</v>
      </c>
      <c r="D235">
        <v>-1.4666316189478668E-2</v>
      </c>
      <c r="E235">
        <f t="shared" si="3"/>
        <v>0</v>
      </c>
    </row>
    <row r="236" spans="1:5" x14ac:dyDescent="0.25">
      <c r="A236" s="13">
        <v>40609</v>
      </c>
      <c r="B236" t="s">
        <v>31</v>
      </c>
      <c r="C236">
        <v>294.72581680000002</v>
      </c>
      <c r="D236">
        <v>-1.4917872601215909E-2</v>
      </c>
      <c r="E236">
        <f t="shared" si="3"/>
        <v>0</v>
      </c>
    </row>
    <row r="237" spans="1:5" x14ac:dyDescent="0.25">
      <c r="A237" s="13">
        <v>40610</v>
      </c>
      <c r="B237" t="s">
        <v>31</v>
      </c>
      <c r="C237">
        <v>295.04957819999998</v>
      </c>
      <c r="D237">
        <v>1.098517271120647E-3</v>
      </c>
      <c r="E237">
        <f t="shared" si="3"/>
        <v>1</v>
      </c>
    </row>
    <row r="238" spans="1:5" x14ac:dyDescent="0.25">
      <c r="A238" s="13">
        <v>40611</v>
      </c>
      <c r="B238" t="s">
        <v>31</v>
      </c>
      <c r="C238">
        <v>294.780596</v>
      </c>
      <c r="D238">
        <v>-9.1165085420885639E-4</v>
      </c>
      <c r="E238">
        <f t="shared" si="3"/>
        <v>0</v>
      </c>
    </row>
    <row r="239" spans="1:5" x14ac:dyDescent="0.25">
      <c r="A239" s="13">
        <v>40612</v>
      </c>
      <c r="B239" t="s">
        <v>31</v>
      </c>
      <c r="C239">
        <v>289.0669934</v>
      </c>
      <c r="D239">
        <v>-1.9382560037974783E-2</v>
      </c>
      <c r="E239">
        <f t="shared" si="3"/>
        <v>0</v>
      </c>
    </row>
    <row r="240" spans="1:5" x14ac:dyDescent="0.25">
      <c r="A240" s="13">
        <v>40613</v>
      </c>
      <c r="B240" t="s">
        <v>31</v>
      </c>
      <c r="C240">
        <v>287.27869090000002</v>
      </c>
      <c r="D240">
        <v>-6.1864638330582089E-3</v>
      </c>
      <c r="E240">
        <f t="shared" si="3"/>
        <v>0</v>
      </c>
    </row>
    <row r="241" spans="1:5" x14ac:dyDescent="0.25">
      <c r="A241" s="13">
        <v>40616</v>
      </c>
      <c r="B241" t="s">
        <v>31</v>
      </c>
      <c r="C241">
        <v>283.9312425</v>
      </c>
      <c r="D241">
        <v>-1.1652268358342099E-2</v>
      </c>
      <c r="E241">
        <f t="shared" si="3"/>
        <v>0</v>
      </c>
    </row>
    <row r="242" spans="1:5" x14ac:dyDescent="0.25">
      <c r="A242" s="13">
        <v>40617</v>
      </c>
      <c r="B242" t="s">
        <v>31</v>
      </c>
      <c r="C242">
        <v>283.71703939999998</v>
      </c>
      <c r="D242">
        <v>-7.5441891534711036E-4</v>
      </c>
      <c r="E242">
        <f t="shared" si="3"/>
        <v>0</v>
      </c>
    </row>
    <row r="243" spans="1:5" x14ac:dyDescent="0.25">
      <c r="A243" s="13">
        <v>40618</v>
      </c>
      <c r="B243" t="s">
        <v>31</v>
      </c>
      <c r="C243">
        <v>277.51030229999998</v>
      </c>
      <c r="D243">
        <v>-2.1876504538204333E-2</v>
      </c>
      <c r="E243">
        <f t="shared" si="3"/>
        <v>0</v>
      </c>
    </row>
    <row r="244" spans="1:5" x14ac:dyDescent="0.25">
      <c r="A244" s="13">
        <v>40619</v>
      </c>
      <c r="B244" t="s">
        <v>31</v>
      </c>
      <c r="C244">
        <v>279.6323458</v>
      </c>
      <c r="D244">
        <v>7.6467197160341449E-3</v>
      </c>
      <c r="E244">
        <f t="shared" si="3"/>
        <v>1</v>
      </c>
    </row>
    <row r="245" spans="1:5" x14ac:dyDescent="0.25">
      <c r="A245" s="13">
        <v>40620</v>
      </c>
      <c r="B245" t="s">
        <v>31</v>
      </c>
      <c r="C245">
        <v>279.48290100000003</v>
      </c>
      <c r="D245">
        <v>-5.3443316642221017E-4</v>
      </c>
      <c r="E245">
        <f t="shared" si="3"/>
        <v>0</v>
      </c>
    </row>
    <row r="246" spans="1:5" x14ac:dyDescent="0.25">
      <c r="A246" s="13">
        <v>40623</v>
      </c>
      <c r="B246" t="s">
        <v>31</v>
      </c>
      <c r="C246">
        <v>287.17410690000003</v>
      </c>
      <c r="D246">
        <v>2.7519414863952596E-2</v>
      </c>
      <c r="E246">
        <f t="shared" si="3"/>
        <v>1</v>
      </c>
    </row>
    <row r="247" spans="1:5" x14ac:dyDescent="0.25">
      <c r="A247" s="13">
        <v>40624</v>
      </c>
      <c r="B247" t="s">
        <v>31</v>
      </c>
      <c r="C247">
        <v>287.58255500000001</v>
      </c>
      <c r="D247">
        <v>1.4223012806033886E-3</v>
      </c>
      <c r="E247">
        <f t="shared" si="3"/>
        <v>1</v>
      </c>
    </row>
    <row r="248" spans="1:5" x14ac:dyDescent="0.25">
      <c r="A248" s="13">
        <v>40625</v>
      </c>
      <c r="B248" t="s">
        <v>31</v>
      </c>
      <c r="C248">
        <v>289.993539</v>
      </c>
      <c r="D248">
        <v>8.3836239649515143E-3</v>
      </c>
      <c r="E248">
        <f t="shared" si="3"/>
        <v>1</v>
      </c>
    </row>
    <row r="249" spans="1:5" x14ac:dyDescent="0.25">
      <c r="A249" s="13">
        <v>40626</v>
      </c>
      <c r="B249" t="s">
        <v>31</v>
      </c>
      <c r="C249">
        <v>292.34971400000001</v>
      </c>
      <c r="D249">
        <v>8.1249223969779294E-3</v>
      </c>
      <c r="E249">
        <f t="shared" si="3"/>
        <v>1</v>
      </c>
    </row>
    <row r="250" spans="1:5" x14ac:dyDescent="0.25">
      <c r="A250" s="13">
        <v>40627</v>
      </c>
      <c r="B250" t="s">
        <v>31</v>
      </c>
      <c r="C250">
        <v>288.7880624</v>
      </c>
      <c r="D250">
        <v>-1.218284619221488E-2</v>
      </c>
      <c r="E250">
        <f t="shared" si="3"/>
        <v>0</v>
      </c>
    </row>
    <row r="251" spans="1:5" x14ac:dyDescent="0.25">
      <c r="A251" s="13">
        <v>40630</v>
      </c>
      <c r="B251" t="s">
        <v>31</v>
      </c>
      <c r="C251">
        <v>286.60623500000003</v>
      </c>
      <c r="D251">
        <v>-7.5551163087134166E-3</v>
      </c>
      <c r="E251">
        <f t="shared" si="3"/>
        <v>0</v>
      </c>
    </row>
    <row r="252" spans="1:5" x14ac:dyDescent="0.25">
      <c r="A252" s="13">
        <v>40631</v>
      </c>
      <c r="B252" t="s">
        <v>31</v>
      </c>
      <c r="C252">
        <v>289.77933589999998</v>
      </c>
      <c r="D252">
        <v>1.1071290546069035E-2</v>
      </c>
      <c r="E252">
        <f t="shared" si="3"/>
        <v>1</v>
      </c>
    </row>
    <row r="253" spans="1:5" x14ac:dyDescent="0.25">
      <c r="A253" s="13">
        <v>40632</v>
      </c>
      <c r="B253" t="s">
        <v>31</v>
      </c>
      <c r="C253">
        <v>289.83411510000002</v>
      </c>
      <c r="D253">
        <v>1.8903763386002304E-4</v>
      </c>
      <c r="E253">
        <f t="shared" si="3"/>
        <v>1</v>
      </c>
    </row>
    <row r="254" spans="1:5" x14ac:dyDescent="0.25">
      <c r="A254" s="13">
        <v>40633</v>
      </c>
      <c r="B254" t="s">
        <v>31</v>
      </c>
      <c r="C254">
        <v>292.28495570000001</v>
      </c>
      <c r="D254">
        <v>8.4560114641936135E-3</v>
      </c>
      <c r="E254">
        <f t="shared" si="3"/>
        <v>1</v>
      </c>
    </row>
    <row r="255" spans="1:5" x14ac:dyDescent="0.25">
      <c r="A255" s="13">
        <v>40634</v>
      </c>
      <c r="B255" t="s">
        <v>31</v>
      </c>
      <c r="C255">
        <v>294.79554940000003</v>
      </c>
      <c r="D255">
        <v>8.5895413056320535E-3</v>
      </c>
      <c r="E255">
        <f t="shared" si="3"/>
        <v>1</v>
      </c>
    </row>
    <row r="256" spans="1:5" x14ac:dyDescent="0.25">
      <c r="A256" s="13">
        <v>40637</v>
      </c>
      <c r="B256" t="s">
        <v>31</v>
      </c>
      <c r="C256">
        <v>292.74323900000002</v>
      </c>
      <c r="D256">
        <v>-6.9618093087805422E-3</v>
      </c>
      <c r="E256">
        <f t="shared" si="3"/>
        <v>0</v>
      </c>
    </row>
    <row r="257" spans="1:5" x14ac:dyDescent="0.25">
      <c r="A257" s="13">
        <v>40638</v>
      </c>
      <c r="B257" t="s">
        <v>31</v>
      </c>
      <c r="C257">
        <v>283.48293840000002</v>
      </c>
      <c r="D257">
        <v>-3.1632841911679477E-2</v>
      </c>
      <c r="E257">
        <f t="shared" si="3"/>
        <v>0</v>
      </c>
    </row>
    <row r="258" spans="1:5" x14ac:dyDescent="0.25">
      <c r="A258" s="13">
        <v>40639</v>
      </c>
      <c r="B258" t="s">
        <v>31</v>
      </c>
      <c r="C258">
        <v>286.0184347</v>
      </c>
      <c r="D258">
        <v>8.9440878322712969E-3</v>
      </c>
      <c r="E258">
        <f t="shared" si="3"/>
        <v>1</v>
      </c>
    </row>
    <row r="259" spans="1:5" x14ac:dyDescent="0.25">
      <c r="A259" s="13">
        <v>40640</v>
      </c>
      <c r="B259" t="s">
        <v>31</v>
      </c>
      <c r="C259">
        <v>288.91754859999998</v>
      </c>
      <c r="D259">
        <v>1.0136108545034217E-2</v>
      </c>
      <c r="E259">
        <f t="shared" ref="E259:E322" si="4">IF(D259&gt;0,1,0)</f>
        <v>1</v>
      </c>
    </row>
    <row r="260" spans="1:5" x14ac:dyDescent="0.25">
      <c r="A260" s="13">
        <v>40641</v>
      </c>
      <c r="B260" t="s">
        <v>31</v>
      </c>
      <c r="C260">
        <v>288.00098209999999</v>
      </c>
      <c r="D260">
        <v>-3.1724154674624971E-3</v>
      </c>
      <c r="E260">
        <f t="shared" si="4"/>
        <v>0</v>
      </c>
    </row>
    <row r="261" spans="1:5" x14ac:dyDescent="0.25">
      <c r="A261" s="13">
        <v>40644</v>
      </c>
      <c r="B261" t="s">
        <v>31</v>
      </c>
      <c r="C261">
        <v>287.60745709999998</v>
      </c>
      <c r="D261">
        <v>-1.3664015904757409E-3</v>
      </c>
      <c r="E261">
        <f t="shared" si="4"/>
        <v>0</v>
      </c>
    </row>
    <row r="262" spans="1:5" x14ac:dyDescent="0.25">
      <c r="A262" s="13">
        <v>40645</v>
      </c>
      <c r="B262" t="s">
        <v>31</v>
      </c>
      <c r="C262">
        <v>284.24008090000001</v>
      </c>
      <c r="D262">
        <v>-1.1708236754199075E-2</v>
      </c>
      <c r="E262">
        <f t="shared" si="4"/>
        <v>0</v>
      </c>
    </row>
    <row r="263" spans="1:5" x14ac:dyDescent="0.25">
      <c r="A263" s="13">
        <v>40646</v>
      </c>
      <c r="B263" t="s">
        <v>31</v>
      </c>
      <c r="C263">
        <v>287.06451820000001</v>
      </c>
      <c r="D263">
        <v>9.9368016328200692E-3</v>
      </c>
      <c r="E263">
        <f t="shared" si="4"/>
        <v>1</v>
      </c>
    </row>
    <row r="264" spans="1:5" x14ac:dyDescent="0.25">
      <c r="A264" s="13">
        <v>40647</v>
      </c>
      <c r="B264" t="s">
        <v>31</v>
      </c>
      <c r="C264">
        <v>288.1753291</v>
      </c>
      <c r="D264">
        <v>3.8695513711175522E-3</v>
      </c>
      <c r="E264">
        <f t="shared" si="4"/>
        <v>1</v>
      </c>
    </row>
    <row r="265" spans="1:5" x14ac:dyDescent="0.25">
      <c r="A265" s="13">
        <v>40648</v>
      </c>
      <c r="B265" t="s">
        <v>31</v>
      </c>
      <c r="C265">
        <v>264.35958440000002</v>
      </c>
      <c r="D265">
        <v>-8.2643246298629736E-2</v>
      </c>
      <c r="E265">
        <f t="shared" si="4"/>
        <v>0</v>
      </c>
    </row>
    <row r="266" spans="1:5" x14ac:dyDescent="0.25">
      <c r="A266" s="13">
        <v>40651</v>
      </c>
      <c r="B266" t="s">
        <v>31</v>
      </c>
      <c r="C266">
        <v>262.43675960000002</v>
      </c>
      <c r="D266">
        <v>-7.2735202862574955E-3</v>
      </c>
      <c r="E266">
        <f t="shared" si="4"/>
        <v>0</v>
      </c>
    </row>
    <row r="267" spans="1:5" x14ac:dyDescent="0.25">
      <c r="A267" s="13">
        <v>40652</v>
      </c>
      <c r="B267" t="s">
        <v>31</v>
      </c>
      <c r="C267">
        <v>259.7916745</v>
      </c>
      <c r="D267">
        <v>-1.0078942843340988E-2</v>
      </c>
      <c r="E267">
        <f t="shared" si="4"/>
        <v>0</v>
      </c>
    </row>
    <row r="268" spans="1:5" x14ac:dyDescent="0.25">
      <c r="A268" s="13">
        <v>40653</v>
      </c>
      <c r="B268" t="s">
        <v>31</v>
      </c>
      <c r="C268">
        <v>261.88384159999998</v>
      </c>
      <c r="D268">
        <v>8.0532492198859273E-3</v>
      </c>
      <c r="E268">
        <f t="shared" si="4"/>
        <v>1</v>
      </c>
    </row>
    <row r="269" spans="1:5" x14ac:dyDescent="0.25">
      <c r="A269" s="13">
        <v>40654</v>
      </c>
      <c r="B269" t="s">
        <v>31</v>
      </c>
      <c r="C269">
        <v>261.57002879999999</v>
      </c>
      <c r="D269">
        <v>-1.1982900437182975E-3</v>
      </c>
      <c r="E269">
        <f t="shared" si="4"/>
        <v>0</v>
      </c>
    </row>
    <row r="270" spans="1:5" x14ac:dyDescent="0.25">
      <c r="A270" s="13">
        <v>40658</v>
      </c>
      <c r="B270" t="s">
        <v>31</v>
      </c>
      <c r="C270">
        <v>261.54512620000003</v>
      </c>
      <c r="D270">
        <v>-9.5204332523191049E-5</v>
      </c>
      <c r="E270">
        <f t="shared" si="4"/>
        <v>0</v>
      </c>
    </row>
    <row r="271" spans="1:5" x14ac:dyDescent="0.25">
      <c r="A271" s="13">
        <v>40659</v>
      </c>
      <c r="B271" t="s">
        <v>31</v>
      </c>
      <c r="C271">
        <v>265.41561610000002</v>
      </c>
      <c r="D271">
        <v>1.4798554865978586E-2</v>
      </c>
      <c r="E271">
        <f t="shared" si="4"/>
        <v>1</v>
      </c>
    </row>
    <row r="272" spans="1:5" x14ac:dyDescent="0.25">
      <c r="A272" s="13">
        <v>40660</v>
      </c>
      <c r="B272" t="s">
        <v>31</v>
      </c>
      <c r="C272">
        <v>267.87640549999998</v>
      </c>
      <c r="D272">
        <v>9.2714567294820416E-3</v>
      </c>
      <c r="E272">
        <f t="shared" si="4"/>
        <v>1</v>
      </c>
    </row>
    <row r="273" spans="1:5" x14ac:dyDescent="0.25">
      <c r="A273" s="13">
        <v>40661</v>
      </c>
      <c r="B273" t="s">
        <v>31</v>
      </c>
      <c r="C273">
        <v>267.98098950000002</v>
      </c>
      <c r="D273">
        <v>3.9041885680379806E-4</v>
      </c>
      <c r="E273">
        <f t="shared" si="4"/>
        <v>1</v>
      </c>
    </row>
    <row r="274" spans="1:5" x14ac:dyDescent="0.25">
      <c r="A274" s="13">
        <v>40662</v>
      </c>
      <c r="B274" t="s">
        <v>31</v>
      </c>
      <c r="C274">
        <v>271.03455300000002</v>
      </c>
      <c r="D274">
        <v>1.1394701936496832E-2</v>
      </c>
      <c r="E274">
        <f t="shared" si="4"/>
        <v>1</v>
      </c>
    </row>
    <row r="275" spans="1:5" x14ac:dyDescent="0.25">
      <c r="A275" s="13">
        <v>40665</v>
      </c>
      <c r="B275" t="s">
        <v>31</v>
      </c>
      <c r="C275">
        <v>268.2749048</v>
      </c>
      <c r="D275">
        <v>-1.0181905478302666E-2</v>
      </c>
      <c r="E275">
        <f t="shared" si="4"/>
        <v>0</v>
      </c>
    </row>
    <row r="276" spans="1:5" x14ac:dyDescent="0.25">
      <c r="A276" s="13">
        <v>40666</v>
      </c>
      <c r="B276" t="s">
        <v>31</v>
      </c>
      <c r="C276">
        <v>265.94860679999999</v>
      </c>
      <c r="D276">
        <v>-8.6713216867386755E-3</v>
      </c>
      <c r="E276">
        <f t="shared" si="4"/>
        <v>0</v>
      </c>
    </row>
    <row r="277" spans="1:5" x14ac:dyDescent="0.25">
      <c r="A277" s="13">
        <v>40667</v>
      </c>
      <c r="B277" t="s">
        <v>31</v>
      </c>
      <c r="C277">
        <v>266.8950802</v>
      </c>
      <c r="D277">
        <v>3.5588582748686814E-3</v>
      </c>
      <c r="E277">
        <f t="shared" si="4"/>
        <v>1</v>
      </c>
    </row>
    <row r="278" spans="1:5" x14ac:dyDescent="0.25">
      <c r="A278" s="13">
        <v>40668</v>
      </c>
      <c r="B278" t="s">
        <v>31</v>
      </c>
      <c r="C278">
        <v>266.13790729999999</v>
      </c>
      <c r="D278">
        <v>-2.8369683676170432E-3</v>
      </c>
      <c r="E278">
        <f t="shared" si="4"/>
        <v>0</v>
      </c>
    </row>
    <row r="279" spans="1:5" x14ac:dyDescent="0.25">
      <c r="A279" s="13">
        <v>40669</v>
      </c>
      <c r="B279" t="s">
        <v>31</v>
      </c>
      <c r="C279">
        <v>266.65100059999997</v>
      </c>
      <c r="D279">
        <v>1.927922651851377E-3</v>
      </c>
      <c r="E279">
        <f t="shared" si="4"/>
        <v>1</v>
      </c>
    </row>
    <row r="280" spans="1:5" x14ac:dyDescent="0.25">
      <c r="A280" s="13">
        <v>40672</v>
      </c>
      <c r="B280" t="s">
        <v>31</v>
      </c>
      <c r="C280">
        <v>267.83654940000002</v>
      </c>
      <c r="D280">
        <v>4.4460691965617638E-3</v>
      </c>
      <c r="E280">
        <f t="shared" si="4"/>
        <v>1</v>
      </c>
    </row>
    <row r="281" spans="1:5" x14ac:dyDescent="0.25">
      <c r="A281" s="13">
        <v>40673</v>
      </c>
      <c r="B281" t="s">
        <v>31</v>
      </c>
      <c r="C281">
        <v>270.3172361</v>
      </c>
      <c r="D281">
        <v>9.2619424255471205E-3</v>
      </c>
      <c r="E281">
        <f t="shared" si="4"/>
        <v>1</v>
      </c>
    </row>
    <row r="282" spans="1:5" x14ac:dyDescent="0.25">
      <c r="A282" s="13">
        <v>40674</v>
      </c>
      <c r="B282" t="s">
        <v>31</v>
      </c>
      <c r="C282">
        <v>266.72570760000002</v>
      </c>
      <c r="D282">
        <v>-1.32863466341131E-2</v>
      </c>
      <c r="E282">
        <f t="shared" si="4"/>
        <v>0</v>
      </c>
    </row>
    <row r="283" spans="1:5" x14ac:dyDescent="0.25">
      <c r="A283" s="13">
        <v>40675</v>
      </c>
      <c r="B283" t="s">
        <v>31</v>
      </c>
      <c r="C283">
        <v>266.52645790000003</v>
      </c>
      <c r="D283">
        <v>-7.4702098194001643E-4</v>
      </c>
      <c r="E283">
        <f t="shared" si="4"/>
        <v>0</v>
      </c>
    </row>
    <row r="284" spans="1:5" x14ac:dyDescent="0.25">
      <c r="A284" s="13">
        <v>40676</v>
      </c>
      <c r="B284" t="s">
        <v>31</v>
      </c>
      <c r="C284">
        <v>263.78670720000002</v>
      </c>
      <c r="D284">
        <v>-1.027946989423445E-2</v>
      </c>
      <c r="E284">
        <f t="shared" si="4"/>
        <v>0</v>
      </c>
    </row>
    <row r="285" spans="1:5" x14ac:dyDescent="0.25">
      <c r="A285" s="13">
        <v>40679</v>
      </c>
      <c r="B285" t="s">
        <v>31</v>
      </c>
      <c r="C285">
        <v>258.24247780000002</v>
      </c>
      <c r="D285">
        <v>-2.1017849833488533E-2</v>
      </c>
      <c r="E285">
        <f t="shared" si="4"/>
        <v>0</v>
      </c>
    </row>
    <row r="286" spans="1:5" x14ac:dyDescent="0.25">
      <c r="A286" s="13">
        <v>40680</v>
      </c>
      <c r="B286" t="s">
        <v>31</v>
      </c>
      <c r="C286">
        <v>264.24001600000003</v>
      </c>
      <c r="D286">
        <v>2.3224444913531705E-2</v>
      </c>
      <c r="E286">
        <f t="shared" si="4"/>
        <v>1</v>
      </c>
    </row>
    <row r="287" spans="1:5" x14ac:dyDescent="0.25">
      <c r="A287" s="13">
        <v>40681</v>
      </c>
      <c r="B287" t="s">
        <v>31</v>
      </c>
      <c r="C287">
        <v>263.91622419999999</v>
      </c>
      <c r="D287">
        <v>-1.2253700438772386E-3</v>
      </c>
      <c r="E287">
        <f t="shared" si="4"/>
        <v>0</v>
      </c>
    </row>
    <row r="288" spans="1:5" x14ac:dyDescent="0.25">
      <c r="A288" s="13">
        <v>40682</v>
      </c>
      <c r="B288" t="s">
        <v>31</v>
      </c>
      <c r="C288">
        <v>264.63354099999998</v>
      </c>
      <c r="D288">
        <v>2.7179715918350666E-3</v>
      </c>
      <c r="E288">
        <f t="shared" si="4"/>
        <v>1</v>
      </c>
    </row>
    <row r="289" spans="1:5" x14ac:dyDescent="0.25">
      <c r="A289" s="13">
        <v>40683</v>
      </c>
      <c r="B289" t="s">
        <v>31</v>
      </c>
      <c r="C289">
        <v>261.0370077</v>
      </c>
      <c r="D289">
        <v>-1.3590617751662815E-2</v>
      </c>
      <c r="E289">
        <f t="shared" si="4"/>
        <v>0</v>
      </c>
    </row>
    <row r="290" spans="1:5" x14ac:dyDescent="0.25">
      <c r="A290" s="13">
        <v>40686</v>
      </c>
      <c r="B290" t="s">
        <v>31</v>
      </c>
      <c r="C290">
        <v>258.22755469999998</v>
      </c>
      <c r="D290">
        <v>-1.0762661680633445E-2</v>
      </c>
      <c r="E290">
        <f t="shared" si="4"/>
        <v>0</v>
      </c>
    </row>
    <row r="291" spans="1:5" x14ac:dyDescent="0.25">
      <c r="A291" s="13">
        <v>40687</v>
      </c>
      <c r="B291" t="s">
        <v>31</v>
      </c>
      <c r="C291">
        <v>258.16279600000001</v>
      </c>
      <c r="D291">
        <v>-2.5078152513668961E-4</v>
      </c>
      <c r="E291">
        <f t="shared" si="4"/>
        <v>0</v>
      </c>
    </row>
    <row r="292" spans="1:5" x14ac:dyDescent="0.25">
      <c r="A292" s="13">
        <v>40688</v>
      </c>
      <c r="B292" t="s">
        <v>31</v>
      </c>
      <c r="C292">
        <v>258.86515930000002</v>
      </c>
      <c r="D292">
        <v>2.7206216809023687E-3</v>
      </c>
      <c r="E292">
        <f t="shared" si="4"/>
        <v>1</v>
      </c>
    </row>
    <row r="293" spans="1:5" x14ac:dyDescent="0.25">
      <c r="A293" s="13">
        <v>40689</v>
      </c>
      <c r="B293" t="s">
        <v>31</v>
      </c>
      <c r="C293">
        <v>258.09803770000002</v>
      </c>
      <c r="D293">
        <v>-2.963402267320836E-3</v>
      </c>
      <c r="E293">
        <f t="shared" si="4"/>
        <v>0</v>
      </c>
    </row>
    <row r="294" spans="1:5" x14ac:dyDescent="0.25">
      <c r="A294" s="13">
        <v>40690</v>
      </c>
      <c r="B294" t="s">
        <v>31</v>
      </c>
      <c r="C294">
        <v>259.47786180000003</v>
      </c>
      <c r="D294">
        <v>5.346123946916137E-3</v>
      </c>
      <c r="E294">
        <f t="shared" si="4"/>
        <v>1</v>
      </c>
    </row>
    <row r="295" spans="1:5" x14ac:dyDescent="0.25">
      <c r="A295" s="13">
        <v>40694</v>
      </c>
      <c r="B295" t="s">
        <v>31</v>
      </c>
      <c r="C295">
        <v>263.52269919999998</v>
      </c>
      <c r="D295">
        <v>1.5588371863175077E-2</v>
      </c>
      <c r="E295">
        <f t="shared" si="4"/>
        <v>1</v>
      </c>
    </row>
    <row r="296" spans="1:5" x14ac:dyDescent="0.25">
      <c r="A296" s="13">
        <v>40695</v>
      </c>
      <c r="B296" t="s">
        <v>31</v>
      </c>
      <c r="C296">
        <v>261.81908279999999</v>
      </c>
      <c r="D296">
        <v>-6.4647804730743053E-3</v>
      </c>
      <c r="E296">
        <f t="shared" si="4"/>
        <v>0</v>
      </c>
    </row>
    <row r="297" spans="1:5" x14ac:dyDescent="0.25">
      <c r="A297" s="13">
        <v>40696</v>
      </c>
      <c r="B297" t="s">
        <v>31</v>
      </c>
      <c r="C297">
        <v>263.04448769999999</v>
      </c>
      <c r="D297">
        <v>4.6803498312462111E-3</v>
      </c>
      <c r="E297">
        <f t="shared" si="4"/>
        <v>1</v>
      </c>
    </row>
    <row r="298" spans="1:5" x14ac:dyDescent="0.25">
      <c r="A298" s="13">
        <v>40697</v>
      </c>
      <c r="B298" t="s">
        <v>31</v>
      </c>
      <c r="C298">
        <v>260.56380139999999</v>
      </c>
      <c r="D298">
        <v>-9.4306720573791303E-3</v>
      </c>
      <c r="E298">
        <f t="shared" si="4"/>
        <v>0</v>
      </c>
    </row>
    <row r="299" spans="1:5" x14ac:dyDescent="0.25">
      <c r="A299" s="13">
        <v>40700</v>
      </c>
      <c r="B299" t="s">
        <v>31</v>
      </c>
      <c r="C299">
        <v>259.55757399999999</v>
      </c>
      <c r="D299">
        <v>-3.8617313479215598E-3</v>
      </c>
      <c r="E299">
        <f t="shared" si="4"/>
        <v>0</v>
      </c>
    </row>
    <row r="300" spans="1:5" x14ac:dyDescent="0.25">
      <c r="A300" s="13">
        <v>40701</v>
      </c>
      <c r="B300" t="s">
        <v>31</v>
      </c>
      <c r="C300">
        <v>258.54634179999999</v>
      </c>
      <c r="D300">
        <v>-3.8959841718970711E-3</v>
      </c>
      <c r="E300">
        <f t="shared" si="4"/>
        <v>0</v>
      </c>
    </row>
    <row r="301" spans="1:5" x14ac:dyDescent="0.25">
      <c r="A301" s="13">
        <v>40702</v>
      </c>
      <c r="B301" t="s">
        <v>31</v>
      </c>
      <c r="C301">
        <v>258.61607450000002</v>
      </c>
      <c r="D301">
        <v>2.697106426436946E-4</v>
      </c>
      <c r="E301">
        <f t="shared" si="4"/>
        <v>1</v>
      </c>
    </row>
    <row r="302" spans="1:5" x14ac:dyDescent="0.25">
      <c r="A302" s="13">
        <v>40703</v>
      </c>
      <c r="B302" t="s">
        <v>31</v>
      </c>
      <c r="C302">
        <v>257.40064869999998</v>
      </c>
      <c r="D302">
        <v>-4.6997302946072406E-3</v>
      </c>
      <c r="E302">
        <f t="shared" si="4"/>
        <v>0</v>
      </c>
    </row>
    <row r="303" spans="1:5" x14ac:dyDescent="0.25">
      <c r="A303" s="13">
        <v>40704</v>
      </c>
      <c r="B303" t="s">
        <v>31</v>
      </c>
      <c r="C303">
        <v>253.8041154</v>
      </c>
      <c r="D303">
        <v>-1.3972510629496226E-2</v>
      </c>
      <c r="E303">
        <f t="shared" si="4"/>
        <v>0</v>
      </c>
    </row>
    <row r="304" spans="1:5" x14ac:dyDescent="0.25">
      <c r="A304" s="13">
        <v>40707</v>
      </c>
      <c r="B304" t="s">
        <v>31</v>
      </c>
      <c r="C304">
        <v>251.42303870000001</v>
      </c>
      <c r="D304">
        <v>-9.3815527626388562E-3</v>
      </c>
      <c r="E304">
        <f t="shared" si="4"/>
        <v>0</v>
      </c>
    </row>
    <row r="305" spans="1:5" x14ac:dyDescent="0.25">
      <c r="A305" s="13">
        <v>40708</v>
      </c>
      <c r="B305" t="s">
        <v>31</v>
      </c>
      <c r="C305">
        <v>253.23624340000001</v>
      </c>
      <c r="D305">
        <v>7.2117682984633724E-3</v>
      </c>
      <c r="E305">
        <f t="shared" si="4"/>
        <v>1</v>
      </c>
    </row>
    <row r="306" spans="1:5" x14ac:dyDescent="0.25">
      <c r="A306" s="13">
        <v>40709</v>
      </c>
      <c r="B306" t="s">
        <v>31</v>
      </c>
      <c r="C306">
        <v>250.53636420000001</v>
      </c>
      <c r="D306">
        <v>-1.0661503913306003E-2</v>
      </c>
      <c r="E306">
        <f t="shared" si="4"/>
        <v>0</v>
      </c>
    </row>
    <row r="307" spans="1:5" x14ac:dyDescent="0.25">
      <c r="A307" s="13">
        <v>40710</v>
      </c>
      <c r="B307" t="s">
        <v>31</v>
      </c>
      <c r="C307">
        <v>249.2511749</v>
      </c>
      <c r="D307">
        <v>-5.1297515396769855E-3</v>
      </c>
      <c r="E307">
        <f t="shared" si="4"/>
        <v>0</v>
      </c>
    </row>
    <row r="308" spans="1:5" x14ac:dyDescent="0.25">
      <c r="A308" s="13">
        <v>40711</v>
      </c>
      <c r="B308" t="s">
        <v>31</v>
      </c>
      <c r="C308">
        <v>241.60481480000001</v>
      </c>
      <c r="D308">
        <v>-3.0677328213468691E-2</v>
      </c>
      <c r="E308">
        <f t="shared" si="4"/>
        <v>0</v>
      </c>
    </row>
    <row r="309" spans="1:5" x14ac:dyDescent="0.25">
      <c r="A309" s="13">
        <v>40714</v>
      </c>
      <c r="B309" t="s">
        <v>31</v>
      </c>
      <c r="C309">
        <v>241.38563740000001</v>
      </c>
      <c r="D309">
        <v>-9.0717314628618873E-4</v>
      </c>
      <c r="E309">
        <f t="shared" si="4"/>
        <v>0</v>
      </c>
    </row>
    <row r="310" spans="1:5" x14ac:dyDescent="0.25">
      <c r="A310" s="13">
        <v>40715</v>
      </c>
      <c r="B310" t="s">
        <v>31</v>
      </c>
      <c r="C310">
        <v>245.5799346</v>
      </c>
      <c r="D310">
        <v>1.7375918655216482E-2</v>
      </c>
      <c r="E310">
        <f t="shared" si="4"/>
        <v>1</v>
      </c>
    </row>
    <row r="311" spans="1:5" x14ac:dyDescent="0.25">
      <c r="A311" s="13">
        <v>40716</v>
      </c>
      <c r="B311" t="s">
        <v>31</v>
      </c>
      <c r="C311">
        <v>242.59610369999999</v>
      </c>
      <c r="D311">
        <v>-1.2150141276240922E-2</v>
      </c>
      <c r="E311">
        <f t="shared" si="4"/>
        <v>0</v>
      </c>
    </row>
    <row r="312" spans="1:5" x14ac:dyDescent="0.25">
      <c r="A312" s="13">
        <v>40717</v>
      </c>
      <c r="B312" t="s">
        <v>31</v>
      </c>
      <c r="C312">
        <v>239.213774</v>
      </c>
      <c r="D312">
        <v>-1.3942225981430689E-2</v>
      </c>
      <c r="E312">
        <f t="shared" si="4"/>
        <v>0</v>
      </c>
    </row>
    <row r="313" spans="1:5" x14ac:dyDescent="0.25">
      <c r="A313" s="13">
        <v>40718</v>
      </c>
      <c r="B313" t="s">
        <v>31</v>
      </c>
      <c r="C313">
        <v>236.55375050000001</v>
      </c>
      <c r="D313">
        <v>-1.1119859260278142E-2</v>
      </c>
      <c r="E313">
        <f t="shared" si="4"/>
        <v>0</v>
      </c>
    </row>
    <row r="314" spans="1:5" x14ac:dyDescent="0.25">
      <c r="A314" s="13">
        <v>40721</v>
      </c>
      <c r="B314" t="s">
        <v>31</v>
      </c>
      <c r="C314">
        <v>240.49896279999999</v>
      </c>
      <c r="D314">
        <v>1.6677868313907718E-2</v>
      </c>
      <c r="E314">
        <f t="shared" si="4"/>
        <v>1</v>
      </c>
    </row>
    <row r="315" spans="1:5" x14ac:dyDescent="0.25">
      <c r="A315" s="13">
        <v>40722</v>
      </c>
      <c r="B315" t="s">
        <v>31</v>
      </c>
      <c r="C315">
        <v>245.90371149999999</v>
      </c>
      <c r="D315">
        <v>2.2473064486746352E-2</v>
      </c>
      <c r="E315">
        <f t="shared" si="4"/>
        <v>1</v>
      </c>
    </row>
    <row r="316" spans="1:5" x14ac:dyDescent="0.25">
      <c r="A316" s="13">
        <v>40723</v>
      </c>
      <c r="B316" t="s">
        <v>31</v>
      </c>
      <c r="C316">
        <v>247.85639739999999</v>
      </c>
      <c r="D316">
        <v>7.9408557442615102E-3</v>
      </c>
      <c r="E316">
        <f t="shared" si="4"/>
        <v>1</v>
      </c>
    </row>
    <row r="317" spans="1:5" x14ac:dyDescent="0.25">
      <c r="A317" s="13">
        <v>40724</v>
      </c>
      <c r="B317" t="s">
        <v>31</v>
      </c>
      <c r="C317">
        <v>252.24495450000001</v>
      </c>
      <c r="D317">
        <v>1.7706047316251361E-2</v>
      </c>
      <c r="E317">
        <f t="shared" si="4"/>
        <v>1</v>
      </c>
    </row>
    <row r="318" spans="1:5" x14ac:dyDescent="0.25">
      <c r="A318" s="13">
        <v>40725</v>
      </c>
      <c r="B318" t="s">
        <v>31</v>
      </c>
      <c r="C318">
        <v>259.5426205</v>
      </c>
      <c r="D318">
        <v>2.893087005234829E-2</v>
      </c>
      <c r="E318">
        <f t="shared" si="4"/>
        <v>1</v>
      </c>
    </row>
    <row r="319" spans="1:5" x14ac:dyDescent="0.25">
      <c r="A319" s="13">
        <v>40729</v>
      </c>
      <c r="B319" t="s">
        <v>31</v>
      </c>
      <c r="C319">
        <v>265.22631519999999</v>
      </c>
      <c r="D319">
        <v>2.1898887701181868E-2</v>
      </c>
      <c r="E319">
        <f t="shared" si="4"/>
        <v>1</v>
      </c>
    </row>
    <row r="320" spans="1:5" x14ac:dyDescent="0.25">
      <c r="A320" s="13">
        <v>40730</v>
      </c>
      <c r="B320" t="s">
        <v>31</v>
      </c>
      <c r="C320">
        <v>266.68087709999998</v>
      </c>
      <c r="D320">
        <v>5.4842291908445695E-3</v>
      </c>
      <c r="E320">
        <f t="shared" si="4"/>
        <v>1</v>
      </c>
    </row>
    <row r="321" spans="1:5" x14ac:dyDescent="0.25">
      <c r="A321" s="13">
        <v>40731</v>
      </c>
      <c r="B321" t="s">
        <v>31</v>
      </c>
      <c r="C321">
        <v>272.2798856</v>
      </c>
      <c r="D321">
        <v>2.0995163061131361E-2</v>
      </c>
      <c r="E321">
        <f t="shared" si="4"/>
        <v>1</v>
      </c>
    </row>
    <row r="322" spans="1:5" x14ac:dyDescent="0.25">
      <c r="A322" s="13">
        <v>40732</v>
      </c>
      <c r="B322" t="s">
        <v>31</v>
      </c>
      <c r="C322">
        <v>265.00216330000001</v>
      </c>
      <c r="D322">
        <v>-2.6728828256860404E-2</v>
      </c>
      <c r="E322">
        <f t="shared" si="4"/>
        <v>0</v>
      </c>
    </row>
    <row r="323" spans="1:5" x14ac:dyDescent="0.25">
      <c r="A323" s="13">
        <v>40735</v>
      </c>
      <c r="B323" t="s">
        <v>31</v>
      </c>
      <c r="C323">
        <v>262.65596799999997</v>
      </c>
      <c r="D323">
        <v>-8.8534948952245784E-3</v>
      </c>
      <c r="E323">
        <f t="shared" ref="E323:E386" si="5">IF(D323&gt;0,1,0)</f>
        <v>0</v>
      </c>
    </row>
    <row r="324" spans="1:5" x14ac:dyDescent="0.25">
      <c r="A324" s="13">
        <v>40736</v>
      </c>
      <c r="B324" t="s">
        <v>31</v>
      </c>
      <c r="C324">
        <v>266.00839070000001</v>
      </c>
      <c r="D324">
        <v>1.2763550455476613E-2</v>
      </c>
      <c r="E324">
        <f t="shared" si="5"/>
        <v>1</v>
      </c>
    </row>
    <row r="325" spans="1:5" x14ac:dyDescent="0.25">
      <c r="A325" s="13">
        <v>40737</v>
      </c>
      <c r="B325" t="s">
        <v>31</v>
      </c>
      <c r="C325">
        <v>268.12545999999998</v>
      </c>
      <c r="D325">
        <v>7.9586560951288021E-3</v>
      </c>
      <c r="E325">
        <f t="shared" si="5"/>
        <v>1</v>
      </c>
    </row>
    <row r="326" spans="1:5" x14ac:dyDescent="0.25">
      <c r="A326" s="13">
        <v>40738</v>
      </c>
      <c r="B326" t="s">
        <v>31</v>
      </c>
      <c r="C326">
        <v>263.48284310000003</v>
      </c>
      <c r="D326">
        <v>-1.7315091599283239E-2</v>
      </c>
      <c r="E326">
        <f t="shared" si="5"/>
        <v>0</v>
      </c>
    </row>
    <row r="327" spans="1:5" x14ac:dyDescent="0.25">
      <c r="A327" s="13">
        <v>40739</v>
      </c>
      <c r="B327" t="s">
        <v>31</v>
      </c>
      <c r="C327">
        <v>297.69469370000002</v>
      </c>
      <c r="D327">
        <v>0.12984469955417755</v>
      </c>
      <c r="E327">
        <f t="shared" si="5"/>
        <v>1</v>
      </c>
    </row>
    <row r="328" spans="1:5" x14ac:dyDescent="0.25">
      <c r="A328" s="13">
        <v>40742</v>
      </c>
      <c r="B328" t="s">
        <v>31</v>
      </c>
      <c r="C328">
        <v>296.35966969999998</v>
      </c>
      <c r="D328">
        <v>-4.4845408005337317E-3</v>
      </c>
      <c r="E328">
        <f t="shared" si="5"/>
        <v>0</v>
      </c>
    </row>
    <row r="329" spans="1:5" x14ac:dyDescent="0.25">
      <c r="A329" s="13">
        <v>40743</v>
      </c>
      <c r="B329" t="s">
        <v>31</v>
      </c>
      <c r="C329">
        <v>300.15047779999998</v>
      </c>
      <c r="D329">
        <v>1.279124147977817E-2</v>
      </c>
      <c r="E329">
        <f t="shared" si="5"/>
        <v>1</v>
      </c>
    </row>
    <row r="330" spans="1:5" x14ac:dyDescent="0.25">
      <c r="A330" s="13">
        <v>40744</v>
      </c>
      <c r="B330" t="s">
        <v>31</v>
      </c>
      <c r="C330">
        <v>296.56392410000001</v>
      </c>
      <c r="D330">
        <v>-1.1949185376242566E-2</v>
      </c>
      <c r="E330">
        <f t="shared" si="5"/>
        <v>0</v>
      </c>
    </row>
    <row r="331" spans="1:5" x14ac:dyDescent="0.25">
      <c r="A331" s="13">
        <v>40745</v>
      </c>
      <c r="B331" t="s">
        <v>31</v>
      </c>
      <c r="C331">
        <v>302.36218229999997</v>
      </c>
      <c r="D331">
        <v>1.9551461687716376E-2</v>
      </c>
      <c r="E331">
        <f t="shared" si="5"/>
        <v>1</v>
      </c>
    </row>
    <row r="332" spans="1:5" x14ac:dyDescent="0.25">
      <c r="A332" s="13">
        <v>40746</v>
      </c>
      <c r="B332" t="s">
        <v>31</v>
      </c>
      <c r="C332">
        <v>307.96122120000001</v>
      </c>
      <c r="D332">
        <v>1.8517656068657296E-2</v>
      </c>
      <c r="E332">
        <f t="shared" si="5"/>
        <v>1</v>
      </c>
    </row>
    <row r="333" spans="1:5" x14ac:dyDescent="0.25">
      <c r="A333" s="13">
        <v>40749</v>
      </c>
      <c r="B333" t="s">
        <v>31</v>
      </c>
      <c r="C333">
        <v>308.33481840000002</v>
      </c>
      <c r="D333">
        <v>1.2131306615301707E-3</v>
      </c>
      <c r="E333">
        <f t="shared" si="5"/>
        <v>1</v>
      </c>
    </row>
    <row r="334" spans="1:5" x14ac:dyDescent="0.25">
      <c r="A334" s="13">
        <v>40750</v>
      </c>
      <c r="B334" t="s">
        <v>31</v>
      </c>
      <c r="C334">
        <v>310.09821820000002</v>
      </c>
      <c r="D334">
        <v>5.7191069407942496E-3</v>
      </c>
      <c r="E334">
        <f t="shared" si="5"/>
        <v>1</v>
      </c>
    </row>
    <row r="335" spans="1:5" x14ac:dyDescent="0.25">
      <c r="A335" s="13">
        <v>40751</v>
      </c>
      <c r="B335" t="s">
        <v>31</v>
      </c>
      <c r="C335">
        <v>302.47677579999998</v>
      </c>
      <c r="D335">
        <v>-2.4577511100320248E-2</v>
      </c>
      <c r="E335">
        <f t="shared" si="5"/>
        <v>0</v>
      </c>
    </row>
    <row r="336" spans="1:5" x14ac:dyDescent="0.25">
      <c r="A336" s="13">
        <v>40752</v>
      </c>
      <c r="B336" t="s">
        <v>31</v>
      </c>
      <c r="C336">
        <v>304.32980670000001</v>
      </c>
      <c r="D336">
        <v>6.126192317076562E-3</v>
      </c>
      <c r="E336">
        <f t="shared" si="5"/>
        <v>1</v>
      </c>
    </row>
    <row r="337" spans="1:5" x14ac:dyDescent="0.25">
      <c r="A337" s="13">
        <v>40753</v>
      </c>
      <c r="B337" t="s">
        <v>31</v>
      </c>
      <c r="C337">
        <v>300.7183503</v>
      </c>
      <c r="D337">
        <v>-1.1866916484983281E-2</v>
      </c>
      <c r="E337">
        <f t="shared" si="5"/>
        <v>0</v>
      </c>
    </row>
    <row r="338" spans="1:5" x14ac:dyDescent="0.25">
      <c r="A338" s="13">
        <v>40756</v>
      </c>
      <c r="B338" t="s">
        <v>31</v>
      </c>
      <c r="C338">
        <v>302.25259360000001</v>
      </c>
      <c r="D338">
        <v>5.1019277622048609E-3</v>
      </c>
      <c r="E338">
        <f t="shared" si="5"/>
        <v>1</v>
      </c>
    </row>
    <row r="339" spans="1:5" x14ac:dyDescent="0.25">
      <c r="A339" s="13">
        <v>40757</v>
      </c>
      <c r="B339" t="s">
        <v>31</v>
      </c>
      <c r="C339">
        <v>295.09440869999997</v>
      </c>
      <c r="D339">
        <v>-2.3682790657780561E-2</v>
      </c>
      <c r="E339">
        <f t="shared" si="5"/>
        <v>0</v>
      </c>
    </row>
    <row r="340" spans="1:5" x14ac:dyDescent="0.25">
      <c r="A340" s="13">
        <v>40758</v>
      </c>
      <c r="B340" t="s">
        <v>31</v>
      </c>
      <c r="C340">
        <v>299.4630684</v>
      </c>
      <c r="D340">
        <v>1.4804278126602233E-2</v>
      </c>
      <c r="E340">
        <f t="shared" si="5"/>
        <v>1</v>
      </c>
    </row>
    <row r="341" spans="1:5" x14ac:dyDescent="0.25">
      <c r="A341" s="13">
        <v>40759</v>
      </c>
      <c r="B341" t="s">
        <v>31</v>
      </c>
      <c r="C341">
        <v>287.68219499999998</v>
      </c>
      <c r="D341">
        <v>-3.9339987608301707E-2</v>
      </c>
      <c r="E341">
        <f t="shared" si="5"/>
        <v>0</v>
      </c>
    </row>
    <row r="342" spans="1:5" x14ac:dyDescent="0.25">
      <c r="A342" s="13">
        <v>40760</v>
      </c>
      <c r="B342" t="s">
        <v>31</v>
      </c>
      <c r="C342">
        <v>288.43936789999998</v>
      </c>
      <c r="D342">
        <v>2.6319769285687578E-3</v>
      </c>
      <c r="E342">
        <f t="shared" si="5"/>
        <v>1</v>
      </c>
    </row>
    <row r="343" spans="1:5" x14ac:dyDescent="0.25">
      <c r="A343" s="13">
        <v>40763</v>
      </c>
      <c r="B343" t="s">
        <v>31</v>
      </c>
      <c r="C343">
        <v>271.99097560000001</v>
      </c>
      <c r="D343">
        <v>-5.7025476167672506E-2</v>
      </c>
      <c r="E343">
        <f t="shared" si="5"/>
        <v>0</v>
      </c>
    </row>
    <row r="344" spans="1:5" x14ac:dyDescent="0.25">
      <c r="A344" s="13">
        <v>40764</v>
      </c>
      <c r="B344" t="s">
        <v>31</v>
      </c>
      <c r="C344">
        <v>285.63485839999998</v>
      </c>
      <c r="D344">
        <v>5.0162998128530534E-2</v>
      </c>
      <c r="E344">
        <f t="shared" si="5"/>
        <v>1</v>
      </c>
    </row>
    <row r="345" spans="1:5" x14ac:dyDescent="0.25">
      <c r="A345" s="13">
        <v>40765</v>
      </c>
      <c r="B345" t="s">
        <v>31</v>
      </c>
      <c r="C345">
        <v>273.48038839999998</v>
      </c>
      <c r="D345">
        <v>-4.2552474400652462E-2</v>
      </c>
      <c r="E345">
        <f t="shared" si="5"/>
        <v>0</v>
      </c>
    </row>
    <row r="346" spans="1:5" x14ac:dyDescent="0.25">
      <c r="A346" s="13">
        <v>40766</v>
      </c>
      <c r="B346" t="s">
        <v>31</v>
      </c>
      <c r="C346">
        <v>280.01592210000001</v>
      </c>
      <c r="D346">
        <v>2.3897632068742736E-2</v>
      </c>
      <c r="E346">
        <f t="shared" si="5"/>
        <v>1</v>
      </c>
    </row>
    <row r="347" spans="1:5" x14ac:dyDescent="0.25">
      <c r="A347" s="13">
        <v>40767</v>
      </c>
      <c r="B347" t="s">
        <v>31</v>
      </c>
      <c r="C347">
        <v>280.83284850000001</v>
      </c>
      <c r="D347">
        <v>2.9174283871908901E-3</v>
      </c>
      <c r="E347">
        <f t="shared" si="5"/>
        <v>1</v>
      </c>
    </row>
    <row r="348" spans="1:5" x14ac:dyDescent="0.25">
      <c r="A348" s="13">
        <v>40770</v>
      </c>
      <c r="B348" t="s">
        <v>31</v>
      </c>
      <c r="C348">
        <v>277.57506100000001</v>
      </c>
      <c r="D348">
        <v>-1.1600450294189879E-2</v>
      </c>
      <c r="E348">
        <f t="shared" si="5"/>
        <v>0</v>
      </c>
    </row>
    <row r="349" spans="1:5" x14ac:dyDescent="0.25">
      <c r="A349" s="13">
        <v>40771</v>
      </c>
      <c r="B349" t="s">
        <v>31</v>
      </c>
      <c r="C349">
        <v>268.4940823</v>
      </c>
      <c r="D349">
        <v>-3.2715398376513383E-2</v>
      </c>
      <c r="E349">
        <f t="shared" si="5"/>
        <v>0</v>
      </c>
    </row>
    <row r="350" spans="1:5" x14ac:dyDescent="0.25">
      <c r="A350" s="13">
        <v>40772</v>
      </c>
      <c r="B350" t="s">
        <v>31</v>
      </c>
      <c r="C350">
        <v>265.57998400000002</v>
      </c>
      <c r="D350">
        <v>-1.0853491723307074E-2</v>
      </c>
      <c r="E350">
        <f t="shared" si="5"/>
        <v>0</v>
      </c>
    </row>
    <row r="351" spans="1:5" x14ac:dyDescent="0.25">
      <c r="A351" s="13">
        <v>40773</v>
      </c>
      <c r="B351" t="s">
        <v>31</v>
      </c>
      <c r="C351">
        <v>251.49776109999999</v>
      </c>
      <c r="D351">
        <v>-5.3024413541647109E-2</v>
      </c>
      <c r="E351">
        <f t="shared" si="5"/>
        <v>0</v>
      </c>
    </row>
    <row r="352" spans="1:5" x14ac:dyDescent="0.25">
      <c r="A352" s="13">
        <v>40774</v>
      </c>
      <c r="B352" t="s">
        <v>31</v>
      </c>
      <c r="C352">
        <v>244.54381520000001</v>
      </c>
      <c r="D352">
        <v>-2.7650130440862952E-2</v>
      </c>
      <c r="E352">
        <f t="shared" si="5"/>
        <v>0</v>
      </c>
    </row>
    <row r="353" spans="1:5" x14ac:dyDescent="0.25">
      <c r="A353" s="13">
        <v>40777</v>
      </c>
      <c r="B353" t="s">
        <v>31</v>
      </c>
      <c r="C353">
        <v>248.15528710000001</v>
      </c>
      <c r="D353">
        <v>1.4768199707060115E-2</v>
      </c>
      <c r="E353">
        <f t="shared" si="5"/>
        <v>1</v>
      </c>
    </row>
    <row r="354" spans="1:5" x14ac:dyDescent="0.25">
      <c r="A354" s="13">
        <v>40778</v>
      </c>
      <c r="B354" t="s">
        <v>31</v>
      </c>
      <c r="C354">
        <v>258.44172750000001</v>
      </c>
      <c r="D354">
        <v>4.1451627004242875E-2</v>
      </c>
      <c r="E354">
        <f t="shared" si="5"/>
        <v>1</v>
      </c>
    </row>
    <row r="355" spans="1:5" x14ac:dyDescent="0.25">
      <c r="A355" s="13">
        <v>40779</v>
      </c>
      <c r="B355" t="s">
        <v>31</v>
      </c>
      <c r="C355">
        <v>260.66838539999998</v>
      </c>
      <c r="D355">
        <v>8.6157058364344508E-3</v>
      </c>
      <c r="E355">
        <f t="shared" si="5"/>
        <v>1</v>
      </c>
    </row>
    <row r="356" spans="1:5" x14ac:dyDescent="0.25">
      <c r="A356" s="13">
        <v>40780</v>
      </c>
      <c r="B356" t="s">
        <v>31</v>
      </c>
      <c r="C356">
        <v>259.04945550000002</v>
      </c>
      <c r="D356">
        <v>-6.2106875657962357E-3</v>
      </c>
      <c r="E356">
        <f t="shared" si="5"/>
        <v>0</v>
      </c>
    </row>
    <row r="357" spans="1:5" x14ac:dyDescent="0.25">
      <c r="A357" s="13">
        <v>40781</v>
      </c>
      <c r="B357" t="s">
        <v>31</v>
      </c>
      <c r="C357">
        <v>262.44673920000002</v>
      </c>
      <c r="D357">
        <v>1.3114421311725133E-2</v>
      </c>
      <c r="E357">
        <f t="shared" si="5"/>
        <v>1</v>
      </c>
    </row>
    <row r="358" spans="1:5" x14ac:dyDescent="0.25">
      <c r="A358" s="13">
        <v>40784</v>
      </c>
      <c r="B358" t="s">
        <v>31</v>
      </c>
      <c r="C358">
        <v>268.53393840000001</v>
      </c>
      <c r="D358">
        <v>2.319403631592154E-2</v>
      </c>
      <c r="E358">
        <f t="shared" si="5"/>
        <v>1</v>
      </c>
    </row>
    <row r="359" spans="1:5" x14ac:dyDescent="0.25">
      <c r="A359" s="13">
        <v>40785</v>
      </c>
      <c r="B359" t="s">
        <v>31</v>
      </c>
      <c r="C359">
        <v>269.34091610000002</v>
      </c>
      <c r="D359">
        <v>3.0051236905406231E-3</v>
      </c>
      <c r="E359">
        <f t="shared" si="5"/>
        <v>1</v>
      </c>
    </row>
    <row r="360" spans="1:5" x14ac:dyDescent="0.25">
      <c r="A360" s="13">
        <v>40786</v>
      </c>
      <c r="B360" t="s">
        <v>31</v>
      </c>
      <c r="C360">
        <v>269.4704327</v>
      </c>
      <c r="D360">
        <v>4.8086492715393447E-4</v>
      </c>
      <c r="E360">
        <f t="shared" si="5"/>
        <v>1</v>
      </c>
    </row>
    <row r="361" spans="1:5" x14ac:dyDescent="0.25">
      <c r="A361" s="13">
        <v>40787</v>
      </c>
      <c r="B361" t="s">
        <v>31</v>
      </c>
      <c r="C361">
        <v>265.2562226</v>
      </c>
      <c r="D361">
        <v>-1.563885899382389E-2</v>
      </c>
      <c r="E361">
        <f t="shared" si="5"/>
        <v>0</v>
      </c>
    </row>
    <row r="362" spans="1:5" x14ac:dyDescent="0.25">
      <c r="A362" s="13">
        <v>40788</v>
      </c>
      <c r="B362" t="s">
        <v>31</v>
      </c>
      <c r="C362">
        <v>261.44051180000002</v>
      </c>
      <c r="D362">
        <v>-1.4385000142876914E-2</v>
      </c>
      <c r="E362">
        <f t="shared" si="5"/>
        <v>0</v>
      </c>
    </row>
    <row r="363" spans="1:5" x14ac:dyDescent="0.25">
      <c r="A363" s="13">
        <v>40792</v>
      </c>
      <c r="B363" t="s">
        <v>31</v>
      </c>
      <c r="C363">
        <v>260.1154669</v>
      </c>
      <c r="D363">
        <v>-5.0682462747535517E-3</v>
      </c>
      <c r="E363">
        <f t="shared" si="5"/>
        <v>0</v>
      </c>
    </row>
    <row r="364" spans="1:5" x14ac:dyDescent="0.25">
      <c r="A364" s="13">
        <v>40793</v>
      </c>
      <c r="B364" t="s">
        <v>31</v>
      </c>
      <c r="C364">
        <v>266.01836980000002</v>
      </c>
      <c r="D364">
        <v>2.269339447726626E-2</v>
      </c>
      <c r="E364">
        <f t="shared" si="5"/>
        <v>1</v>
      </c>
    </row>
    <row r="365" spans="1:5" x14ac:dyDescent="0.25">
      <c r="A365" s="13">
        <v>40794</v>
      </c>
      <c r="B365" t="s">
        <v>31</v>
      </c>
      <c r="C365">
        <v>266.48162739999998</v>
      </c>
      <c r="D365">
        <v>1.7414496613457064E-3</v>
      </c>
      <c r="E365">
        <f t="shared" si="5"/>
        <v>1</v>
      </c>
    </row>
    <row r="366" spans="1:5" x14ac:dyDescent="0.25">
      <c r="A366" s="13">
        <v>40795</v>
      </c>
      <c r="B366" t="s">
        <v>31</v>
      </c>
      <c r="C366">
        <v>261.44548609999998</v>
      </c>
      <c r="D366">
        <v>-1.8898643591817033E-2</v>
      </c>
      <c r="E366">
        <f t="shared" si="5"/>
        <v>0</v>
      </c>
    </row>
    <row r="367" spans="1:5" x14ac:dyDescent="0.25">
      <c r="A367" s="13">
        <v>40798</v>
      </c>
      <c r="B367" t="s">
        <v>31</v>
      </c>
      <c r="C367">
        <v>264.07064339999999</v>
      </c>
      <c r="D367">
        <v>1.0040935642682713E-2</v>
      </c>
      <c r="E367">
        <f t="shared" si="5"/>
        <v>1</v>
      </c>
    </row>
    <row r="368" spans="1:5" x14ac:dyDescent="0.25">
      <c r="A368" s="13">
        <v>40799</v>
      </c>
      <c r="B368" t="s">
        <v>31</v>
      </c>
      <c r="C368">
        <v>263.77178409999999</v>
      </c>
      <c r="D368">
        <v>-1.1317399622771118E-3</v>
      </c>
      <c r="E368">
        <f t="shared" si="5"/>
        <v>0</v>
      </c>
    </row>
    <row r="369" spans="1:5" x14ac:dyDescent="0.25">
      <c r="A369" s="13">
        <v>40800</v>
      </c>
      <c r="B369" t="s">
        <v>31</v>
      </c>
      <c r="C369">
        <v>265.04201940000002</v>
      </c>
      <c r="D369">
        <v>4.8156602660671677E-3</v>
      </c>
      <c r="E369">
        <f t="shared" si="5"/>
        <v>1</v>
      </c>
    </row>
    <row r="370" spans="1:5" x14ac:dyDescent="0.25">
      <c r="A370" s="13">
        <v>40801</v>
      </c>
      <c r="B370" t="s">
        <v>31</v>
      </c>
      <c r="C370">
        <v>270.2674313</v>
      </c>
      <c r="D370">
        <v>1.9715409321998223E-2</v>
      </c>
      <c r="E370">
        <f t="shared" si="5"/>
        <v>1</v>
      </c>
    </row>
    <row r="371" spans="1:5" x14ac:dyDescent="0.25">
      <c r="A371" s="13">
        <v>40802</v>
      </c>
      <c r="B371" t="s">
        <v>31</v>
      </c>
      <c r="C371">
        <v>272.31974179999997</v>
      </c>
      <c r="D371">
        <v>7.5936286149176357E-3</v>
      </c>
      <c r="E371">
        <f t="shared" si="5"/>
        <v>1</v>
      </c>
    </row>
    <row r="372" spans="1:5" x14ac:dyDescent="0.25">
      <c r="A372" s="13">
        <v>40805</v>
      </c>
      <c r="B372" t="s">
        <v>31</v>
      </c>
      <c r="C372">
        <v>272.31476739999999</v>
      </c>
      <c r="D372">
        <v>-1.8266762325414021E-5</v>
      </c>
      <c r="E372">
        <f t="shared" si="5"/>
        <v>0</v>
      </c>
    </row>
    <row r="373" spans="1:5" x14ac:dyDescent="0.25">
      <c r="A373" s="13">
        <v>40806</v>
      </c>
      <c r="B373" t="s">
        <v>31</v>
      </c>
      <c r="C373">
        <v>272.29483959999999</v>
      </c>
      <c r="D373">
        <v>-7.3179285098201596E-5</v>
      </c>
      <c r="E373">
        <f t="shared" si="5"/>
        <v>0</v>
      </c>
    </row>
    <row r="374" spans="1:5" x14ac:dyDescent="0.25">
      <c r="A374" s="13">
        <v>40807</v>
      </c>
      <c r="B374" t="s">
        <v>31</v>
      </c>
      <c r="C374">
        <v>268.59372230000002</v>
      </c>
      <c r="D374">
        <v>-1.3592315247093478E-2</v>
      </c>
      <c r="E374">
        <f t="shared" si="5"/>
        <v>0</v>
      </c>
    </row>
    <row r="375" spans="1:5" x14ac:dyDescent="0.25">
      <c r="A375" s="13">
        <v>40808</v>
      </c>
      <c r="B375" t="s">
        <v>31</v>
      </c>
      <c r="C375">
        <v>259.35829389999998</v>
      </c>
      <c r="D375">
        <v>-3.4384379206319426E-2</v>
      </c>
      <c r="E375">
        <f t="shared" si="5"/>
        <v>0</v>
      </c>
    </row>
    <row r="376" spans="1:5" x14ac:dyDescent="0.25">
      <c r="A376" s="13">
        <v>40809</v>
      </c>
      <c r="B376" t="s">
        <v>31</v>
      </c>
      <c r="C376">
        <v>261.7742523</v>
      </c>
      <c r="D376">
        <v>9.3151383889482631E-3</v>
      </c>
      <c r="E376">
        <f t="shared" si="5"/>
        <v>1</v>
      </c>
    </row>
    <row r="377" spans="1:5" x14ac:dyDescent="0.25">
      <c r="A377" s="13">
        <v>40812</v>
      </c>
      <c r="B377" t="s">
        <v>31</v>
      </c>
      <c r="C377">
        <v>264.9523585</v>
      </c>
      <c r="D377">
        <v>1.2140637102681096E-2</v>
      </c>
      <c r="E377">
        <f t="shared" si="5"/>
        <v>1</v>
      </c>
    </row>
    <row r="378" spans="1:5" x14ac:dyDescent="0.25">
      <c r="A378" s="13">
        <v>40813</v>
      </c>
      <c r="B378" t="s">
        <v>31</v>
      </c>
      <c r="C378">
        <v>268.66345489999998</v>
      </c>
      <c r="D378">
        <v>1.4006655464438911E-2</v>
      </c>
      <c r="E378">
        <f t="shared" si="5"/>
        <v>1</v>
      </c>
    </row>
    <row r="379" spans="1:5" x14ac:dyDescent="0.25">
      <c r="A379" s="13">
        <v>40814</v>
      </c>
      <c r="B379" t="s">
        <v>31</v>
      </c>
      <c r="C379">
        <v>263.43303830000002</v>
      </c>
      <c r="D379">
        <v>-1.9468284593998075E-2</v>
      </c>
      <c r="E379">
        <f t="shared" si="5"/>
        <v>0</v>
      </c>
    </row>
    <row r="380" spans="1:5" x14ac:dyDescent="0.25">
      <c r="A380" s="13">
        <v>40815</v>
      </c>
      <c r="B380" t="s">
        <v>31</v>
      </c>
      <c r="C380">
        <v>262.76555669999999</v>
      </c>
      <c r="D380">
        <v>-2.5337808966842124E-3</v>
      </c>
      <c r="E380">
        <f t="shared" si="5"/>
        <v>0</v>
      </c>
    </row>
    <row r="381" spans="1:5" x14ac:dyDescent="0.25">
      <c r="A381" s="13">
        <v>40816</v>
      </c>
      <c r="B381" t="s">
        <v>31</v>
      </c>
      <c r="C381">
        <v>256.55878969999998</v>
      </c>
      <c r="D381">
        <v>-2.3620930680371854E-2</v>
      </c>
      <c r="E381">
        <f t="shared" si="5"/>
        <v>0</v>
      </c>
    </row>
    <row r="382" spans="1:5" x14ac:dyDescent="0.25">
      <c r="A382" s="13">
        <v>40819</v>
      </c>
      <c r="B382" t="s">
        <v>31</v>
      </c>
      <c r="C382">
        <v>246.83523149999999</v>
      </c>
      <c r="D382">
        <v>-3.7899922319441726E-2</v>
      </c>
      <c r="E382">
        <f t="shared" si="5"/>
        <v>0</v>
      </c>
    </row>
    <row r="383" spans="1:5" x14ac:dyDescent="0.25">
      <c r="A383" s="13">
        <v>40820</v>
      </c>
      <c r="B383" t="s">
        <v>31</v>
      </c>
      <c r="C383">
        <v>250.0133222</v>
      </c>
      <c r="D383">
        <v>1.2875352844433863E-2</v>
      </c>
      <c r="E383">
        <f t="shared" si="5"/>
        <v>1</v>
      </c>
    </row>
    <row r="384" spans="1:5" x14ac:dyDescent="0.25">
      <c r="A384" s="13">
        <v>40821</v>
      </c>
      <c r="B384" t="s">
        <v>31</v>
      </c>
      <c r="C384">
        <v>251.40810020000001</v>
      </c>
      <c r="D384">
        <v>5.5788147116586639E-3</v>
      </c>
      <c r="E384">
        <f t="shared" si="5"/>
        <v>1</v>
      </c>
    </row>
    <row r="385" spans="1:5" x14ac:dyDescent="0.25">
      <c r="A385" s="13">
        <v>40822</v>
      </c>
      <c r="B385" t="s">
        <v>31</v>
      </c>
      <c r="C385">
        <v>256.39442179999998</v>
      </c>
      <c r="D385">
        <v>1.9833575752067123E-2</v>
      </c>
      <c r="E385">
        <f t="shared" si="5"/>
        <v>1</v>
      </c>
    </row>
    <row r="386" spans="1:5" x14ac:dyDescent="0.25">
      <c r="A386" s="13">
        <v>40823</v>
      </c>
      <c r="B386" t="s">
        <v>31</v>
      </c>
      <c r="C386">
        <v>256.59864579999999</v>
      </c>
      <c r="D386">
        <v>7.965227892490212E-4</v>
      </c>
      <c r="E386">
        <f t="shared" si="5"/>
        <v>1</v>
      </c>
    </row>
    <row r="387" spans="1:5" x14ac:dyDescent="0.25">
      <c r="A387" s="13">
        <v>40826</v>
      </c>
      <c r="B387" t="s">
        <v>31</v>
      </c>
      <c r="C387">
        <v>267.58249009999997</v>
      </c>
      <c r="D387">
        <v>4.2805542740709246E-2</v>
      </c>
      <c r="E387">
        <f t="shared" ref="E387:E450" si="6">IF(D387&gt;0,1,0)</f>
        <v>1</v>
      </c>
    </row>
    <row r="388" spans="1:5" x14ac:dyDescent="0.25">
      <c r="A388" s="13">
        <v>40827</v>
      </c>
      <c r="B388" t="s">
        <v>31</v>
      </c>
      <c r="C388">
        <v>270.57626970000001</v>
      </c>
      <c r="D388">
        <v>1.11882492717712E-2</v>
      </c>
      <c r="E388">
        <f t="shared" si="6"/>
        <v>1</v>
      </c>
    </row>
    <row r="389" spans="1:5" x14ac:dyDescent="0.25">
      <c r="A389" s="13">
        <v>40828</v>
      </c>
      <c r="B389" t="s">
        <v>31</v>
      </c>
      <c r="C389">
        <v>273.2263595</v>
      </c>
      <c r="D389">
        <v>9.794243238471223E-3</v>
      </c>
      <c r="E389">
        <f t="shared" si="6"/>
        <v>1</v>
      </c>
    </row>
    <row r="390" spans="1:5" x14ac:dyDescent="0.25">
      <c r="A390" s="13">
        <v>40829</v>
      </c>
      <c r="B390" t="s">
        <v>31</v>
      </c>
      <c r="C390">
        <v>278.45177139999998</v>
      </c>
      <c r="D390">
        <v>1.9124845456208517E-2</v>
      </c>
      <c r="E390">
        <f t="shared" si="6"/>
        <v>1</v>
      </c>
    </row>
    <row r="391" spans="1:5" x14ac:dyDescent="0.25">
      <c r="A391" s="13">
        <v>40830</v>
      </c>
      <c r="B391" t="s">
        <v>31</v>
      </c>
      <c r="C391">
        <v>294.73576550000001</v>
      </c>
      <c r="D391">
        <v>5.8480483058618526E-2</v>
      </c>
      <c r="E391">
        <f t="shared" si="6"/>
        <v>1</v>
      </c>
    </row>
    <row r="392" spans="1:5" x14ac:dyDescent="0.25">
      <c r="A392" s="13">
        <v>40833</v>
      </c>
      <c r="B392" t="s">
        <v>31</v>
      </c>
      <c r="C392">
        <v>290.11805129999999</v>
      </c>
      <c r="D392">
        <v>-1.5667301836159497E-2</v>
      </c>
      <c r="E392">
        <f t="shared" si="6"/>
        <v>0</v>
      </c>
    </row>
    <row r="393" spans="1:5" x14ac:dyDescent="0.25">
      <c r="A393" s="13">
        <v>40834</v>
      </c>
      <c r="B393" t="s">
        <v>31</v>
      </c>
      <c r="C393">
        <v>294.15293960000002</v>
      </c>
      <c r="D393">
        <v>1.3907746456726766E-2</v>
      </c>
      <c r="E393">
        <f t="shared" si="6"/>
        <v>1</v>
      </c>
    </row>
    <row r="394" spans="1:5" x14ac:dyDescent="0.25">
      <c r="A394" s="13">
        <v>40835</v>
      </c>
      <c r="B394" t="s">
        <v>31</v>
      </c>
      <c r="C394">
        <v>289.2662431</v>
      </c>
      <c r="D394">
        <v>-1.6612774656085794E-2</v>
      </c>
      <c r="E394">
        <f t="shared" si="6"/>
        <v>0</v>
      </c>
    </row>
    <row r="395" spans="1:5" x14ac:dyDescent="0.25">
      <c r="A395" s="13">
        <v>40836</v>
      </c>
      <c r="B395" t="s">
        <v>31</v>
      </c>
      <c r="C395">
        <v>290.74570720000003</v>
      </c>
      <c r="D395">
        <v>5.1145411374136085E-3</v>
      </c>
      <c r="E395">
        <f t="shared" si="6"/>
        <v>1</v>
      </c>
    </row>
    <row r="396" spans="1:5" x14ac:dyDescent="0.25">
      <c r="A396" s="13">
        <v>40837</v>
      </c>
      <c r="B396" t="s">
        <v>31</v>
      </c>
      <c r="C396">
        <v>294.14299089999997</v>
      </c>
      <c r="D396">
        <v>1.1684725228507054E-2</v>
      </c>
      <c r="E396">
        <f t="shared" si="6"/>
        <v>1</v>
      </c>
    </row>
    <row r="397" spans="1:5" x14ac:dyDescent="0.25">
      <c r="A397" s="13">
        <v>40840</v>
      </c>
      <c r="B397" t="s">
        <v>31</v>
      </c>
      <c r="C397">
        <v>297.09691429999998</v>
      </c>
      <c r="D397">
        <v>1.004247420943738E-2</v>
      </c>
      <c r="E397">
        <f t="shared" si="6"/>
        <v>1</v>
      </c>
    </row>
    <row r="398" spans="1:5" x14ac:dyDescent="0.25">
      <c r="A398" s="13">
        <v>40841</v>
      </c>
      <c r="B398" t="s">
        <v>31</v>
      </c>
      <c r="C398">
        <v>290.49167840000001</v>
      </c>
      <c r="D398">
        <v>-2.2232596779279246E-2</v>
      </c>
      <c r="E398">
        <f t="shared" si="6"/>
        <v>0</v>
      </c>
    </row>
    <row r="399" spans="1:5" x14ac:dyDescent="0.25">
      <c r="A399" s="13">
        <v>40842</v>
      </c>
      <c r="B399" t="s">
        <v>31</v>
      </c>
      <c r="C399">
        <v>292.06077299999998</v>
      </c>
      <c r="D399">
        <v>5.4015130782485432E-3</v>
      </c>
      <c r="E399">
        <f t="shared" si="6"/>
        <v>1</v>
      </c>
    </row>
    <row r="400" spans="1:5" x14ac:dyDescent="0.25">
      <c r="A400" s="13">
        <v>40843</v>
      </c>
      <c r="B400" t="s">
        <v>31</v>
      </c>
      <c r="C400">
        <v>298.21770479999998</v>
      </c>
      <c r="D400">
        <v>2.1080995358455645E-2</v>
      </c>
      <c r="E400">
        <f t="shared" si="6"/>
        <v>1</v>
      </c>
    </row>
    <row r="401" spans="1:5" x14ac:dyDescent="0.25">
      <c r="A401" s="13">
        <v>40844</v>
      </c>
      <c r="B401" t="s">
        <v>31</v>
      </c>
      <c r="C401">
        <v>298.94997560000002</v>
      </c>
      <c r="D401">
        <v>2.4554906976135271E-3</v>
      </c>
      <c r="E401">
        <f t="shared" si="6"/>
        <v>1</v>
      </c>
    </row>
    <row r="402" spans="1:5" x14ac:dyDescent="0.25">
      <c r="A402" s="13">
        <v>40847</v>
      </c>
      <c r="B402" t="s">
        <v>31</v>
      </c>
      <c r="C402">
        <v>295.2139765</v>
      </c>
      <c r="D402">
        <v>-1.2497071098606982E-2</v>
      </c>
      <c r="E402">
        <f t="shared" si="6"/>
        <v>0</v>
      </c>
    </row>
    <row r="403" spans="1:5" x14ac:dyDescent="0.25">
      <c r="A403" s="13">
        <v>40848</v>
      </c>
      <c r="B403" t="s">
        <v>31</v>
      </c>
      <c r="C403">
        <v>288.24509260000002</v>
      </c>
      <c r="D403">
        <v>-2.3606212627944378E-2</v>
      </c>
      <c r="E403">
        <f t="shared" si="6"/>
        <v>0</v>
      </c>
    </row>
    <row r="404" spans="1:5" x14ac:dyDescent="0.25">
      <c r="A404" s="13">
        <v>40849</v>
      </c>
      <c r="B404" t="s">
        <v>31</v>
      </c>
      <c r="C404">
        <v>291.31855350000001</v>
      </c>
      <c r="D404">
        <v>1.0662665137772365E-2</v>
      </c>
      <c r="E404">
        <f t="shared" si="6"/>
        <v>1</v>
      </c>
    </row>
    <row r="405" spans="1:5" x14ac:dyDescent="0.25">
      <c r="A405" s="13">
        <v>40850</v>
      </c>
      <c r="B405" t="s">
        <v>31</v>
      </c>
      <c r="C405">
        <v>297.6349098</v>
      </c>
      <c r="D405">
        <v>2.1681956827373838E-2</v>
      </c>
      <c r="E405">
        <f t="shared" si="6"/>
        <v>1</v>
      </c>
    </row>
    <row r="406" spans="1:5" x14ac:dyDescent="0.25">
      <c r="A406" s="13">
        <v>40851</v>
      </c>
      <c r="B406" t="s">
        <v>31</v>
      </c>
      <c r="C406">
        <v>296.95744910000002</v>
      </c>
      <c r="D406">
        <v>-2.276146640376342E-3</v>
      </c>
      <c r="E406">
        <f t="shared" si="6"/>
        <v>0</v>
      </c>
    </row>
    <row r="407" spans="1:5" x14ac:dyDescent="0.25">
      <c r="A407" s="13">
        <v>40854</v>
      </c>
      <c r="B407" t="s">
        <v>31</v>
      </c>
      <c r="C407">
        <v>303.02969430000002</v>
      </c>
      <c r="D407">
        <v>2.0448199627264296E-2</v>
      </c>
      <c r="E407">
        <f t="shared" si="6"/>
        <v>1</v>
      </c>
    </row>
    <row r="408" spans="1:5" x14ac:dyDescent="0.25">
      <c r="A408" s="13">
        <v>40855</v>
      </c>
      <c r="B408" t="s">
        <v>31</v>
      </c>
      <c r="C408">
        <v>305.02719519999999</v>
      </c>
      <c r="D408">
        <v>6.5917662116057318E-3</v>
      </c>
      <c r="E408">
        <f t="shared" si="6"/>
        <v>1</v>
      </c>
    </row>
    <row r="409" spans="1:5" x14ac:dyDescent="0.25">
      <c r="A409" s="13">
        <v>40856</v>
      </c>
      <c r="B409" t="s">
        <v>31</v>
      </c>
      <c r="C409">
        <v>299.35347969999998</v>
      </c>
      <c r="D409">
        <v>-1.8600687378972469E-2</v>
      </c>
      <c r="E409">
        <f t="shared" si="6"/>
        <v>0</v>
      </c>
    </row>
    <row r="410" spans="1:5" x14ac:dyDescent="0.25">
      <c r="A410" s="13">
        <v>40857</v>
      </c>
      <c r="B410" t="s">
        <v>31</v>
      </c>
      <c r="C410">
        <v>296.42943270000001</v>
      </c>
      <c r="D410">
        <v>-9.7678737622503009E-3</v>
      </c>
      <c r="E410">
        <f t="shared" si="6"/>
        <v>0</v>
      </c>
    </row>
    <row r="411" spans="1:5" x14ac:dyDescent="0.25">
      <c r="A411" s="13">
        <v>40858</v>
      </c>
      <c r="B411" t="s">
        <v>31</v>
      </c>
      <c r="C411">
        <v>303.03964300000001</v>
      </c>
      <c r="D411">
        <v>2.2299439835617996E-2</v>
      </c>
      <c r="E411">
        <f t="shared" si="6"/>
        <v>1</v>
      </c>
    </row>
    <row r="412" spans="1:5" x14ac:dyDescent="0.25">
      <c r="A412" s="13">
        <v>40861</v>
      </c>
      <c r="B412" t="s">
        <v>31</v>
      </c>
      <c r="C412">
        <v>305.35596190000001</v>
      </c>
      <c r="D412">
        <v>7.6436167792079956E-3</v>
      </c>
      <c r="E412">
        <f t="shared" si="6"/>
        <v>1</v>
      </c>
    </row>
    <row r="413" spans="1:5" x14ac:dyDescent="0.25">
      <c r="A413" s="13">
        <v>40862</v>
      </c>
      <c r="B413" t="s">
        <v>31</v>
      </c>
      <c r="C413">
        <v>307.12934130000002</v>
      </c>
      <c r="D413">
        <v>5.8075807296036341E-3</v>
      </c>
      <c r="E413">
        <f t="shared" si="6"/>
        <v>1</v>
      </c>
    </row>
    <row r="414" spans="1:5" x14ac:dyDescent="0.25">
      <c r="A414" s="13">
        <v>40863</v>
      </c>
      <c r="B414" t="s">
        <v>31</v>
      </c>
      <c r="C414">
        <v>304.59384499999999</v>
      </c>
      <c r="D414">
        <v>-8.2554675149821843E-3</v>
      </c>
      <c r="E414">
        <f t="shared" si="6"/>
        <v>0</v>
      </c>
    </row>
    <row r="415" spans="1:5" x14ac:dyDescent="0.25">
      <c r="A415" s="13">
        <v>40864</v>
      </c>
      <c r="B415" t="s">
        <v>31</v>
      </c>
      <c r="C415">
        <v>299.31362360000003</v>
      </c>
      <c r="D415">
        <v>-1.7335285944467982E-2</v>
      </c>
      <c r="E415">
        <f t="shared" si="6"/>
        <v>0</v>
      </c>
    </row>
    <row r="416" spans="1:5" x14ac:dyDescent="0.25">
      <c r="A416" s="13">
        <v>40865</v>
      </c>
      <c r="B416" t="s">
        <v>31</v>
      </c>
      <c r="C416">
        <v>296.32979269999998</v>
      </c>
      <c r="D416">
        <v>-9.9689110843400597E-3</v>
      </c>
      <c r="E416">
        <f t="shared" si="6"/>
        <v>0</v>
      </c>
    </row>
    <row r="417" spans="1:5" x14ac:dyDescent="0.25">
      <c r="A417" s="13">
        <v>40868</v>
      </c>
      <c r="B417" t="s">
        <v>31</v>
      </c>
      <c r="C417">
        <v>289.38581090000002</v>
      </c>
      <c r="D417">
        <v>-2.343328943313483E-2</v>
      </c>
      <c r="E417">
        <f t="shared" si="6"/>
        <v>0</v>
      </c>
    </row>
    <row r="418" spans="1:5" x14ac:dyDescent="0.25">
      <c r="A418" s="13">
        <v>40869</v>
      </c>
      <c r="B418" t="s">
        <v>31</v>
      </c>
      <c r="C418">
        <v>288.91754859999998</v>
      </c>
      <c r="D418">
        <v>-1.6181246016995221E-3</v>
      </c>
      <c r="E418">
        <f t="shared" si="6"/>
        <v>0</v>
      </c>
    </row>
    <row r="419" spans="1:5" x14ac:dyDescent="0.25">
      <c r="A419" s="13">
        <v>40870</v>
      </c>
      <c r="B419" t="s">
        <v>31</v>
      </c>
      <c r="C419">
        <v>283.99102640000001</v>
      </c>
      <c r="D419">
        <v>-1.7051654438687724E-2</v>
      </c>
      <c r="E419">
        <f t="shared" si="6"/>
        <v>0</v>
      </c>
    </row>
    <row r="420" spans="1:5" x14ac:dyDescent="0.25">
      <c r="A420" s="13">
        <v>40872</v>
      </c>
      <c r="B420" t="s">
        <v>31</v>
      </c>
      <c r="C420">
        <v>280.44930269999998</v>
      </c>
      <c r="D420">
        <v>-1.2471252155029533E-2</v>
      </c>
      <c r="E420">
        <f t="shared" si="6"/>
        <v>0</v>
      </c>
    </row>
    <row r="421" spans="1:5" x14ac:dyDescent="0.25">
      <c r="A421" s="13">
        <v>40875</v>
      </c>
      <c r="B421" t="s">
        <v>31</v>
      </c>
      <c r="C421">
        <v>292.99726729999998</v>
      </c>
      <c r="D421">
        <v>4.474236334052395E-2</v>
      </c>
      <c r="E421">
        <f t="shared" si="6"/>
        <v>1</v>
      </c>
    </row>
    <row r="422" spans="1:5" x14ac:dyDescent="0.25">
      <c r="A422" s="13">
        <v>40876</v>
      </c>
      <c r="B422" t="s">
        <v>31</v>
      </c>
      <c r="C422">
        <v>290.3770849</v>
      </c>
      <c r="D422">
        <v>-8.9426854528208422E-3</v>
      </c>
      <c r="E422">
        <f t="shared" si="6"/>
        <v>0</v>
      </c>
    </row>
    <row r="423" spans="1:5" x14ac:dyDescent="0.25">
      <c r="A423" s="13">
        <v>40877</v>
      </c>
      <c r="B423" t="s">
        <v>31</v>
      </c>
      <c r="C423">
        <v>298.57637840000001</v>
      </c>
      <c r="D423">
        <v>2.8236709872694332E-2</v>
      </c>
      <c r="E423">
        <f t="shared" si="6"/>
        <v>1</v>
      </c>
    </row>
    <row r="424" spans="1:5" x14ac:dyDescent="0.25">
      <c r="A424" s="13">
        <v>40878</v>
      </c>
      <c r="B424" t="s">
        <v>31</v>
      </c>
      <c r="C424">
        <v>305.73953820000003</v>
      </c>
      <c r="D424">
        <v>2.3991046573696551E-2</v>
      </c>
      <c r="E424">
        <f t="shared" si="6"/>
        <v>1</v>
      </c>
    </row>
    <row r="425" spans="1:5" x14ac:dyDescent="0.25">
      <c r="A425" s="13">
        <v>40879</v>
      </c>
      <c r="B425" t="s">
        <v>31</v>
      </c>
      <c r="C425">
        <v>309.0222278</v>
      </c>
      <c r="D425">
        <v>1.0736882836045236E-2</v>
      </c>
      <c r="E425">
        <f t="shared" si="6"/>
        <v>1</v>
      </c>
    </row>
    <row r="426" spans="1:5" x14ac:dyDescent="0.25">
      <c r="A426" s="13">
        <v>40882</v>
      </c>
      <c r="B426" t="s">
        <v>31</v>
      </c>
      <c r="C426">
        <v>311.65736420000002</v>
      </c>
      <c r="D426">
        <v>8.5273361038140649E-3</v>
      </c>
      <c r="E426">
        <f t="shared" si="6"/>
        <v>1</v>
      </c>
    </row>
    <row r="427" spans="1:5" x14ac:dyDescent="0.25">
      <c r="A427" s="13">
        <v>40883</v>
      </c>
      <c r="B427" t="s">
        <v>31</v>
      </c>
      <c r="C427">
        <v>310.72086990000003</v>
      </c>
      <c r="D427">
        <v>-3.004884233696492E-3</v>
      </c>
      <c r="E427">
        <f t="shared" si="6"/>
        <v>0</v>
      </c>
    </row>
    <row r="428" spans="1:5" x14ac:dyDescent="0.25">
      <c r="A428" s="13">
        <v>40884</v>
      </c>
      <c r="B428" t="s">
        <v>31</v>
      </c>
      <c r="C428">
        <v>310.53159929999998</v>
      </c>
      <c r="D428">
        <v>-6.0913385078043003E-4</v>
      </c>
      <c r="E428">
        <f t="shared" si="6"/>
        <v>0</v>
      </c>
    </row>
    <row r="429" spans="1:5" x14ac:dyDescent="0.25">
      <c r="A429" s="13">
        <v>40885</v>
      </c>
      <c r="B429" t="s">
        <v>31</v>
      </c>
      <c r="C429">
        <v>306.87528209999999</v>
      </c>
      <c r="D429">
        <v>-1.1774380476067714E-2</v>
      </c>
      <c r="E429">
        <f t="shared" si="6"/>
        <v>0</v>
      </c>
    </row>
    <row r="430" spans="1:5" x14ac:dyDescent="0.25">
      <c r="A430" s="13">
        <v>40886</v>
      </c>
      <c r="B430" t="s">
        <v>31</v>
      </c>
      <c r="C430">
        <v>312.53907980000002</v>
      </c>
      <c r="D430">
        <v>1.845635028419923E-2</v>
      </c>
      <c r="E430">
        <f t="shared" si="6"/>
        <v>1</v>
      </c>
    </row>
    <row r="431" spans="1:5" x14ac:dyDescent="0.25">
      <c r="A431" s="13">
        <v>40889</v>
      </c>
      <c r="B431" t="s">
        <v>31</v>
      </c>
      <c r="C431">
        <v>311.52784759999997</v>
      </c>
      <c r="D431">
        <v>-3.2355384185784875E-3</v>
      </c>
      <c r="E431">
        <f t="shared" si="6"/>
        <v>0</v>
      </c>
    </row>
    <row r="432" spans="1:5" x14ac:dyDescent="0.25">
      <c r="A432" s="13">
        <v>40890</v>
      </c>
      <c r="B432" t="s">
        <v>31</v>
      </c>
      <c r="C432">
        <v>311.64741550000002</v>
      </c>
      <c r="D432">
        <v>3.8381127376307944E-4</v>
      </c>
      <c r="E432">
        <f t="shared" si="6"/>
        <v>1</v>
      </c>
    </row>
    <row r="433" spans="1:5" x14ac:dyDescent="0.25">
      <c r="A433" s="13">
        <v>40891</v>
      </c>
      <c r="B433" t="s">
        <v>31</v>
      </c>
      <c r="C433">
        <v>307.88150949999999</v>
      </c>
      <c r="D433">
        <v>-1.2083867257355885E-2</v>
      </c>
      <c r="E433">
        <f t="shared" si="6"/>
        <v>0</v>
      </c>
    </row>
    <row r="434" spans="1:5" x14ac:dyDescent="0.25">
      <c r="A434" s="13">
        <v>40892</v>
      </c>
      <c r="B434" t="s">
        <v>31</v>
      </c>
      <c r="C434">
        <v>308.61377979999997</v>
      </c>
      <c r="D434">
        <v>2.3784159730448895E-3</v>
      </c>
      <c r="E434">
        <f t="shared" si="6"/>
        <v>1</v>
      </c>
    </row>
    <row r="435" spans="1:5" x14ac:dyDescent="0.25">
      <c r="A435" s="13">
        <v>40893</v>
      </c>
      <c r="B435" t="s">
        <v>31</v>
      </c>
      <c r="C435">
        <v>311.81178340000002</v>
      </c>
      <c r="D435">
        <v>1.0362478312123891E-2</v>
      </c>
      <c r="E435">
        <f t="shared" si="6"/>
        <v>1</v>
      </c>
    </row>
    <row r="436" spans="1:5" x14ac:dyDescent="0.25">
      <c r="A436" s="13">
        <v>40896</v>
      </c>
      <c r="B436" t="s">
        <v>31</v>
      </c>
      <c r="C436">
        <v>309.75449859999998</v>
      </c>
      <c r="D436">
        <v>-6.5978417414742641E-3</v>
      </c>
      <c r="E436">
        <f t="shared" si="6"/>
        <v>0</v>
      </c>
    </row>
    <row r="437" spans="1:5" x14ac:dyDescent="0.25">
      <c r="A437" s="13">
        <v>40897</v>
      </c>
      <c r="B437" t="s">
        <v>31</v>
      </c>
      <c r="C437">
        <v>314.00856429999999</v>
      </c>
      <c r="D437">
        <v>1.3733668822332401E-2</v>
      </c>
      <c r="E437">
        <f t="shared" si="6"/>
        <v>1</v>
      </c>
    </row>
    <row r="438" spans="1:5" x14ac:dyDescent="0.25">
      <c r="A438" s="13">
        <v>40898</v>
      </c>
      <c r="B438" t="s">
        <v>31</v>
      </c>
      <c r="C438">
        <v>311.74205080000002</v>
      </c>
      <c r="D438">
        <v>-7.2179989900994501E-3</v>
      </c>
      <c r="E438">
        <f t="shared" si="6"/>
        <v>0</v>
      </c>
    </row>
    <row r="439" spans="1:5" x14ac:dyDescent="0.25">
      <c r="A439" s="13">
        <v>40899</v>
      </c>
      <c r="B439" t="s">
        <v>31</v>
      </c>
      <c r="C439">
        <v>313.67482380000001</v>
      </c>
      <c r="D439">
        <v>6.1999110964980897E-3</v>
      </c>
      <c r="E439">
        <f t="shared" si="6"/>
        <v>1</v>
      </c>
    </row>
    <row r="440" spans="1:5" x14ac:dyDescent="0.25">
      <c r="A440" s="13">
        <v>40900</v>
      </c>
      <c r="B440" t="s">
        <v>31</v>
      </c>
      <c r="C440">
        <v>315.3883889</v>
      </c>
      <c r="D440">
        <v>5.462871005205594E-3</v>
      </c>
      <c r="E440">
        <f t="shared" si="6"/>
        <v>1</v>
      </c>
    </row>
    <row r="441" spans="1:5" x14ac:dyDescent="0.25">
      <c r="A441" s="13">
        <v>40904</v>
      </c>
      <c r="B441" t="s">
        <v>31</v>
      </c>
      <c r="C441">
        <v>318.93011209999997</v>
      </c>
      <c r="D441">
        <v>1.1229719687375628E-2</v>
      </c>
      <c r="E441">
        <f t="shared" si="6"/>
        <v>1</v>
      </c>
    </row>
    <row r="442" spans="1:5" x14ac:dyDescent="0.25">
      <c r="A442" s="13">
        <v>40905</v>
      </c>
      <c r="B442" t="s">
        <v>31</v>
      </c>
      <c r="C442">
        <v>318.65615550000001</v>
      </c>
      <c r="D442">
        <v>-8.5898630955882904E-4</v>
      </c>
      <c r="E442">
        <f t="shared" si="6"/>
        <v>0</v>
      </c>
    </row>
    <row r="443" spans="1:5" x14ac:dyDescent="0.25">
      <c r="A443" s="13">
        <v>40906</v>
      </c>
      <c r="B443" t="s">
        <v>31</v>
      </c>
      <c r="C443">
        <v>320.00109780000003</v>
      </c>
      <c r="D443">
        <v>4.2206694482009866E-3</v>
      </c>
      <c r="E443">
        <f t="shared" si="6"/>
        <v>1</v>
      </c>
    </row>
    <row r="444" spans="1:5" x14ac:dyDescent="0.25">
      <c r="A444" s="13">
        <v>40907</v>
      </c>
      <c r="B444" t="s">
        <v>31</v>
      </c>
      <c r="C444">
        <v>321.74457039999999</v>
      </c>
      <c r="D444">
        <v>5.448333183811771E-3</v>
      </c>
      <c r="E444">
        <f t="shared" si="6"/>
        <v>1</v>
      </c>
    </row>
    <row r="445" spans="1:5" x14ac:dyDescent="0.25">
      <c r="A445" s="13">
        <v>40911</v>
      </c>
      <c r="B445" t="s">
        <v>31</v>
      </c>
      <c r="C445">
        <v>331.46315370000002</v>
      </c>
      <c r="D445">
        <v>3.0205896832750545E-2</v>
      </c>
      <c r="E445">
        <f t="shared" si="6"/>
        <v>1</v>
      </c>
    </row>
    <row r="446" spans="1:5" x14ac:dyDescent="0.25">
      <c r="A446" s="13">
        <v>40912</v>
      </c>
      <c r="B446" t="s">
        <v>31</v>
      </c>
      <c r="C446">
        <v>332.89281299999999</v>
      </c>
      <c r="D446">
        <v>4.3131771481723646E-3</v>
      </c>
      <c r="E446">
        <f t="shared" si="6"/>
        <v>1</v>
      </c>
    </row>
    <row r="447" spans="1:5" x14ac:dyDescent="0.25">
      <c r="A447" s="13">
        <v>40913</v>
      </c>
      <c r="B447" t="s">
        <v>31</v>
      </c>
      <c r="C447">
        <v>328.27509880000002</v>
      </c>
      <c r="D447">
        <v>-1.3871474599843503E-2</v>
      </c>
      <c r="E447">
        <f t="shared" si="6"/>
        <v>0</v>
      </c>
    </row>
    <row r="448" spans="1:5" x14ac:dyDescent="0.25">
      <c r="A448" s="13">
        <v>40914</v>
      </c>
      <c r="B448" t="s">
        <v>31</v>
      </c>
      <c r="C448">
        <v>323.7968808</v>
      </c>
      <c r="D448">
        <v>-1.3641662180195913E-2</v>
      </c>
      <c r="E448">
        <f t="shared" si="6"/>
        <v>0</v>
      </c>
    </row>
    <row r="449" spans="1:5" x14ac:dyDescent="0.25">
      <c r="A449" s="13">
        <v>40917</v>
      </c>
      <c r="B449" t="s">
        <v>31</v>
      </c>
      <c r="C449">
        <v>310.0683113</v>
      </c>
      <c r="D449">
        <v>-4.2398708307754607E-2</v>
      </c>
      <c r="E449">
        <f t="shared" si="6"/>
        <v>0</v>
      </c>
    </row>
    <row r="450" spans="1:5" x14ac:dyDescent="0.25">
      <c r="A450" s="13">
        <v>40918</v>
      </c>
      <c r="B450" t="s">
        <v>31</v>
      </c>
      <c r="C450">
        <v>310.40705709999997</v>
      </c>
      <c r="D450">
        <v>1.0924876475759682E-3</v>
      </c>
      <c r="E450">
        <f t="shared" si="6"/>
        <v>1</v>
      </c>
    </row>
    <row r="451" spans="1:5" x14ac:dyDescent="0.25">
      <c r="A451" s="13">
        <v>40919</v>
      </c>
      <c r="B451" t="s">
        <v>31</v>
      </c>
      <c r="C451">
        <v>311.81178340000002</v>
      </c>
      <c r="D451">
        <v>4.5254328723187687E-3</v>
      </c>
      <c r="E451">
        <f t="shared" ref="E451:E514" si="7">IF(D451&gt;0,1,0)</f>
        <v>1</v>
      </c>
    </row>
    <row r="452" spans="1:5" x14ac:dyDescent="0.25">
      <c r="A452" s="13">
        <v>40920</v>
      </c>
      <c r="B452" t="s">
        <v>31</v>
      </c>
      <c r="C452">
        <v>313.6449164</v>
      </c>
      <c r="D452">
        <v>5.8789728213970438E-3</v>
      </c>
      <c r="E452">
        <f t="shared" si="7"/>
        <v>1</v>
      </c>
    </row>
    <row r="453" spans="1:5" x14ac:dyDescent="0.25">
      <c r="A453" s="13">
        <v>40921</v>
      </c>
      <c r="B453" t="s">
        <v>31</v>
      </c>
      <c r="C453">
        <v>311.328598</v>
      </c>
      <c r="D453">
        <v>-7.3851616234900108E-3</v>
      </c>
      <c r="E453">
        <f t="shared" si="7"/>
        <v>0</v>
      </c>
    </row>
    <row r="454" spans="1:5" x14ac:dyDescent="0.25">
      <c r="A454" s="13">
        <v>40925</v>
      </c>
      <c r="B454" t="s">
        <v>31</v>
      </c>
      <c r="C454">
        <v>313.11690049999999</v>
      </c>
      <c r="D454">
        <v>5.7440996795288246E-3</v>
      </c>
      <c r="E454">
        <f t="shared" si="7"/>
        <v>1</v>
      </c>
    </row>
    <row r="455" spans="1:5" x14ac:dyDescent="0.25">
      <c r="A455" s="13">
        <v>40926</v>
      </c>
      <c r="B455" t="s">
        <v>31</v>
      </c>
      <c r="C455">
        <v>315.2738253</v>
      </c>
      <c r="D455">
        <v>6.8885607789159753E-3</v>
      </c>
      <c r="E455">
        <f t="shared" si="7"/>
        <v>1</v>
      </c>
    </row>
    <row r="456" spans="1:5" x14ac:dyDescent="0.25">
      <c r="A456" s="13">
        <v>40927</v>
      </c>
      <c r="B456" t="s">
        <v>31</v>
      </c>
      <c r="C456">
        <v>318.59139720000002</v>
      </c>
      <c r="D456">
        <v>1.0522826932566121E-2</v>
      </c>
      <c r="E456">
        <f t="shared" si="7"/>
        <v>1</v>
      </c>
    </row>
    <row r="457" spans="1:5" x14ac:dyDescent="0.25">
      <c r="A457" s="13">
        <v>40928</v>
      </c>
      <c r="B457" t="s">
        <v>31</v>
      </c>
      <c r="C457">
        <v>291.90137950000002</v>
      </c>
      <c r="D457">
        <v>-8.3775073446961223E-2</v>
      </c>
      <c r="E457">
        <f t="shared" si="7"/>
        <v>0</v>
      </c>
    </row>
    <row r="458" spans="1:5" x14ac:dyDescent="0.25">
      <c r="A458" s="13">
        <v>40931</v>
      </c>
      <c r="B458" t="s">
        <v>31</v>
      </c>
      <c r="C458">
        <v>291.66724809999999</v>
      </c>
      <c r="D458">
        <v>-8.0209076230153276E-4</v>
      </c>
      <c r="E458">
        <f t="shared" si="7"/>
        <v>0</v>
      </c>
    </row>
    <row r="459" spans="1:5" x14ac:dyDescent="0.25">
      <c r="A459" s="13">
        <v>40932</v>
      </c>
      <c r="B459" t="s">
        <v>31</v>
      </c>
      <c r="C459">
        <v>289.38083660000001</v>
      </c>
      <c r="D459">
        <v>-7.8391095157042123E-3</v>
      </c>
      <c r="E459">
        <f t="shared" si="7"/>
        <v>0</v>
      </c>
    </row>
    <row r="460" spans="1:5" x14ac:dyDescent="0.25">
      <c r="A460" s="13">
        <v>40933</v>
      </c>
      <c r="B460" t="s">
        <v>31</v>
      </c>
      <c r="C460">
        <v>283.682188</v>
      </c>
      <c r="D460">
        <v>-1.9692556932776606E-2</v>
      </c>
      <c r="E460">
        <f t="shared" si="7"/>
        <v>0</v>
      </c>
    </row>
    <row r="461" spans="1:5" x14ac:dyDescent="0.25">
      <c r="A461" s="13">
        <v>40934</v>
      </c>
      <c r="B461" t="s">
        <v>31</v>
      </c>
      <c r="C461">
        <v>282.98977339999999</v>
      </c>
      <c r="D461">
        <v>-2.4408109824646251E-3</v>
      </c>
      <c r="E461">
        <f t="shared" si="7"/>
        <v>0</v>
      </c>
    </row>
    <row r="462" spans="1:5" x14ac:dyDescent="0.25">
      <c r="A462" s="13">
        <v>40935</v>
      </c>
      <c r="B462" t="s">
        <v>31</v>
      </c>
      <c r="C462">
        <v>288.90759989999998</v>
      </c>
      <c r="D462">
        <v>2.0911803380383231E-2</v>
      </c>
      <c r="E462">
        <f t="shared" si="7"/>
        <v>1</v>
      </c>
    </row>
    <row r="463" spans="1:5" x14ac:dyDescent="0.25">
      <c r="A463" s="13">
        <v>40938</v>
      </c>
      <c r="B463" t="s">
        <v>31</v>
      </c>
      <c r="C463">
        <v>287.76688159999998</v>
      </c>
      <c r="D463">
        <v>-3.9483845367682679E-3</v>
      </c>
      <c r="E463">
        <f t="shared" si="7"/>
        <v>0</v>
      </c>
    </row>
    <row r="464" spans="1:5" x14ac:dyDescent="0.25">
      <c r="A464" s="13">
        <v>40939</v>
      </c>
      <c r="B464" t="s">
        <v>31</v>
      </c>
      <c r="C464">
        <v>288.97235819999997</v>
      </c>
      <c r="D464">
        <v>4.1890734378378092E-3</v>
      </c>
      <c r="E464">
        <f t="shared" si="7"/>
        <v>1</v>
      </c>
    </row>
    <row r="465" spans="1:5" x14ac:dyDescent="0.25">
      <c r="A465" s="13">
        <v>40940</v>
      </c>
      <c r="B465" t="s">
        <v>31</v>
      </c>
      <c r="C465">
        <v>289.33100139999999</v>
      </c>
      <c r="D465">
        <v>1.2410986373714294E-3</v>
      </c>
      <c r="E465">
        <f t="shared" si="7"/>
        <v>1</v>
      </c>
    </row>
    <row r="466" spans="1:5" x14ac:dyDescent="0.25">
      <c r="A466" s="13">
        <v>40941</v>
      </c>
      <c r="B466" t="s">
        <v>31</v>
      </c>
      <c r="C466">
        <v>291.46302400000002</v>
      </c>
      <c r="D466">
        <v>7.3688010952290828E-3</v>
      </c>
      <c r="E466">
        <f t="shared" si="7"/>
        <v>1</v>
      </c>
    </row>
    <row r="467" spans="1:5" x14ac:dyDescent="0.25">
      <c r="A467" s="13">
        <v>40942</v>
      </c>
      <c r="B467" t="s">
        <v>31</v>
      </c>
      <c r="C467">
        <v>297.05208390000001</v>
      </c>
      <c r="D467">
        <v>1.9175879750702007E-2</v>
      </c>
      <c r="E467">
        <f t="shared" si="7"/>
        <v>1</v>
      </c>
    </row>
    <row r="468" spans="1:5" x14ac:dyDescent="0.25">
      <c r="A468" s="13">
        <v>40945</v>
      </c>
      <c r="B468" t="s">
        <v>31</v>
      </c>
      <c r="C468">
        <v>303.40826579999998</v>
      </c>
      <c r="D468">
        <v>2.1397533444470707E-2</v>
      </c>
      <c r="E468">
        <f t="shared" si="7"/>
        <v>1</v>
      </c>
    </row>
    <row r="469" spans="1:5" x14ac:dyDescent="0.25">
      <c r="A469" s="13">
        <v>40946</v>
      </c>
      <c r="B469" t="s">
        <v>31</v>
      </c>
      <c r="C469">
        <v>302.25259360000001</v>
      </c>
      <c r="D469">
        <v>-3.8089674220074254E-3</v>
      </c>
      <c r="E469">
        <f t="shared" si="7"/>
        <v>0</v>
      </c>
    </row>
    <row r="470" spans="1:5" x14ac:dyDescent="0.25">
      <c r="A470" s="13">
        <v>40947</v>
      </c>
      <c r="B470" t="s">
        <v>31</v>
      </c>
      <c r="C470">
        <v>303.78686720000002</v>
      </c>
      <c r="D470">
        <v>5.0761304699686871E-3</v>
      </c>
      <c r="E470">
        <f t="shared" si="7"/>
        <v>1</v>
      </c>
    </row>
    <row r="471" spans="1:5" x14ac:dyDescent="0.25">
      <c r="A471" s="13">
        <v>40948</v>
      </c>
      <c r="B471" t="s">
        <v>31</v>
      </c>
      <c r="C471">
        <v>304.58884030000002</v>
      </c>
      <c r="D471">
        <v>2.6399202420821499E-3</v>
      </c>
      <c r="E471">
        <f t="shared" si="7"/>
        <v>1</v>
      </c>
    </row>
    <row r="472" spans="1:5" x14ac:dyDescent="0.25">
      <c r="A472" s="13">
        <v>40949</v>
      </c>
      <c r="B472" t="s">
        <v>31</v>
      </c>
      <c r="C472">
        <v>301.82421770000002</v>
      </c>
      <c r="D472">
        <v>-9.0765721990241355E-3</v>
      </c>
      <c r="E472">
        <f t="shared" si="7"/>
        <v>0</v>
      </c>
    </row>
    <row r="473" spans="1:5" x14ac:dyDescent="0.25">
      <c r="A473" s="13">
        <v>40952</v>
      </c>
      <c r="B473" t="s">
        <v>31</v>
      </c>
      <c r="C473">
        <v>304.95746259999999</v>
      </c>
      <c r="D473">
        <v>1.0381025498471752E-2</v>
      </c>
      <c r="E473">
        <f t="shared" si="7"/>
        <v>1</v>
      </c>
    </row>
    <row r="474" spans="1:5" x14ac:dyDescent="0.25">
      <c r="A474" s="13">
        <v>40953</v>
      </c>
      <c r="B474" t="s">
        <v>31</v>
      </c>
      <c r="C474">
        <v>303.74203679999999</v>
      </c>
      <c r="D474">
        <v>-3.9855584763774932E-3</v>
      </c>
      <c r="E474">
        <f t="shared" si="7"/>
        <v>0</v>
      </c>
    </row>
    <row r="475" spans="1:5" x14ac:dyDescent="0.25">
      <c r="A475" s="13">
        <v>40954</v>
      </c>
      <c r="B475" t="s">
        <v>31</v>
      </c>
      <c r="C475">
        <v>301.64987020000001</v>
      </c>
      <c r="D475">
        <v>-6.8879718528310763E-3</v>
      </c>
      <c r="E475">
        <f t="shared" si="7"/>
        <v>0</v>
      </c>
    </row>
    <row r="476" spans="1:5" x14ac:dyDescent="0.25">
      <c r="A476" s="13">
        <v>40955</v>
      </c>
      <c r="B476" t="s">
        <v>31</v>
      </c>
      <c r="C476">
        <v>302.12808180000002</v>
      </c>
      <c r="D476">
        <v>1.5853200920754595E-3</v>
      </c>
      <c r="E476">
        <f t="shared" si="7"/>
        <v>1</v>
      </c>
    </row>
    <row r="477" spans="1:5" x14ac:dyDescent="0.25">
      <c r="A477" s="13">
        <v>40956</v>
      </c>
      <c r="B477" t="s">
        <v>31</v>
      </c>
      <c r="C477">
        <v>301.19158700000003</v>
      </c>
      <c r="D477">
        <v>-3.0996615555251017E-3</v>
      </c>
      <c r="E477">
        <f t="shared" si="7"/>
        <v>0</v>
      </c>
    </row>
    <row r="478" spans="1:5" x14ac:dyDescent="0.25">
      <c r="A478" s="13">
        <v>40960</v>
      </c>
      <c r="B478" t="s">
        <v>31</v>
      </c>
      <c r="C478">
        <v>305.8541012</v>
      </c>
      <c r="D478">
        <v>1.5480227208338304E-2</v>
      </c>
      <c r="E478">
        <f t="shared" si="7"/>
        <v>1</v>
      </c>
    </row>
    <row r="479" spans="1:5" x14ac:dyDescent="0.25">
      <c r="A479" s="13">
        <v>40961</v>
      </c>
      <c r="B479" t="s">
        <v>31</v>
      </c>
      <c r="C479">
        <v>302.835419</v>
      </c>
      <c r="D479">
        <v>-9.8696803088674789E-3</v>
      </c>
      <c r="E479">
        <f t="shared" si="7"/>
        <v>0</v>
      </c>
    </row>
    <row r="480" spans="1:5" x14ac:dyDescent="0.25">
      <c r="A480" s="13">
        <v>40962</v>
      </c>
      <c r="B480" t="s">
        <v>31</v>
      </c>
      <c r="C480">
        <v>301.92382689999999</v>
      </c>
      <c r="D480">
        <v>-3.010189835159327E-3</v>
      </c>
      <c r="E480">
        <f t="shared" si="7"/>
        <v>0</v>
      </c>
    </row>
    <row r="481" spans="1:5" x14ac:dyDescent="0.25">
      <c r="A481" s="13">
        <v>40963</v>
      </c>
      <c r="B481" t="s">
        <v>31</v>
      </c>
      <c r="C481">
        <v>303.8117699</v>
      </c>
      <c r="D481">
        <v>6.2530440852728297E-3</v>
      </c>
      <c r="E481">
        <f t="shared" si="7"/>
        <v>1</v>
      </c>
    </row>
    <row r="482" spans="1:5" x14ac:dyDescent="0.25">
      <c r="A482" s="13">
        <v>40966</v>
      </c>
      <c r="B482" t="s">
        <v>31</v>
      </c>
      <c r="C482">
        <v>303.51785460000002</v>
      </c>
      <c r="D482">
        <v>-9.6742565337981645E-4</v>
      </c>
      <c r="E482">
        <f t="shared" si="7"/>
        <v>0</v>
      </c>
    </row>
    <row r="483" spans="1:5" x14ac:dyDescent="0.25">
      <c r="A483" s="13">
        <v>40967</v>
      </c>
      <c r="B483" t="s">
        <v>31</v>
      </c>
      <c r="C483">
        <v>308.04090309999998</v>
      </c>
      <c r="D483">
        <v>1.490208378667135E-2</v>
      </c>
      <c r="E483">
        <f t="shared" si="7"/>
        <v>1</v>
      </c>
    </row>
    <row r="484" spans="1:5" x14ac:dyDescent="0.25">
      <c r="A484" s="13">
        <v>40968</v>
      </c>
      <c r="B484" t="s">
        <v>31</v>
      </c>
      <c r="C484">
        <v>307.97116990000001</v>
      </c>
      <c r="D484">
        <v>-2.2637643020195775E-4</v>
      </c>
      <c r="E484">
        <f t="shared" si="7"/>
        <v>0</v>
      </c>
    </row>
    <row r="485" spans="1:5" x14ac:dyDescent="0.25">
      <c r="A485" s="13">
        <v>40969</v>
      </c>
      <c r="B485" t="s">
        <v>31</v>
      </c>
      <c r="C485">
        <v>310.03843430000001</v>
      </c>
      <c r="D485">
        <v>6.7125257233371372E-3</v>
      </c>
      <c r="E485">
        <f t="shared" si="7"/>
        <v>1</v>
      </c>
    </row>
    <row r="486" spans="1:5" x14ac:dyDescent="0.25">
      <c r="A486" s="13">
        <v>40970</v>
      </c>
      <c r="B486" t="s">
        <v>31</v>
      </c>
      <c r="C486">
        <v>309.46558800000003</v>
      </c>
      <c r="D486">
        <v>-1.8476622141810894E-3</v>
      </c>
      <c r="E486">
        <f t="shared" si="7"/>
        <v>0</v>
      </c>
    </row>
    <row r="487" spans="1:5" x14ac:dyDescent="0.25">
      <c r="A487" s="13">
        <v>40973</v>
      </c>
      <c r="B487" t="s">
        <v>31</v>
      </c>
      <c r="C487">
        <v>305.97864340000001</v>
      </c>
      <c r="D487">
        <v>-1.1267632768267699E-2</v>
      </c>
      <c r="E487">
        <f t="shared" si="7"/>
        <v>0</v>
      </c>
    </row>
    <row r="488" spans="1:5" x14ac:dyDescent="0.25">
      <c r="A488" s="13">
        <v>40974</v>
      </c>
      <c r="B488" t="s">
        <v>31</v>
      </c>
      <c r="C488">
        <v>301.35098049999999</v>
      </c>
      <c r="D488">
        <v>-1.5124136928571064E-2</v>
      </c>
      <c r="E488">
        <f t="shared" si="7"/>
        <v>0</v>
      </c>
    </row>
    <row r="489" spans="1:5" x14ac:dyDescent="0.25">
      <c r="A489" s="13">
        <v>40975</v>
      </c>
      <c r="B489" t="s">
        <v>31</v>
      </c>
      <c r="C489">
        <v>302.26754699999998</v>
      </c>
      <c r="D489">
        <v>3.0415248640611736E-3</v>
      </c>
      <c r="E489">
        <f t="shared" si="7"/>
        <v>1</v>
      </c>
    </row>
    <row r="490" spans="1:5" x14ac:dyDescent="0.25">
      <c r="A490" s="13">
        <v>40976</v>
      </c>
      <c r="B490" t="s">
        <v>31</v>
      </c>
      <c r="C490">
        <v>302.43692019999997</v>
      </c>
      <c r="D490">
        <v>5.6034199397525519E-4</v>
      </c>
      <c r="E490">
        <f t="shared" si="7"/>
        <v>1</v>
      </c>
    </row>
    <row r="491" spans="1:5" x14ac:dyDescent="0.25">
      <c r="A491" s="13">
        <v>40977</v>
      </c>
      <c r="B491" t="s">
        <v>31</v>
      </c>
      <c r="C491">
        <v>299.00478520000001</v>
      </c>
      <c r="D491">
        <v>-1.1348267260922751E-2</v>
      </c>
      <c r="E491">
        <f t="shared" si="7"/>
        <v>0</v>
      </c>
    </row>
    <row r="492" spans="1:5" x14ac:dyDescent="0.25">
      <c r="A492" s="13">
        <v>40980</v>
      </c>
      <c r="B492" t="s">
        <v>31</v>
      </c>
      <c r="C492">
        <v>301.44561579999998</v>
      </c>
      <c r="D492">
        <v>8.1631823997978525E-3</v>
      </c>
      <c r="E492">
        <f t="shared" si="7"/>
        <v>1</v>
      </c>
    </row>
    <row r="493" spans="1:5" x14ac:dyDescent="0.25">
      <c r="A493" s="13">
        <v>40981</v>
      </c>
      <c r="B493" t="s">
        <v>31</v>
      </c>
      <c r="C493">
        <v>307.7370694</v>
      </c>
      <c r="D493">
        <v>2.0870940794090798E-2</v>
      </c>
      <c r="E493">
        <f t="shared" si="7"/>
        <v>1</v>
      </c>
    </row>
    <row r="494" spans="1:5" x14ac:dyDescent="0.25">
      <c r="A494" s="13">
        <v>40982</v>
      </c>
      <c r="B494" t="s">
        <v>31</v>
      </c>
      <c r="C494">
        <v>306.84540509999999</v>
      </c>
      <c r="D494">
        <v>-2.8974874614179358E-3</v>
      </c>
      <c r="E494">
        <f t="shared" si="7"/>
        <v>0</v>
      </c>
    </row>
    <row r="495" spans="1:5" x14ac:dyDescent="0.25">
      <c r="A495" s="13">
        <v>40983</v>
      </c>
      <c r="B495" t="s">
        <v>31</v>
      </c>
      <c r="C495">
        <v>309.40580410000001</v>
      </c>
      <c r="D495">
        <v>8.3442637805366537E-3</v>
      </c>
      <c r="E495">
        <f t="shared" si="7"/>
        <v>1</v>
      </c>
    </row>
    <row r="496" spans="1:5" x14ac:dyDescent="0.25">
      <c r="A496" s="13">
        <v>40984</v>
      </c>
      <c r="B496" t="s">
        <v>31</v>
      </c>
      <c r="C496">
        <v>311.35350010000002</v>
      </c>
      <c r="D496">
        <v>6.29495624901244E-3</v>
      </c>
      <c r="E496">
        <f t="shared" si="7"/>
        <v>1</v>
      </c>
    </row>
    <row r="497" spans="1:5" x14ac:dyDescent="0.25">
      <c r="A497" s="13">
        <v>40987</v>
      </c>
      <c r="B497" t="s">
        <v>31</v>
      </c>
      <c r="C497">
        <v>315.80681600000003</v>
      </c>
      <c r="D497">
        <v>1.4303086037477319E-2</v>
      </c>
      <c r="E497">
        <f t="shared" si="7"/>
        <v>1</v>
      </c>
    </row>
    <row r="498" spans="1:5" x14ac:dyDescent="0.25">
      <c r="A498" s="13">
        <v>40988</v>
      </c>
      <c r="B498" t="s">
        <v>31</v>
      </c>
      <c r="C498">
        <v>315.56273590000001</v>
      </c>
      <c r="D498">
        <v>-7.7287787227497962E-4</v>
      </c>
      <c r="E498">
        <f t="shared" si="7"/>
        <v>0</v>
      </c>
    </row>
    <row r="499" spans="1:5" x14ac:dyDescent="0.25">
      <c r="A499" s="13">
        <v>40989</v>
      </c>
      <c r="B499" t="s">
        <v>31</v>
      </c>
      <c r="C499">
        <v>318.79562120000003</v>
      </c>
      <c r="D499">
        <v>1.0244825932249846E-2</v>
      </c>
      <c r="E499">
        <f t="shared" si="7"/>
        <v>1</v>
      </c>
    </row>
    <row r="500" spans="1:5" x14ac:dyDescent="0.25">
      <c r="A500" s="13">
        <v>40990</v>
      </c>
      <c r="B500" t="s">
        <v>31</v>
      </c>
      <c r="C500">
        <v>321.81930770000002</v>
      </c>
      <c r="D500">
        <v>9.4847177907222413E-3</v>
      </c>
      <c r="E500">
        <f t="shared" si="7"/>
        <v>1</v>
      </c>
    </row>
    <row r="501" spans="1:5" x14ac:dyDescent="0.25">
      <c r="A501" s="13">
        <v>40991</v>
      </c>
      <c r="B501" t="s">
        <v>31</v>
      </c>
      <c r="C501">
        <v>320.09576349999998</v>
      </c>
      <c r="D501">
        <v>-5.3556270825326768E-3</v>
      </c>
      <c r="E501">
        <f t="shared" si="7"/>
        <v>0</v>
      </c>
    </row>
    <row r="502" spans="1:5" x14ac:dyDescent="0.25">
      <c r="A502" s="13">
        <v>40994</v>
      </c>
      <c r="B502" t="s">
        <v>31</v>
      </c>
      <c r="C502">
        <v>323.45316059999999</v>
      </c>
      <c r="D502">
        <v>1.0488727071203519E-2</v>
      </c>
      <c r="E502">
        <f t="shared" si="7"/>
        <v>1</v>
      </c>
    </row>
    <row r="503" spans="1:5" x14ac:dyDescent="0.25">
      <c r="A503" s="13">
        <v>40995</v>
      </c>
      <c r="B503" t="s">
        <v>31</v>
      </c>
      <c r="C503">
        <v>322.30249359999999</v>
      </c>
      <c r="D503">
        <v>-3.5574455289462126E-3</v>
      </c>
      <c r="E503">
        <f t="shared" si="7"/>
        <v>0</v>
      </c>
    </row>
    <row r="504" spans="1:5" x14ac:dyDescent="0.25">
      <c r="A504" s="13">
        <v>40996</v>
      </c>
      <c r="B504" t="s">
        <v>31</v>
      </c>
      <c r="C504">
        <v>326.65616949999998</v>
      </c>
      <c r="D504">
        <v>1.3508042867962367E-2</v>
      </c>
      <c r="E504">
        <f t="shared" si="7"/>
        <v>1</v>
      </c>
    </row>
    <row r="505" spans="1:5" x14ac:dyDescent="0.25">
      <c r="A505" s="13">
        <v>40997</v>
      </c>
      <c r="B505" t="s">
        <v>31</v>
      </c>
      <c r="C505">
        <v>322.99487740000001</v>
      </c>
      <c r="D505">
        <v>-1.1208397213510968E-2</v>
      </c>
      <c r="E505">
        <f t="shared" si="7"/>
        <v>0</v>
      </c>
    </row>
    <row r="506" spans="1:5" x14ac:dyDescent="0.25">
      <c r="A506" s="13">
        <v>40998</v>
      </c>
      <c r="B506" t="s">
        <v>31</v>
      </c>
      <c r="C506">
        <v>319.42327710000001</v>
      </c>
      <c r="D506">
        <v>-1.1057761438045599E-2</v>
      </c>
      <c r="E506">
        <f t="shared" si="7"/>
        <v>0</v>
      </c>
    </row>
    <row r="507" spans="1:5" x14ac:dyDescent="0.25">
      <c r="A507" s="13">
        <v>41001</v>
      </c>
      <c r="B507" t="s">
        <v>31</v>
      </c>
      <c r="C507">
        <v>322.25265839999997</v>
      </c>
      <c r="D507">
        <v>8.8577805778198293E-3</v>
      </c>
      <c r="E507">
        <f t="shared" si="7"/>
        <v>1</v>
      </c>
    </row>
    <row r="508" spans="1:5" x14ac:dyDescent="0.25">
      <c r="A508" s="13">
        <v>41002</v>
      </c>
      <c r="B508" t="s">
        <v>31</v>
      </c>
      <c r="C508">
        <v>320.11068710000001</v>
      </c>
      <c r="D508">
        <v>-6.6468692939104512E-3</v>
      </c>
      <c r="E508">
        <f t="shared" si="7"/>
        <v>0</v>
      </c>
    </row>
    <row r="509" spans="1:5" x14ac:dyDescent="0.25">
      <c r="A509" s="13">
        <v>41003</v>
      </c>
      <c r="B509" t="s">
        <v>31</v>
      </c>
      <c r="C509">
        <v>316.38964149999998</v>
      </c>
      <c r="D509">
        <v>-1.162424670575779E-2</v>
      </c>
      <c r="E509">
        <f t="shared" si="7"/>
        <v>0</v>
      </c>
    </row>
    <row r="510" spans="1:5" x14ac:dyDescent="0.25">
      <c r="A510" s="13">
        <v>41004</v>
      </c>
      <c r="B510" t="s">
        <v>31</v>
      </c>
      <c r="C510">
        <v>314.97991000000002</v>
      </c>
      <c r="D510">
        <v>-4.4556815871608091E-3</v>
      </c>
      <c r="E510">
        <f t="shared" si="7"/>
        <v>0</v>
      </c>
    </row>
    <row r="511" spans="1:5" x14ac:dyDescent="0.25">
      <c r="A511" s="13">
        <v>41008</v>
      </c>
      <c r="B511" t="s">
        <v>31</v>
      </c>
      <c r="C511">
        <v>314.24269570000001</v>
      </c>
      <c r="D511">
        <v>-2.34051212980535E-3</v>
      </c>
      <c r="E511">
        <f t="shared" si="7"/>
        <v>0</v>
      </c>
    </row>
    <row r="512" spans="1:5" x14ac:dyDescent="0.25">
      <c r="A512" s="13">
        <v>41009</v>
      </c>
      <c r="B512" t="s">
        <v>31</v>
      </c>
      <c r="C512">
        <v>312.26011790000001</v>
      </c>
      <c r="D512">
        <v>-6.3090656588967731E-3</v>
      </c>
      <c r="E512">
        <f t="shared" si="7"/>
        <v>0</v>
      </c>
    </row>
    <row r="513" spans="1:5" x14ac:dyDescent="0.25">
      <c r="A513" s="13">
        <v>41010</v>
      </c>
      <c r="B513" t="s">
        <v>31</v>
      </c>
      <c r="C513">
        <v>316.79311510000002</v>
      </c>
      <c r="D513">
        <v>1.4516734415157329E-2</v>
      </c>
      <c r="E513">
        <f t="shared" si="7"/>
        <v>1</v>
      </c>
    </row>
    <row r="514" spans="1:5" x14ac:dyDescent="0.25">
      <c r="A514" s="13">
        <v>41011</v>
      </c>
      <c r="B514" t="s">
        <v>31</v>
      </c>
      <c r="C514">
        <v>324.29004579999997</v>
      </c>
      <c r="D514">
        <v>2.366506828165571E-2</v>
      </c>
      <c r="E514">
        <f t="shared" si="7"/>
        <v>1</v>
      </c>
    </row>
    <row r="515" spans="1:5" x14ac:dyDescent="0.25">
      <c r="A515" s="13">
        <v>41012</v>
      </c>
      <c r="B515" t="s">
        <v>31</v>
      </c>
      <c r="C515">
        <v>311.13432269999998</v>
      </c>
      <c r="D515">
        <v>-4.0567767251522557E-2</v>
      </c>
      <c r="E515">
        <f t="shared" ref="E515:E578" si="8">IF(D515&gt;0,1,0)</f>
        <v>0</v>
      </c>
    </row>
    <row r="516" spans="1:5" x14ac:dyDescent="0.25">
      <c r="A516" s="13">
        <v>41015</v>
      </c>
      <c r="B516" t="s">
        <v>31</v>
      </c>
      <c r="C516">
        <v>301.90389909999999</v>
      </c>
      <c r="D516">
        <v>-2.9667005298223192E-2</v>
      </c>
      <c r="E516">
        <f t="shared" si="8"/>
        <v>0</v>
      </c>
    </row>
    <row r="517" spans="1:5" x14ac:dyDescent="0.25">
      <c r="A517" s="13">
        <v>41016</v>
      </c>
      <c r="B517" t="s">
        <v>31</v>
      </c>
      <c r="C517">
        <v>303.64737109999999</v>
      </c>
      <c r="D517">
        <v>5.7749237595057235E-3</v>
      </c>
      <c r="E517">
        <f t="shared" si="8"/>
        <v>1</v>
      </c>
    </row>
    <row r="518" spans="1:5" x14ac:dyDescent="0.25">
      <c r="A518" s="13">
        <v>41017</v>
      </c>
      <c r="B518" t="s">
        <v>31</v>
      </c>
      <c r="C518">
        <v>302.59133939999998</v>
      </c>
      <c r="D518">
        <v>-3.4778226341114493E-3</v>
      </c>
      <c r="E518">
        <f t="shared" si="8"/>
        <v>0</v>
      </c>
    </row>
    <row r="519" spans="1:5" x14ac:dyDescent="0.25">
      <c r="A519" s="13">
        <v>41018</v>
      </c>
      <c r="B519" t="s">
        <v>31</v>
      </c>
      <c r="C519">
        <v>298.53154849999999</v>
      </c>
      <c r="D519">
        <v>-1.3416745198491231E-2</v>
      </c>
      <c r="E519">
        <f t="shared" si="8"/>
        <v>0</v>
      </c>
    </row>
    <row r="520" spans="1:5" x14ac:dyDescent="0.25">
      <c r="A520" s="13">
        <v>41019</v>
      </c>
      <c r="B520" t="s">
        <v>31</v>
      </c>
      <c r="C520">
        <v>296.91759300000001</v>
      </c>
      <c r="D520">
        <v>-5.4063147031174763E-3</v>
      </c>
      <c r="E520">
        <f t="shared" si="8"/>
        <v>0</v>
      </c>
    </row>
    <row r="521" spans="1:5" x14ac:dyDescent="0.25">
      <c r="A521" s="13">
        <v>41022</v>
      </c>
      <c r="B521" t="s">
        <v>31</v>
      </c>
      <c r="C521">
        <v>297.68471460000001</v>
      </c>
      <c r="D521">
        <v>2.583617872720545E-3</v>
      </c>
      <c r="E521">
        <f t="shared" si="8"/>
        <v>1</v>
      </c>
    </row>
    <row r="522" spans="1:5" x14ac:dyDescent="0.25">
      <c r="A522" s="13">
        <v>41023</v>
      </c>
      <c r="B522" t="s">
        <v>31</v>
      </c>
      <c r="C522">
        <v>299.5128732</v>
      </c>
      <c r="D522">
        <v>6.1412578823756281E-3</v>
      </c>
      <c r="E522">
        <f t="shared" si="8"/>
        <v>1</v>
      </c>
    </row>
    <row r="523" spans="1:5" x14ac:dyDescent="0.25">
      <c r="A523" s="13">
        <v>41024</v>
      </c>
      <c r="B523" t="s">
        <v>31</v>
      </c>
      <c r="C523">
        <v>303.72210899999999</v>
      </c>
      <c r="D523">
        <v>1.4053605626457522E-2</v>
      </c>
      <c r="E523">
        <f t="shared" si="8"/>
        <v>1</v>
      </c>
    </row>
    <row r="524" spans="1:5" x14ac:dyDescent="0.25">
      <c r="A524" s="13">
        <v>41025</v>
      </c>
      <c r="B524" t="s">
        <v>31</v>
      </c>
      <c r="C524">
        <v>306.58637149999998</v>
      </c>
      <c r="D524">
        <v>9.4305367147309305E-3</v>
      </c>
      <c r="E524">
        <f t="shared" si="8"/>
        <v>1</v>
      </c>
    </row>
    <row r="525" spans="1:5" x14ac:dyDescent="0.25">
      <c r="A525" s="13">
        <v>41026</v>
      </c>
      <c r="B525" t="s">
        <v>31</v>
      </c>
      <c r="C525">
        <v>306.34229190000002</v>
      </c>
      <c r="D525">
        <v>-7.9612018892349923E-4</v>
      </c>
      <c r="E525">
        <f t="shared" si="8"/>
        <v>0</v>
      </c>
    </row>
    <row r="526" spans="1:5" x14ac:dyDescent="0.25">
      <c r="A526" s="13">
        <v>41029</v>
      </c>
      <c r="B526" t="s">
        <v>31</v>
      </c>
      <c r="C526">
        <v>301.29620139999997</v>
      </c>
      <c r="D526">
        <v>-1.6472066160709065E-2</v>
      </c>
      <c r="E526">
        <f t="shared" si="8"/>
        <v>0</v>
      </c>
    </row>
    <row r="527" spans="1:5" x14ac:dyDescent="0.25">
      <c r="A527" s="13">
        <v>41030</v>
      </c>
      <c r="B527" t="s">
        <v>31</v>
      </c>
      <c r="C527">
        <v>301.08697260000002</v>
      </c>
      <c r="D527">
        <v>-6.9442893414439766E-4</v>
      </c>
      <c r="E527">
        <f t="shared" si="8"/>
        <v>0</v>
      </c>
    </row>
    <row r="528" spans="1:5" x14ac:dyDescent="0.25">
      <c r="A528" s="13">
        <v>41031</v>
      </c>
      <c r="B528" t="s">
        <v>31</v>
      </c>
      <c r="C528">
        <v>302.49670409999999</v>
      </c>
      <c r="D528">
        <v>4.6821404719918913E-3</v>
      </c>
      <c r="E528">
        <f t="shared" si="8"/>
        <v>1</v>
      </c>
    </row>
    <row r="529" spans="1:5" x14ac:dyDescent="0.25">
      <c r="A529" s="13">
        <v>41032</v>
      </c>
      <c r="B529" t="s">
        <v>31</v>
      </c>
      <c r="C529">
        <v>304.36966230000002</v>
      </c>
      <c r="D529">
        <v>6.1916648168862665E-3</v>
      </c>
      <c r="E529">
        <f t="shared" si="8"/>
        <v>1</v>
      </c>
    </row>
    <row r="530" spans="1:5" x14ac:dyDescent="0.25">
      <c r="A530" s="13">
        <v>41033</v>
      </c>
      <c r="B530" t="s">
        <v>31</v>
      </c>
      <c r="C530">
        <v>297.37090189999998</v>
      </c>
      <c r="D530">
        <v>-2.2994277245350969E-2</v>
      </c>
      <c r="E530">
        <f t="shared" si="8"/>
        <v>0</v>
      </c>
    </row>
    <row r="531" spans="1:5" x14ac:dyDescent="0.25">
      <c r="A531" s="13">
        <v>41036</v>
      </c>
      <c r="B531" t="s">
        <v>31</v>
      </c>
      <c r="C531">
        <v>302.64114369999999</v>
      </c>
      <c r="D531">
        <v>1.7722789171121578E-2</v>
      </c>
      <c r="E531">
        <f t="shared" si="8"/>
        <v>1</v>
      </c>
    </row>
    <row r="532" spans="1:5" x14ac:dyDescent="0.25">
      <c r="A532" s="13">
        <v>41037</v>
      </c>
      <c r="B532" t="s">
        <v>31</v>
      </c>
      <c r="C532">
        <v>305.25137790000002</v>
      </c>
      <c r="D532">
        <v>8.6248491136666772E-3</v>
      </c>
      <c r="E532">
        <f t="shared" si="8"/>
        <v>1</v>
      </c>
    </row>
    <row r="533" spans="1:5" x14ac:dyDescent="0.25">
      <c r="A533" s="13">
        <v>41038</v>
      </c>
      <c r="B533" t="s">
        <v>31</v>
      </c>
      <c r="C533">
        <v>303.4381727</v>
      </c>
      <c r="D533">
        <v>-5.9400393618993519E-3</v>
      </c>
      <c r="E533">
        <f t="shared" si="8"/>
        <v>0</v>
      </c>
    </row>
    <row r="534" spans="1:5" x14ac:dyDescent="0.25">
      <c r="A534" s="13">
        <v>41039</v>
      </c>
      <c r="B534" t="s">
        <v>31</v>
      </c>
      <c r="C534">
        <v>305.68475899999999</v>
      </c>
      <c r="D534">
        <v>7.4037695389799207E-3</v>
      </c>
      <c r="E534">
        <f t="shared" si="8"/>
        <v>1</v>
      </c>
    </row>
    <row r="535" spans="1:5" x14ac:dyDescent="0.25">
      <c r="A535" s="13">
        <v>41040</v>
      </c>
      <c r="B535" t="s">
        <v>31</v>
      </c>
      <c r="C535">
        <v>301.48547189999999</v>
      </c>
      <c r="D535">
        <v>-1.3737312628007037E-2</v>
      </c>
      <c r="E535">
        <f t="shared" si="8"/>
        <v>0</v>
      </c>
    </row>
    <row r="536" spans="1:5" x14ac:dyDescent="0.25">
      <c r="A536" s="13">
        <v>41043</v>
      </c>
      <c r="B536" t="s">
        <v>31</v>
      </c>
      <c r="C536">
        <v>300.8727695</v>
      </c>
      <c r="D536">
        <v>-2.0322783586839144E-3</v>
      </c>
      <c r="E536">
        <f t="shared" si="8"/>
        <v>0</v>
      </c>
    </row>
    <row r="537" spans="1:5" x14ac:dyDescent="0.25">
      <c r="A537" s="13">
        <v>41044</v>
      </c>
      <c r="B537" t="s">
        <v>31</v>
      </c>
      <c r="C537">
        <v>304.41449269999998</v>
      </c>
      <c r="D537">
        <v>1.1771497985296975E-2</v>
      </c>
      <c r="E537">
        <f t="shared" si="8"/>
        <v>1</v>
      </c>
    </row>
    <row r="538" spans="1:5" x14ac:dyDescent="0.25">
      <c r="A538" s="13">
        <v>41045</v>
      </c>
      <c r="B538" t="s">
        <v>31</v>
      </c>
      <c r="C538">
        <v>313.2912475</v>
      </c>
      <c r="D538">
        <v>2.9160092613422561E-2</v>
      </c>
      <c r="E538">
        <f t="shared" si="8"/>
        <v>1</v>
      </c>
    </row>
    <row r="539" spans="1:5" x14ac:dyDescent="0.25">
      <c r="A539" s="13">
        <v>41046</v>
      </c>
      <c r="B539" t="s">
        <v>31</v>
      </c>
      <c r="C539">
        <v>310.36222670000001</v>
      </c>
      <c r="D539">
        <v>-9.3491944743844257E-3</v>
      </c>
      <c r="E539">
        <f t="shared" si="8"/>
        <v>0</v>
      </c>
    </row>
    <row r="540" spans="1:5" x14ac:dyDescent="0.25">
      <c r="A540" s="13">
        <v>41047</v>
      </c>
      <c r="B540" t="s">
        <v>31</v>
      </c>
      <c r="C540">
        <v>299.07949209999998</v>
      </c>
      <c r="D540">
        <v>-3.6353440043159768E-2</v>
      </c>
      <c r="E540">
        <f t="shared" si="8"/>
        <v>0</v>
      </c>
    </row>
    <row r="541" spans="1:5" x14ac:dyDescent="0.25">
      <c r="A541" s="13">
        <v>41050</v>
      </c>
      <c r="B541" t="s">
        <v>31</v>
      </c>
      <c r="C541">
        <v>305.9089108</v>
      </c>
      <c r="D541">
        <v>2.2834794362017075E-2</v>
      </c>
      <c r="E541">
        <f t="shared" si="8"/>
        <v>1</v>
      </c>
    </row>
    <row r="542" spans="1:5" x14ac:dyDescent="0.25">
      <c r="A542" s="13">
        <v>41051</v>
      </c>
      <c r="B542" t="s">
        <v>31</v>
      </c>
      <c r="C542">
        <v>299.27874179999998</v>
      </c>
      <c r="D542">
        <v>-2.1673670710215975E-2</v>
      </c>
      <c r="E542">
        <f t="shared" si="8"/>
        <v>0</v>
      </c>
    </row>
    <row r="543" spans="1:5" x14ac:dyDescent="0.25">
      <c r="A543" s="13">
        <v>41052</v>
      </c>
      <c r="B543" t="s">
        <v>31</v>
      </c>
      <c r="C543">
        <v>303.5925919</v>
      </c>
      <c r="D543">
        <v>1.4414154757717013E-2</v>
      </c>
      <c r="E543">
        <f t="shared" si="8"/>
        <v>1</v>
      </c>
    </row>
    <row r="544" spans="1:5" x14ac:dyDescent="0.25">
      <c r="A544" s="13">
        <v>41053</v>
      </c>
      <c r="B544" t="s">
        <v>31</v>
      </c>
      <c r="C544">
        <v>300.70339630000001</v>
      </c>
      <c r="D544">
        <v>-9.5166867607614503E-3</v>
      </c>
      <c r="E544">
        <f t="shared" si="8"/>
        <v>0</v>
      </c>
    </row>
    <row r="545" spans="1:5" x14ac:dyDescent="0.25">
      <c r="A545" s="13">
        <v>41054</v>
      </c>
      <c r="B545" t="s">
        <v>31</v>
      </c>
      <c r="C545">
        <v>294.66105800000003</v>
      </c>
      <c r="D545">
        <v>-2.009401414931733E-2</v>
      </c>
      <c r="E545">
        <f t="shared" si="8"/>
        <v>0</v>
      </c>
    </row>
    <row r="546" spans="1:5" x14ac:dyDescent="0.25">
      <c r="A546" s="13">
        <v>41058</v>
      </c>
      <c r="B546" t="s">
        <v>31</v>
      </c>
      <c r="C546">
        <v>296.06081039999998</v>
      </c>
      <c r="D546">
        <v>4.75038136868422E-3</v>
      </c>
      <c r="E546">
        <f t="shared" si="8"/>
        <v>1</v>
      </c>
    </row>
    <row r="547" spans="1:5" x14ac:dyDescent="0.25">
      <c r="A547" s="13">
        <v>41059</v>
      </c>
      <c r="B547" t="s">
        <v>31</v>
      </c>
      <c r="C547">
        <v>293.01719559999998</v>
      </c>
      <c r="D547">
        <v>-1.0280370427574792E-2</v>
      </c>
      <c r="E547">
        <f t="shared" si="8"/>
        <v>0</v>
      </c>
    </row>
    <row r="548" spans="1:5" x14ac:dyDescent="0.25">
      <c r="A548" s="13">
        <v>41060</v>
      </c>
      <c r="B548" t="s">
        <v>31</v>
      </c>
      <c r="C548">
        <v>289.34595530000001</v>
      </c>
      <c r="D548">
        <v>-1.2529095067211005E-2</v>
      </c>
      <c r="E548">
        <f t="shared" si="8"/>
        <v>0</v>
      </c>
    </row>
    <row r="549" spans="1:5" x14ac:dyDescent="0.25">
      <c r="A549" s="13">
        <v>41061</v>
      </c>
      <c r="B549" t="s">
        <v>31</v>
      </c>
      <c r="C549">
        <v>284.42440749999997</v>
      </c>
      <c r="D549">
        <v>-1.7009215818818979E-2</v>
      </c>
      <c r="E549">
        <f t="shared" si="8"/>
        <v>0</v>
      </c>
    </row>
    <row r="550" spans="1:5" x14ac:dyDescent="0.25">
      <c r="A550" s="13">
        <v>41064</v>
      </c>
      <c r="B550" t="s">
        <v>31</v>
      </c>
      <c r="C550">
        <v>288.21518520000001</v>
      </c>
      <c r="D550">
        <v>1.3327891700011918E-2</v>
      </c>
      <c r="E550">
        <f t="shared" si="8"/>
        <v>1</v>
      </c>
    </row>
    <row r="551" spans="1:5" x14ac:dyDescent="0.25">
      <c r="A551" s="13">
        <v>41065</v>
      </c>
      <c r="B551" t="s">
        <v>31</v>
      </c>
      <c r="C551">
        <v>284.1404713</v>
      </c>
      <c r="D551">
        <v>-1.4137748839196163E-2</v>
      </c>
      <c r="E551">
        <f t="shared" si="8"/>
        <v>0</v>
      </c>
    </row>
    <row r="552" spans="1:5" x14ac:dyDescent="0.25">
      <c r="A552" s="13">
        <v>41066</v>
      </c>
      <c r="B552" t="s">
        <v>31</v>
      </c>
      <c r="C552">
        <v>289.2014848</v>
      </c>
      <c r="D552">
        <v>1.7811660116015204E-2</v>
      </c>
      <c r="E552">
        <f t="shared" si="8"/>
        <v>1</v>
      </c>
    </row>
    <row r="553" spans="1:5" x14ac:dyDescent="0.25">
      <c r="A553" s="13">
        <v>41067</v>
      </c>
      <c r="B553" t="s">
        <v>31</v>
      </c>
      <c r="C553">
        <v>288.03586389999998</v>
      </c>
      <c r="D553">
        <v>-4.0304803442006154E-3</v>
      </c>
      <c r="E553">
        <f t="shared" si="8"/>
        <v>0</v>
      </c>
    </row>
    <row r="554" spans="1:5" x14ac:dyDescent="0.25">
      <c r="A554" s="13">
        <v>41068</v>
      </c>
      <c r="B554" t="s">
        <v>31</v>
      </c>
      <c r="C554">
        <v>289.1417313</v>
      </c>
      <c r="D554">
        <v>3.8393392580584607E-3</v>
      </c>
      <c r="E554">
        <f t="shared" si="8"/>
        <v>1</v>
      </c>
    </row>
    <row r="555" spans="1:5" x14ac:dyDescent="0.25">
      <c r="A555" s="13">
        <v>41071</v>
      </c>
      <c r="B555" t="s">
        <v>31</v>
      </c>
      <c r="C555">
        <v>283.18902300000002</v>
      </c>
      <c r="D555">
        <v>-2.0587510053412972E-2</v>
      </c>
      <c r="E555">
        <f t="shared" si="8"/>
        <v>0</v>
      </c>
    </row>
    <row r="556" spans="1:5" x14ac:dyDescent="0.25">
      <c r="A556" s="13">
        <v>41072</v>
      </c>
      <c r="B556" t="s">
        <v>31</v>
      </c>
      <c r="C556">
        <v>281.49535580000003</v>
      </c>
      <c r="D556">
        <v>-5.9806950921257318E-3</v>
      </c>
      <c r="E556">
        <f t="shared" si="8"/>
        <v>0</v>
      </c>
    </row>
    <row r="557" spans="1:5" x14ac:dyDescent="0.25">
      <c r="A557" s="13">
        <v>41073</v>
      </c>
      <c r="B557" t="s">
        <v>31</v>
      </c>
      <c r="C557">
        <v>279.49785489999999</v>
      </c>
      <c r="D557">
        <v>-7.0960350103226322E-3</v>
      </c>
      <c r="E557">
        <f t="shared" si="8"/>
        <v>0</v>
      </c>
    </row>
    <row r="558" spans="1:5" x14ac:dyDescent="0.25">
      <c r="A558" s="13">
        <v>41074</v>
      </c>
      <c r="B558" t="s">
        <v>31</v>
      </c>
      <c r="C558">
        <v>278.48164789999998</v>
      </c>
      <c r="D558">
        <v>-3.6358311242267183E-3</v>
      </c>
      <c r="E558">
        <f t="shared" si="8"/>
        <v>0</v>
      </c>
    </row>
    <row r="559" spans="1:5" x14ac:dyDescent="0.25">
      <c r="A559" s="13">
        <v>41075</v>
      </c>
      <c r="B559" t="s">
        <v>31</v>
      </c>
      <c r="C559">
        <v>281.2014709</v>
      </c>
      <c r="D559">
        <v>9.7666148577828515E-3</v>
      </c>
      <c r="E559">
        <f t="shared" si="8"/>
        <v>1</v>
      </c>
    </row>
    <row r="560" spans="1:5" x14ac:dyDescent="0.25">
      <c r="A560" s="13">
        <v>41078</v>
      </c>
      <c r="B560" t="s">
        <v>31</v>
      </c>
      <c r="C560">
        <v>284.35964869999998</v>
      </c>
      <c r="D560">
        <v>1.1231014510315607E-2</v>
      </c>
      <c r="E560">
        <f t="shared" si="8"/>
        <v>1</v>
      </c>
    </row>
    <row r="561" spans="1:5" x14ac:dyDescent="0.25">
      <c r="A561" s="13">
        <v>41079</v>
      </c>
      <c r="B561" t="s">
        <v>31</v>
      </c>
      <c r="C561">
        <v>289.67969590000001</v>
      </c>
      <c r="D561">
        <v>1.8708868238941578E-2</v>
      </c>
      <c r="E561">
        <f t="shared" si="8"/>
        <v>1</v>
      </c>
    </row>
    <row r="562" spans="1:5" x14ac:dyDescent="0.25">
      <c r="A562" s="13">
        <v>41080</v>
      </c>
      <c r="B562" t="s">
        <v>31</v>
      </c>
      <c r="C562">
        <v>287.67722070000002</v>
      </c>
      <c r="D562">
        <v>-6.9127219765214853E-3</v>
      </c>
      <c r="E562">
        <f t="shared" si="8"/>
        <v>0</v>
      </c>
    </row>
    <row r="563" spans="1:5" x14ac:dyDescent="0.25">
      <c r="A563" s="13">
        <v>41081</v>
      </c>
      <c r="B563" t="s">
        <v>31</v>
      </c>
      <c r="C563">
        <v>281.55016540000003</v>
      </c>
      <c r="D563">
        <v>-2.1298367959378672E-2</v>
      </c>
      <c r="E563">
        <f t="shared" si="8"/>
        <v>0</v>
      </c>
    </row>
    <row r="564" spans="1:5" x14ac:dyDescent="0.25">
      <c r="A564" s="13">
        <v>41082</v>
      </c>
      <c r="B564" t="s">
        <v>31</v>
      </c>
      <c r="C564">
        <v>284.67346199999997</v>
      </c>
      <c r="D564">
        <v>1.1093215291003933E-2</v>
      </c>
      <c r="E564">
        <f t="shared" si="8"/>
        <v>1</v>
      </c>
    </row>
    <row r="565" spans="1:5" x14ac:dyDescent="0.25">
      <c r="A565" s="13">
        <v>41085</v>
      </c>
      <c r="B565" t="s">
        <v>31</v>
      </c>
      <c r="C565">
        <v>279.30357959999998</v>
      </c>
      <c r="D565">
        <v>-1.886330521388746E-2</v>
      </c>
      <c r="E565">
        <f t="shared" si="8"/>
        <v>0</v>
      </c>
    </row>
    <row r="566" spans="1:5" x14ac:dyDescent="0.25">
      <c r="A566" s="13">
        <v>41086</v>
      </c>
      <c r="B566" t="s">
        <v>31</v>
      </c>
      <c r="C566">
        <v>281.28615739999998</v>
      </c>
      <c r="D566">
        <v>7.0982899783786912E-3</v>
      </c>
      <c r="E566">
        <f t="shared" si="8"/>
        <v>1</v>
      </c>
    </row>
    <row r="567" spans="1:5" x14ac:dyDescent="0.25">
      <c r="A567" s="13">
        <v>41087</v>
      </c>
      <c r="B567" t="s">
        <v>31</v>
      </c>
      <c r="C567">
        <v>283.58752229999999</v>
      </c>
      <c r="D567">
        <v>8.1815789346768586E-3</v>
      </c>
      <c r="E567">
        <f t="shared" si="8"/>
        <v>1</v>
      </c>
    </row>
    <row r="568" spans="1:5" x14ac:dyDescent="0.25">
      <c r="A568" s="13">
        <v>41088</v>
      </c>
      <c r="B568" t="s">
        <v>31</v>
      </c>
      <c r="C568">
        <v>281.10183080000002</v>
      </c>
      <c r="D568">
        <v>-8.7651652648187417E-3</v>
      </c>
      <c r="E568">
        <f t="shared" si="8"/>
        <v>0</v>
      </c>
    </row>
    <row r="569" spans="1:5" x14ac:dyDescent="0.25">
      <c r="A569" s="13">
        <v>41089</v>
      </c>
      <c r="B569" t="s">
        <v>31</v>
      </c>
      <c r="C569">
        <v>288.95243040000003</v>
      </c>
      <c r="D569">
        <v>2.792795613482002E-2</v>
      </c>
      <c r="E569">
        <f t="shared" si="8"/>
        <v>1</v>
      </c>
    </row>
    <row r="570" spans="1:5" x14ac:dyDescent="0.25">
      <c r="A570" s="13">
        <v>41092</v>
      </c>
      <c r="B570" t="s">
        <v>31</v>
      </c>
      <c r="C570">
        <v>289.15168</v>
      </c>
      <c r="D570">
        <v>6.8955848450258372E-4</v>
      </c>
      <c r="E570">
        <f t="shared" si="8"/>
        <v>1</v>
      </c>
    </row>
    <row r="571" spans="1:5" x14ac:dyDescent="0.25">
      <c r="A571" s="13">
        <v>41093</v>
      </c>
      <c r="B571" t="s">
        <v>31</v>
      </c>
      <c r="C571">
        <v>292.81794600000001</v>
      </c>
      <c r="D571">
        <v>1.2679386818710503E-2</v>
      </c>
      <c r="E571">
        <f t="shared" si="8"/>
        <v>1</v>
      </c>
    </row>
    <row r="572" spans="1:5" x14ac:dyDescent="0.25">
      <c r="A572" s="13">
        <v>41095</v>
      </c>
      <c r="B572" t="s">
        <v>31</v>
      </c>
      <c r="C572">
        <v>296.84785979999998</v>
      </c>
      <c r="D572">
        <v>1.3762523284689632E-2</v>
      </c>
      <c r="E572">
        <f t="shared" si="8"/>
        <v>1</v>
      </c>
    </row>
    <row r="573" spans="1:5" x14ac:dyDescent="0.25">
      <c r="A573" s="13">
        <v>41096</v>
      </c>
      <c r="B573" t="s">
        <v>31</v>
      </c>
      <c r="C573">
        <v>291.89640509999998</v>
      </c>
      <c r="D573">
        <v>-1.6680109141888444E-2</v>
      </c>
      <c r="E573">
        <f t="shared" si="8"/>
        <v>0</v>
      </c>
    </row>
    <row r="574" spans="1:5" x14ac:dyDescent="0.25">
      <c r="A574" s="13">
        <v>41099</v>
      </c>
      <c r="B574" t="s">
        <v>31</v>
      </c>
      <c r="C574">
        <v>291.91135860000003</v>
      </c>
      <c r="D574">
        <v>5.1228791238200344E-5</v>
      </c>
      <c r="E574">
        <f t="shared" si="8"/>
        <v>1</v>
      </c>
    </row>
    <row r="575" spans="1:5" x14ac:dyDescent="0.25">
      <c r="A575" s="13">
        <v>41100</v>
      </c>
      <c r="B575" t="s">
        <v>31</v>
      </c>
      <c r="C575">
        <v>289.76438250000001</v>
      </c>
      <c r="D575">
        <v>-7.3548905746486648E-3</v>
      </c>
      <c r="E575">
        <f t="shared" si="8"/>
        <v>0</v>
      </c>
    </row>
    <row r="576" spans="1:5" x14ac:dyDescent="0.25">
      <c r="A576" s="13">
        <v>41101</v>
      </c>
      <c r="B576" t="s">
        <v>31</v>
      </c>
      <c r="C576">
        <v>284.52899150000002</v>
      </c>
      <c r="D576">
        <v>-1.8067751995019532E-2</v>
      </c>
      <c r="E576">
        <f t="shared" si="8"/>
        <v>0</v>
      </c>
    </row>
    <row r="577" spans="1:5" x14ac:dyDescent="0.25">
      <c r="A577" s="13">
        <v>41102</v>
      </c>
      <c r="B577" t="s">
        <v>31</v>
      </c>
      <c r="C577">
        <v>284.17532260000002</v>
      </c>
      <c r="D577">
        <v>-1.2429977631998046E-3</v>
      </c>
      <c r="E577">
        <f t="shared" si="8"/>
        <v>0</v>
      </c>
    </row>
    <row r="578" spans="1:5" x14ac:dyDescent="0.25">
      <c r="A578" s="13">
        <v>41103</v>
      </c>
      <c r="B578" t="s">
        <v>31</v>
      </c>
      <c r="C578">
        <v>287.18405569999999</v>
      </c>
      <c r="D578">
        <v>1.0587594561245695E-2</v>
      </c>
      <c r="E578">
        <f t="shared" si="8"/>
        <v>1</v>
      </c>
    </row>
    <row r="579" spans="1:5" x14ac:dyDescent="0.25">
      <c r="A579" s="13">
        <v>41106</v>
      </c>
      <c r="B579" t="s">
        <v>31</v>
      </c>
      <c r="C579">
        <v>286.38705700000003</v>
      </c>
      <c r="D579">
        <v>-2.7752191815012539E-3</v>
      </c>
      <c r="E579">
        <f t="shared" ref="E579:E642" si="9">IF(D579&gt;0,1,0)</f>
        <v>0</v>
      </c>
    </row>
    <row r="580" spans="1:5" x14ac:dyDescent="0.25">
      <c r="A580" s="13">
        <v>41107</v>
      </c>
      <c r="B580" t="s">
        <v>31</v>
      </c>
      <c r="C580">
        <v>287.28867000000002</v>
      </c>
      <c r="D580">
        <v>3.1482323588387651E-3</v>
      </c>
      <c r="E580">
        <f t="shared" si="9"/>
        <v>1</v>
      </c>
    </row>
    <row r="581" spans="1:5" x14ac:dyDescent="0.25">
      <c r="A581" s="13">
        <v>41108</v>
      </c>
      <c r="B581" t="s">
        <v>31</v>
      </c>
      <c r="C581">
        <v>289.29615050000001</v>
      </c>
      <c r="D581">
        <v>6.9876772376717966E-3</v>
      </c>
      <c r="E581">
        <f t="shared" si="9"/>
        <v>1</v>
      </c>
    </row>
    <row r="582" spans="1:5" x14ac:dyDescent="0.25">
      <c r="A582" s="13">
        <v>41109</v>
      </c>
      <c r="B582" t="s">
        <v>31</v>
      </c>
      <c r="C582">
        <v>295.42317489999999</v>
      </c>
      <c r="D582">
        <v>2.1179073380030999E-2</v>
      </c>
      <c r="E582">
        <f t="shared" si="9"/>
        <v>1</v>
      </c>
    </row>
    <row r="583" spans="1:5" x14ac:dyDescent="0.25">
      <c r="A583" s="13">
        <v>41110</v>
      </c>
      <c r="B583" t="s">
        <v>31</v>
      </c>
      <c r="C583">
        <v>304.27005309999998</v>
      </c>
      <c r="D583">
        <v>2.9946459694621508E-2</v>
      </c>
      <c r="E583">
        <f t="shared" si="9"/>
        <v>1</v>
      </c>
    </row>
    <row r="584" spans="1:5" x14ac:dyDescent="0.25">
      <c r="A584" s="13">
        <v>41113</v>
      </c>
      <c r="B584" t="s">
        <v>31</v>
      </c>
      <c r="C584">
        <v>306.60629979999999</v>
      </c>
      <c r="D584">
        <v>7.6782012432625724E-3</v>
      </c>
      <c r="E584">
        <f t="shared" si="9"/>
        <v>1</v>
      </c>
    </row>
    <row r="585" spans="1:5" x14ac:dyDescent="0.25">
      <c r="A585" s="13">
        <v>41114</v>
      </c>
      <c r="B585" t="s">
        <v>31</v>
      </c>
      <c r="C585">
        <v>302.65112329999999</v>
      </c>
      <c r="D585">
        <v>-1.2899853990540833E-2</v>
      </c>
      <c r="E585">
        <f t="shared" si="9"/>
        <v>0</v>
      </c>
    </row>
    <row r="586" spans="1:5" x14ac:dyDescent="0.25">
      <c r="A586" s="13">
        <v>41115</v>
      </c>
      <c r="B586" t="s">
        <v>31</v>
      </c>
      <c r="C586">
        <v>302.86032169999999</v>
      </c>
      <c r="D586">
        <v>6.9121963837104339E-4</v>
      </c>
      <c r="E586">
        <f t="shared" si="9"/>
        <v>1</v>
      </c>
    </row>
    <row r="587" spans="1:5" x14ac:dyDescent="0.25">
      <c r="A587" s="13">
        <v>41116</v>
      </c>
      <c r="B587" t="s">
        <v>31</v>
      </c>
      <c r="C587">
        <v>305.53531409999999</v>
      </c>
      <c r="D587">
        <v>8.8324293687098709E-3</v>
      </c>
      <c r="E587">
        <f t="shared" si="9"/>
        <v>1</v>
      </c>
    </row>
    <row r="588" spans="1:5" x14ac:dyDescent="0.25">
      <c r="A588" s="13">
        <v>41117</v>
      </c>
      <c r="B588" t="s">
        <v>31</v>
      </c>
      <c r="C588">
        <v>316.29500669999999</v>
      </c>
      <c r="D588">
        <v>3.5215872285317529E-2</v>
      </c>
      <c r="E588">
        <f t="shared" si="9"/>
        <v>1</v>
      </c>
    </row>
    <row r="589" spans="1:5" x14ac:dyDescent="0.25">
      <c r="A589" s="13">
        <v>41120</v>
      </c>
      <c r="B589" t="s">
        <v>31</v>
      </c>
      <c r="C589">
        <v>314.96996130000002</v>
      </c>
      <c r="D589">
        <v>-4.189270686959512E-3</v>
      </c>
      <c r="E589">
        <f t="shared" si="9"/>
        <v>0</v>
      </c>
    </row>
    <row r="590" spans="1:5" x14ac:dyDescent="0.25">
      <c r="A590" s="13">
        <v>41121</v>
      </c>
      <c r="B590" t="s">
        <v>31</v>
      </c>
      <c r="C590">
        <v>315.3037023</v>
      </c>
      <c r="D590">
        <v>1.0595962822057547E-3</v>
      </c>
      <c r="E590">
        <f t="shared" si="9"/>
        <v>1</v>
      </c>
    </row>
    <row r="591" spans="1:5" x14ac:dyDescent="0.25">
      <c r="A591" s="13">
        <v>41122</v>
      </c>
      <c r="B591" t="s">
        <v>31</v>
      </c>
      <c r="C591">
        <v>315.1592622</v>
      </c>
      <c r="D591">
        <v>-4.5809833169219161E-4</v>
      </c>
      <c r="E591">
        <f t="shared" si="9"/>
        <v>0</v>
      </c>
    </row>
    <row r="592" spans="1:5" x14ac:dyDescent="0.25">
      <c r="A592" s="13">
        <v>41123</v>
      </c>
      <c r="B592" t="s">
        <v>31</v>
      </c>
      <c r="C592">
        <v>313.20158709999998</v>
      </c>
      <c r="D592">
        <v>-6.2117009867781459E-3</v>
      </c>
      <c r="E592">
        <f t="shared" si="9"/>
        <v>0</v>
      </c>
    </row>
    <row r="593" spans="1:5" x14ac:dyDescent="0.25">
      <c r="A593" s="13">
        <v>41124</v>
      </c>
      <c r="B593" t="s">
        <v>31</v>
      </c>
      <c r="C593">
        <v>319.4681076</v>
      </c>
      <c r="D593">
        <v>2.0007946185787384E-2</v>
      </c>
      <c r="E593">
        <f t="shared" si="9"/>
        <v>1</v>
      </c>
    </row>
    <row r="594" spans="1:5" x14ac:dyDescent="0.25">
      <c r="A594" s="13">
        <v>41127</v>
      </c>
      <c r="B594" t="s">
        <v>31</v>
      </c>
      <c r="C594">
        <v>320.21032709999997</v>
      </c>
      <c r="D594">
        <v>2.3232976386153847E-3</v>
      </c>
      <c r="E594">
        <f t="shared" si="9"/>
        <v>1</v>
      </c>
    </row>
    <row r="595" spans="1:5" x14ac:dyDescent="0.25">
      <c r="A595" s="13">
        <v>41128</v>
      </c>
      <c r="B595" t="s">
        <v>31</v>
      </c>
      <c r="C595">
        <v>319.07458259999999</v>
      </c>
      <c r="D595">
        <v>-3.5468703032969229E-3</v>
      </c>
      <c r="E595">
        <f t="shared" si="9"/>
        <v>0</v>
      </c>
    </row>
    <row r="596" spans="1:5" x14ac:dyDescent="0.25">
      <c r="A596" s="13">
        <v>41129</v>
      </c>
      <c r="B596" t="s">
        <v>31</v>
      </c>
      <c r="C596">
        <v>319.91641170000003</v>
      </c>
      <c r="D596">
        <v>2.6383458473575594E-3</v>
      </c>
      <c r="E596">
        <f t="shared" si="9"/>
        <v>1</v>
      </c>
    </row>
    <row r="597" spans="1:5" x14ac:dyDescent="0.25">
      <c r="A597" s="13">
        <v>41130</v>
      </c>
      <c r="B597" t="s">
        <v>31</v>
      </c>
      <c r="C597">
        <v>319.97619570000001</v>
      </c>
      <c r="D597">
        <v>1.8687381395121605E-4</v>
      </c>
      <c r="E597">
        <f t="shared" si="9"/>
        <v>1</v>
      </c>
    </row>
    <row r="598" spans="1:5" x14ac:dyDescent="0.25">
      <c r="A598" s="13">
        <v>41131</v>
      </c>
      <c r="B598" t="s">
        <v>31</v>
      </c>
      <c r="C598">
        <v>319.80184819999999</v>
      </c>
      <c r="D598">
        <v>-5.4487647000922568E-4</v>
      </c>
      <c r="E598">
        <f t="shared" si="9"/>
        <v>0</v>
      </c>
    </row>
    <row r="599" spans="1:5" x14ac:dyDescent="0.25">
      <c r="A599" s="13">
        <v>41134</v>
      </c>
      <c r="B599" t="s">
        <v>31</v>
      </c>
      <c r="C599">
        <v>328.77323819999998</v>
      </c>
      <c r="D599">
        <v>2.8052964829613503E-2</v>
      </c>
      <c r="E599">
        <f t="shared" si="9"/>
        <v>1</v>
      </c>
    </row>
    <row r="600" spans="1:5" x14ac:dyDescent="0.25">
      <c r="A600" s="13">
        <v>41135</v>
      </c>
      <c r="B600" t="s">
        <v>31</v>
      </c>
      <c r="C600">
        <v>333.08211399999999</v>
      </c>
      <c r="D600">
        <v>1.310592012777767E-2</v>
      </c>
      <c r="E600">
        <f t="shared" si="9"/>
        <v>1</v>
      </c>
    </row>
    <row r="601" spans="1:5" x14ac:dyDescent="0.25">
      <c r="A601" s="13">
        <v>41136</v>
      </c>
      <c r="B601" t="s">
        <v>31</v>
      </c>
      <c r="C601">
        <v>332.52419070000002</v>
      </c>
      <c r="D601">
        <v>-1.6750323014942392E-3</v>
      </c>
      <c r="E601">
        <f t="shared" si="9"/>
        <v>0</v>
      </c>
    </row>
    <row r="602" spans="1:5" x14ac:dyDescent="0.25">
      <c r="A602" s="13">
        <v>41137</v>
      </c>
      <c r="B602" t="s">
        <v>31</v>
      </c>
      <c r="C602">
        <v>335.17925539999999</v>
      </c>
      <c r="D602">
        <v>7.9845760827528256E-3</v>
      </c>
      <c r="E602">
        <f t="shared" si="9"/>
        <v>1</v>
      </c>
    </row>
    <row r="603" spans="1:5" x14ac:dyDescent="0.25">
      <c r="A603" s="13">
        <v>41138</v>
      </c>
      <c r="B603" t="s">
        <v>31</v>
      </c>
      <c r="C603">
        <v>337.30627279999999</v>
      </c>
      <c r="D603">
        <v>6.3459100339060548E-3</v>
      </c>
      <c r="E603">
        <f t="shared" si="9"/>
        <v>1</v>
      </c>
    </row>
    <row r="604" spans="1:5" x14ac:dyDescent="0.25">
      <c r="A604" s="13">
        <v>41141</v>
      </c>
      <c r="B604" t="s">
        <v>31</v>
      </c>
      <c r="C604">
        <v>336.50927460000003</v>
      </c>
      <c r="D604">
        <v>-2.3628324293646363E-3</v>
      </c>
      <c r="E604">
        <f t="shared" si="9"/>
        <v>0</v>
      </c>
    </row>
    <row r="605" spans="1:5" x14ac:dyDescent="0.25">
      <c r="A605" s="13">
        <v>41142</v>
      </c>
      <c r="B605" t="s">
        <v>31</v>
      </c>
      <c r="C605">
        <v>333.505516</v>
      </c>
      <c r="D605">
        <v>-8.926228269846348E-3</v>
      </c>
      <c r="E605">
        <f t="shared" si="9"/>
        <v>0</v>
      </c>
    </row>
    <row r="606" spans="1:5" x14ac:dyDescent="0.25">
      <c r="A606" s="13">
        <v>41143</v>
      </c>
      <c r="B606" t="s">
        <v>31</v>
      </c>
      <c r="C606">
        <v>337.32620109999999</v>
      </c>
      <c r="D606">
        <v>1.1456137655006637E-2</v>
      </c>
      <c r="E606">
        <f t="shared" si="9"/>
        <v>1</v>
      </c>
    </row>
    <row r="607" spans="1:5" x14ac:dyDescent="0.25">
      <c r="A607" s="13">
        <v>41144</v>
      </c>
      <c r="B607" t="s">
        <v>31</v>
      </c>
      <c r="C607">
        <v>337.13690009999999</v>
      </c>
      <c r="D607">
        <v>-5.6118083736955704E-4</v>
      </c>
      <c r="E607">
        <f t="shared" si="9"/>
        <v>0</v>
      </c>
    </row>
    <row r="608" spans="1:5" x14ac:dyDescent="0.25">
      <c r="A608" s="13">
        <v>41145</v>
      </c>
      <c r="B608" t="s">
        <v>31</v>
      </c>
      <c r="C608">
        <v>338.04849230000002</v>
      </c>
      <c r="D608">
        <v>2.7039229456331526E-3</v>
      </c>
      <c r="E608">
        <f t="shared" si="9"/>
        <v>1</v>
      </c>
    </row>
    <row r="609" spans="1:5" x14ac:dyDescent="0.25">
      <c r="A609" s="13">
        <v>41148</v>
      </c>
      <c r="B609" t="s">
        <v>31</v>
      </c>
      <c r="C609">
        <v>333.36104549999999</v>
      </c>
      <c r="D609">
        <v>-1.3866196438587219E-2</v>
      </c>
      <c r="E609">
        <f t="shared" si="9"/>
        <v>0</v>
      </c>
    </row>
    <row r="610" spans="1:5" x14ac:dyDescent="0.25">
      <c r="A610" s="13">
        <v>41149</v>
      </c>
      <c r="B610" t="s">
        <v>31</v>
      </c>
      <c r="C610">
        <v>337.36108280000002</v>
      </c>
      <c r="D610">
        <v>1.1999114335631056E-2</v>
      </c>
      <c r="E610">
        <f t="shared" si="9"/>
        <v>1</v>
      </c>
    </row>
    <row r="611" spans="1:5" x14ac:dyDescent="0.25">
      <c r="A611" s="13">
        <v>41150</v>
      </c>
      <c r="B611" t="s">
        <v>31</v>
      </c>
      <c r="C611">
        <v>342.72098560000001</v>
      </c>
      <c r="D611">
        <v>1.5887732975938818E-2</v>
      </c>
      <c r="E611">
        <f t="shared" si="9"/>
        <v>1</v>
      </c>
    </row>
    <row r="612" spans="1:5" x14ac:dyDescent="0.25">
      <c r="A612" s="13">
        <v>41151</v>
      </c>
      <c r="B612" t="s">
        <v>31</v>
      </c>
      <c r="C612">
        <v>339.5678125</v>
      </c>
      <c r="D612">
        <v>-9.200408590328224E-3</v>
      </c>
      <c r="E612">
        <f t="shared" si="9"/>
        <v>0</v>
      </c>
    </row>
    <row r="613" spans="1:5" x14ac:dyDescent="0.25">
      <c r="A613" s="13">
        <v>41152</v>
      </c>
      <c r="B613" t="s">
        <v>31</v>
      </c>
      <c r="C613">
        <v>341.26642370000002</v>
      </c>
      <c r="D613">
        <v>5.0022738830701741E-3</v>
      </c>
      <c r="E613">
        <f t="shared" si="9"/>
        <v>1</v>
      </c>
    </row>
    <row r="614" spans="1:5" x14ac:dyDescent="0.25">
      <c r="A614" s="13">
        <v>41156</v>
      </c>
      <c r="B614" t="s">
        <v>31</v>
      </c>
      <c r="C614">
        <v>339.24899499999998</v>
      </c>
      <c r="D614">
        <v>-5.9115944607943671E-3</v>
      </c>
      <c r="E614">
        <f t="shared" si="9"/>
        <v>0</v>
      </c>
    </row>
    <row r="615" spans="1:5" x14ac:dyDescent="0.25">
      <c r="A615" s="13">
        <v>41157</v>
      </c>
      <c r="B615" t="s">
        <v>31</v>
      </c>
      <c r="C615">
        <v>339.08960139999999</v>
      </c>
      <c r="D615">
        <v>-4.6984251198733951E-4</v>
      </c>
      <c r="E615">
        <f t="shared" si="9"/>
        <v>0</v>
      </c>
    </row>
    <row r="616" spans="1:5" x14ac:dyDescent="0.25">
      <c r="A616" s="13">
        <v>41158</v>
      </c>
      <c r="B616" t="s">
        <v>31</v>
      </c>
      <c r="C616">
        <v>348.39473199999998</v>
      </c>
      <c r="D616">
        <v>2.7441509741324532E-2</v>
      </c>
      <c r="E616">
        <f t="shared" si="9"/>
        <v>1</v>
      </c>
    </row>
    <row r="617" spans="1:5" x14ac:dyDescent="0.25">
      <c r="A617" s="13">
        <v>41159</v>
      </c>
      <c r="B617" t="s">
        <v>31</v>
      </c>
      <c r="C617">
        <v>351.75713389999999</v>
      </c>
      <c r="D617">
        <v>9.651127273646587E-3</v>
      </c>
      <c r="E617">
        <f t="shared" si="9"/>
        <v>1</v>
      </c>
    </row>
    <row r="618" spans="1:5" x14ac:dyDescent="0.25">
      <c r="A618" s="13">
        <v>41162</v>
      </c>
      <c r="B618" t="s">
        <v>31</v>
      </c>
      <c r="C618">
        <v>349.0771671</v>
      </c>
      <c r="D618">
        <v>-7.6187987157123604E-3</v>
      </c>
      <c r="E618">
        <f t="shared" si="9"/>
        <v>0</v>
      </c>
    </row>
    <row r="619" spans="1:5" x14ac:dyDescent="0.25">
      <c r="A619" s="13">
        <v>41163</v>
      </c>
      <c r="B619" t="s">
        <v>31</v>
      </c>
      <c r="C619">
        <v>344.80317309999998</v>
      </c>
      <c r="D619">
        <v>-1.2243693953135737E-2</v>
      </c>
      <c r="E619">
        <f t="shared" si="9"/>
        <v>0</v>
      </c>
    </row>
    <row r="620" spans="1:5" x14ac:dyDescent="0.25">
      <c r="A620" s="13">
        <v>41164</v>
      </c>
      <c r="B620" t="s">
        <v>31</v>
      </c>
      <c r="C620">
        <v>344.15064489999997</v>
      </c>
      <c r="D620">
        <v>-1.8924657628099917E-3</v>
      </c>
      <c r="E620">
        <f t="shared" si="9"/>
        <v>0</v>
      </c>
    </row>
    <row r="621" spans="1:5" x14ac:dyDescent="0.25">
      <c r="A621" s="13">
        <v>41165</v>
      </c>
      <c r="B621" t="s">
        <v>31</v>
      </c>
      <c r="C621">
        <v>351.70232429999999</v>
      </c>
      <c r="D621">
        <v>2.1942947113158251E-2</v>
      </c>
      <c r="E621">
        <f t="shared" si="9"/>
        <v>1</v>
      </c>
    </row>
    <row r="622" spans="1:5" x14ac:dyDescent="0.25">
      <c r="A622" s="13">
        <v>41166</v>
      </c>
      <c r="B622" t="s">
        <v>31</v>
      </c>
      <c r="C622">
        <v>353.51555990000003</v>
      </c>
      <c r="D622">
        <v>5.1555974320298681E-3</v>
      </c>
      <c r="E622">
        <f t="shared" si="9"/>
        <v>1</v>
      </c>
    </row>
    <row r="623" spans="1:5" x14ac:dyDescent="0.25">
      <c r="A623" s="13">
        <v>41169</v>
      </c>
      <c r="B623" t="s">
        <v>31</v>
      </c>
      <c r="C623">
        <v>353.66497390000001</v>
      </c>
      <c r="D623">
        <v>4.2265183473744194E-4</v>
      </c>
      <c r="E623">
        <f t="shared" si="9"/>
        <v>1</v>
      </c>
    </row>
    <row r="624" spans="1:5" x14ac:dyDescent="0.25">
      <c r="A624" s="13">
        <v>41170</v>
      </c>
      <c r="B624" t="s">
        <v>31</v>
      </c>
      <c r="C624">
        <v>357.79950259999998</v>
      </c>
      <c r="D624">
        <v>1.1690523532502883E-2</v>
      </c>
      <c r="E624">
        <f t="shared" si="9"/>
        <v>1</v>
      </c>
    </row>
    <row r="625" spans="1:5" x14ac:dyDescent="0.25">
      <c r="A625" s="13">
        <v>41171</v>
      </c>
      <c r="B625" t="s">
        <v>31</v>
      </c>
      <c r="C625">
        <v>362.39228379999997</v>
      </c>
      <c r="D625">
        <v>1.2836186653770953E-2</v>
      </c>
      <c r="E625">
        <f t="shared" si="9"/>
        <v>1</v>
      </c>
    </row>
    <row r="626" spans="1:5" x14ac:dyDescent="0.25">
      <c r="A626" s="13">
        <v>41172</v>
      </c>
      <c r="B626" t="s">
        <v>31</v>
      </c>
      <c r="C626">
        <v>362.70112260000002</v>
      </c>
      <c r="D626">
        <v>8.5222233972981343E-4</v>
      </c>
      <c r="E626">
        <f t="shared" si="9"/>
        <v>1</v>
      </c>
    </row>
    <row r="627" spans="1:5" x14ac:dyDescent="0.25">
      <c r="A627" s="13">
        <v>41173</v>
      </c>
      <c r="B627" t="s">
        <v>31</v>
      </c>
      <c r="C627">
        <v>365.62516909999999</v>
      </c>
      <c r="D627">
        <v>8.0618622821984065E-3</v>
      </c>
      <c r="E627">
        <f t="shared" si="9"/>
        <v>1</v>
      </c>
    </row>
    <row r="628" spans="1:5" x14ac:dyDescent="0.25">
      <c r="A628" s="13">
        <v>41176</v>
      </c>
      <c r="B628" t="s">
        <v>31</v>
      </c>
      <c r="C628">
        <v>373.29144200000002</v>
      </c>
      <c r="D628">
        <v>2.0967574302586556E-2</v>
      </c>
      <c r="E628">
        <f t="shared" si="9"/>
        <v>1</v>
      </c>
    </row>
    <row r="629" spans="1:5" x14ac:dyDescent="0.25">
      <c r="A629" s="13">
        <v>41177</v>
      </c>
      <c r="B629" t="s">
        <v>31</v>
      </c>
      <c r="C629">
        <v>373.1818533</v>
      </c>
      <c r="D629">
        <v>-2.9357410234975845E-4</v>
      </c>
      <c r="E629">
        <f t="shared" si="9"/>
        <v>0</v>
      </c>
    </row>
    <row r="630" spans="1:5" x14ac:dyDescent="0.25">
      <c r="A630" s="13">
        <v>41178</v>
      </c>
      <c r="B630" t="s">
        <v>31</v>
      </c>
      <c r="C630">
        <v>375.32385499999998</v>
      </c>
      <c r="D630">
        <v>5.739833491523072E-3</v>
      </c>
      <c r="E630">
        <f t="shared" si="9"/>
        <v>1</v>
      </c>
    </row>
    <row r="631" spans="1:5" x14ac:dyDescent="0.25">
      <c r="A631" s="13">
        <v>41179</v>
      </c>
      <c r="B631" t="s">
        <v>31</v>
      </c>
      <c r="C631">
        <v>376.83817049999999</v>
      </c>
      <c r="D631">
        <v>4.0346902543670904E-3</v>
      </c>
      <c r="E631">
        <f t="shared" si="9"/>
        <v>1</v>
      </c>
    </row>
    <row r="632" spans="1:5" x14ac:dyDescent="0.25">
      <c r="A632" s="13">
        <v>41180</v>
      </c>
      <c r="B632" t="s">
        <v>31</v>
      </c>
      <c r="C632">
        <v>375.84189179999998</v>
      </c>
      <c r="D632">
        <v>-2.6437839316492129E-3</v>
      </c>
      <c r="E632">
        <f t="shared" si="9"/>
        <v>0</v>
      </c>
    </row>
    <row r="633" spans="1:5" x14ac:dyDescent="0.25">
      <c r="A633" s="13">
        <v>41183</v>
      </c>
      <c r="B633" t="s">
        <v>31</v>
      </c>
      <c r="C633">
        <v>379.46830210000002</v>
      </c>
      <c r="D633">
        <v>9.648765555729355E-3</v>
      </c>
      <c r="E633">
        <f t="shared" si="9"/>
        <v>1</v>
      </c>
    </row>
    <row r="634" spans="1:5" x14ac:dyDescent="0.25">
      <c r="A634" s="13">
        <v>41184</v>
      </c>
      <c r="B634" t="s">
        <v>31</v>
      </c>
      <c r="C634">
        <v>377.08225069999997</v>
      </c>
      <c r="D634">
        <v>-6.2878806656457842E-3</v>
      </c>
      <c r="E634">
        <f t="shared" si="9"/>
        <v>0</v>
      </c>
    </row>
    <row r="635" spans="1:5" x14ac:dyDescent="0.25">
      <c r="A635" s="13">
        <v>41185</v>
      </c>
      <c r="B635" t="s">
        <v>31</v>
      </c>
      <c r="C635">
        <v>379.82697569999999</v>
      </c>
      <c r="D635">
        <v>7.2788496273819003E-3</v>
      </c>
      <c r="E635">
        <f t="shared" si="9"/>
        <v>1</v>
      </c>
    </row>
    <row r="636" spans="1:5" x14ac:dyDescent="0.25">
      <c r="A636" s="13">
        <v>41186</v>
      </c>
      <c r="B636" t="s">
        <v>31</v>
      </c>
      <c r="C636">
        <v>382.59159829999999</v>
      </c>
      <c r="D636">
        <v>7.2786367921997552E-3</v>
      </c>
      <c r="E636">
        <f t="shared" si="9"/>
        <v>1</v>
      </c>
    </row>
    <row r="637" spans="1:5" x14ac:dyDescent="0.25">
      <c r="A637" s="13">
        <v>41187</v>
      </c>
      <c r="B637" t="s">
        <v>31</v>
      </c>
      <c r="C637">
        <v>382.39234859999999</v>
      </c>
      <c r="D637">
        <v>-5.2078953350087609E-4</v>
      </c>
      <c r="E637">
        <f t="shared" si="9"/>
        <v>0</v>
      </c>
    </row>
    <row r="638" spans="1:5" x14ac:dyDescent="0.25">
      <c r="A638" s="13">
        <v>41190</v>
      </c>
      <c r="B638" t="s">
        <v>31</v>
      </c>
      <c r="C638">
        <v>377.50565210000002</v>
      </c>
      <c r="D638">
        <v>-1.2779273743031117E-2</v>
      </c>
      <c r="E638">
        <f t="shared" si="9"/>
        <v>0</v>
      </c>
    </row>
    <row r="639" spans="1:5" x14ac:dyDescent="0.25">
      <c r="A639" s="13">
        <v>41191</v>
      </c>
      <c r="B639" t="s">
        <v>31</v>
      </c>
      <c r="C639">
        <v>370.65633609999998</v>
      </c>
      <c r="D639">
        <v>-1.8143611789382397E-2</v>
      </c>
      <c r="E639">
        <f t="shared" si="9"/>
        <v>0</v>
      </c>
    </row>
    <row r="640" spans="1:5" x14ac:dyDescent="0.25">
      <c r="A640" s="13">
        <v>41192</v>
      </c>
      <c r="B640" t="s">
        <v>31</v>
      </c>
      <c r="C640">
        <v>370.89043709999999</v>
      </c>
      <c r="D640">
        <v>6.3158504846616559E-4</v>
      </c>
      <c r="E640">
        <f t="shared" si="9"/>
        <v>1</v>
      </c>
    </row>
    <row r="641" spans="1:5" x14ac:dyDescent="0.25">
      <c r="A641" s="13">
        <v>41193</v>
      </c>
      <c r="B641" t="s">
        <v>31</v>
      </c>
      <c r="C641">
        <v>374.33752559999999</v>
      </c>
      <c r="D641">
        <v>9.2940883754051296E-3</v>
      </c>
      <c r="E641">
        <f t="shared" si="9"/>
        <v>1</v>
      </c>
    </row>
    <row r="642" spans="1:5" x14ac:dyDescent="0.25">
      <c r="A642" s="13">
        <v>41194</v>
      </c>
      <c r="B642" t="s">
        <v>31</v>
      </c>
      <c r="C642">
        <v>370.98510279999999</v>
      </c>
      <c r="D642">
        <v>-8.9556151086552793E-3</v>
      </c>
      <c r="E642">
        <f t="shared" si="9"/>
        <v>0</v>
      </c>
    </row>
    <row r="643" spans="1:5" x14ac:dyDescent="0.25">
      <c r="A643" s="13">
        <v>41197</v>
      </c>
      <c r="B643" t="s">
        <v>31</v>
      </c>
      <c r="C643">
        <v>369.10713929999997</v>
      </c>
      <c r="D643">
        <v>-5.0620994908586736E-3</v>
      </c>
      <c r="E643">
        <f t="shared" ref="E643:E706" si="10">IF(D643&gt;0,1,0)</f>
        <v>0</v>
      </c>
    </row>
    <row r="644" spans="1:5" x14ac:dyDescent="0.25">
      <c r="A644" s="13">
        <v>41198</v>
      </c>
      <c r="B644" t="s">
        <v>31</v>
      </c>
      <c r="C644">
        <v>370.96020010000001</v>
      </c>
      <c r="D644">
        <v>5.020387314952357E-3</v>
      </c>
      <c r="E644">
        <f t="shared" si="10"/>
        <v>1</v>
      </c>
    </row>
    <row r="645" spans="1:5" x14ac:dyDescent="0.25">
      <c r="A645" s="13">
        <v>41199</v>
      </c>
      <c r="B645" t="s">
        <v>31</v>
      </c>
      <c r="C645">
        <v>376.33505680000002</v>
      </c>
      <c r="D645">
        <v>1.4489038712377056E-2</v>
      </c>
      <c r="E645">
        <f t="shared" si="10"/>
        <v>1</v>
      </c>
    </row>
    <row r="646" spans="1:5" x14ac:dyDescent="0.25">
      <c r="A646" s="13">
        <v>41200</v>
      </c>
      <c r="B646" t="s">
        <v>31</v>
      </c>
      <c r="C646">
        <v>346.20295579999998</v>
      </c>
      <c r="D646">
        <v>-8.0067217910058996E-2</v>
      </c>
      <c r="E646">
        <f t="shared" si="10"/>
        <v>0</v>
      </c>
    </row>
    <row r="647" spans="1:5" x14ac:dyDescent="0.25">
      <c r="A647" s="13">
        <v>41201</v>
      </c>
      <c r="B647" t="s">
        <v>31</v>
      </c>
      <c r="C647">
        <v>339.62259160000002</v>
      </c>
      <c r="D647">
        <v>-1.9007244420528369E-2</v>
      </c>
      <c r="E647">
        <f t="shared" si="10"/>
        <v>0</v>
      </c>
    </row>
    <row r="648" spans="1:5" x14ac:dyDescent="0.25">
      <c r="A648" s="13">
        <v>41204</v>
      </c>
      <c r="B648" t="s">
        <v>31</v>
      </c>
      <c r="C648">
        <v>338.06842010000003</v>
      </c>
      <c r="D648">
        <v>-4.5761723113828534E-3</v>
      </c>
      <c r="E648">
        <f t="shared" si="10"/>
        <v>0</v>
      </c>
    </row>
    <row r="649" spans="1:5" x14ac:dyDescent="0.25">
      <c r="A649" s="13">
        <v>41205</v>
      </c>
      <c r="B649" t="s">
        <v>31</v>
      </c>
      <c r="C649">
        <v>338.90527479999997</v>
      </c>
      <c r="D649">
        <v>2.4754003930695934E-3</v>
      </c>
      <c r="E649">
        <f t="shared" si="10"/>
        <v>1</v>
      </c>
    </row>
    <row r="650" spans="1:5" x14ac:dyDescent="0.25">
      <c r="A650" s="13">
        <v>41206</v>
      </c>
      <c r="B650" t="s">
        <v>31</v>
      </c>
      <c r="C650">
        <v>337.38598500000001</v>
      </c>
      <c r="D650">
        <v>-4.4829334712968016E-3</v>
      </c>
      <c r="E650">
        <f t="shared" si="10"/>
        <v>0</v>
      </c>
    </row>
    <row r="651" spans="1:5" x14ac:dyDescent="0.25">
      <c r="A651" s="13">
        <v>41207</v>
      </c>
      <c r="B651" t="s">
        <v>31</v>
      </c>
      <c r="C651">
        <v>337.6151112</v>
      </c>
      <c r="D651">
        <v>6.7912186690266552E-4</v>
      </c>
      <c r="E651">
        <f t="shared" si="10"/>
        <v>1</v>
      </c>
    </row>
    <row r="652" spans="1:5" x14ac:dyDescent="0.25">
      <c r="A652" s="13">
        <v>41208</v>
      </c>
      <c r="B652" t="s">
        <v>31</v>
      </c>
      <c r="C652">
        <v>336.31499930000001</v>
      </c>
      <c r="D652">
        <v>-3.850869990324024E-3</v>
      </c>
      <c r="E652">
        <f t="shared" si="10"/>
        <v>0</v>
      </c>
    </row>
    <row r="653" spans="1:5" x14ac:dyDescent="0.25">
      <c r="A653" s="13">
        <v>41213</v>
      </c>
      <c r="B653" t="s">
        <v>31</v>
      </c>
      <c r="C653">
        <v>338.88037220000001</v>
      </c>
      <c r="D653">
        <v>7.6278872644381934E-3</v>
      </c>
      <c r="E653">
        <f t="shared" si="10"/>
        <v>1</v>
      </c>
    </row>
    <row r="654" spans="1:5" x14ac:dyDescent="0.25">
      <c r="A654" s="13">
        <v>41214</v>
      </c>
      <c r="B654" t="s">
        <v>31</v>
      </c>
      <c r="C654">
        <v>342.5117568</v>
      </c>
      <c r="D654">
        <v>1.0715830416571981E-2</v>
      </c>
      <c r="E654">
        <f t="shared" si="10"/>
        <v>1</v>
      </c>
    </row>
    <row r="655" spans="1:5" x14ac:dyDescent="0.25">
      <c r="A655" s="13">
        <v>41215</v>
      </c>
      <c r="B655" t="s">
        <v>31</v>
      </c>
      <c r="C655">
        <v>342.67615510000002</v>
      </c>
      <c r="D655">
        <v>4.7997856054915466E-4</v>
      </c>
      <c r="E655">
        <f t="shared" si="10"/>
        <v>1</v>
      </c>
    </row>
    <row r="656" spans="1:5" x14ac:dyDescent="0.25">
      <c r="A656" s="13">
        <v>41218</v>
      </c>
      <c r="B656" t="s">
        <v>31</v>
      </c>
      <c r="C656">
        <v>340.20541759999998</v>
      </c>
      <c r="D656">
        <v>-7.2101237953923203E-3</v>
      </c>
      <c r="E656">
        <f t="shared" si="10"/>
        <v>0</v>
      </c>
    </row>
    <row r="657" spans="1:5" x14ac:dyDescent="0.25">
      <c r="A657" s="13">
        <v>41219</v>
      </c>
      <c r="B657" t="s">
        <v>31</v>
      </c>
      <c r="C657">
        <v>339.58774030000001</v>
      </c>
      <c r="D657">
        <v>-1.8156010105818687E-3</v>
      </c>
      <c r="E657">
        <f t="shared" si="10"/>
        <v>0</v>
      </c>
    </row>
    <row r="658" spans="1:5" x14ac:dyDescent="0.25">
      <c r="A658" s="13">
        <v>41220</v>
      </c>
      <c r="B658" t="s">
        <v>31</v>
      </c>
      <c r="C658">
        <v>332.31496190000001</v>
      </c>
      <c r="D658">
        <v>-2.1416492814419708E-2</v>
      </c>
      <c r="E658">
        <f t="shared" si="10"/>
        <v>0</v>
      </c>
    </row>
    <row r="659" spans="1:5" x14ac:dyDescent="0.25">
      <c r="A659" s="13">
        <v>41221</v>
      </c>
      <c r="B659" t="s">
        <v>31</v>
      </c>
      <c r="C659">
        <v>324.9276509</v>
      </c>
      <c r="D659">
        <v>-2.2229847725673602E-2</v>
      </c>
      <c r="E659">
        <f t="shared" si="10"/>
        <v>0</v>
      </c>
    </row>
    <row r="660" spans="1:5" x14ac:dyDescent="0.25">
      <c r="A660" s="13">
        <v>41222</v>
      </c>
      <c r="B660" t="s">
        <v>31</v>
      </c>
      <c r="C660">
        <v>330.27760499999999</v>
      </c>
      <c r="D660">
        <v>1.646506256140845E-2</v>
      </c>
      <c r="E660">
        <f t="shared" si="10"/>
        <v>1</v>
      </c>
    </row>
    <row r="661" spans="1:5" x14ac:dyDescent="0.25">
      <c r="A661" s="13">
        <v>41225</v>
      </c>
      <c r="B661" t="s">
        <v>31</v>
      </c>
      <c r="C661">
        <v>331.7072642</v>
      </c>
      <c r="D661">
        <v>4.3286592198705787E-3</v>
      </c>
      <c r="E661">
        <f t="shared" si="10"/>
        <v>1</v>
      </c>
    </row>
    <row r="662" spans="1:5" x14ac:dyDescent="0.25">
      <c r="A662" s="13">
        <v>41226</v>
      </c>
      <c r="B662" t="s">
        <v>31</v>
      </c>
      <c r="C662">
        <v>328.29502710000003</v>
      </c>
      <c r="D662">
        <v>-1.0286892897053312E-2</v>
      </c>
      <c r="E662">
        <f t="shared" si="10"/>
        <v>0</v>
      </c>
    </row>
    <row r="663" spans="1:5" x14ac:dyDescent="0.25">
      <c r="A663" s="13">
        <v>41227</v>
      </c>
      <c r="B663" t="s">
        <v>31</v>
      </c>
      <c r="C663">
        <v>325.05716740000003</v>
      </c>
      <c r="D663">
        <v>-9.8626522874918354E-3</v>
      </c>
      <c r="E663">
        <f t="shared" si="10"/>
        <v>0</v>
      </c>
    </row>
    <row r="664" spans="1:5" x14ac:dyDescent="0.25">
      <c r="A664" s="13">
        <v>41228</v>
      </c>
      <c r="B664" t="s">
        <v>31</v>
      </c>
      <c r="C664">
        <v>322.42203110000003</v>
      </c>
      <c r="D664">
        <v>-8.1066857287823701E-3</v>
      </c>
      <c r="E664">
        <f t="shared" si="10"/>
        <v>0</v>
      </c>
    </row>
    <row r="665" spans="1:5" x14ac:dyDescent="0.25">
      <c r="A665" s="13">
        <v>41229</v>
      </c>
      <c r="B665" t="s">
        <v>31</v>
      </c>
      <c r="C665">
        <v>322.38217500000002</v>
      </c>
      <c r="D665">
        <v>-1.2361469178778783E-4</v>
      </c>
      <c r="E665">
        <f t="shared" si="10"/>
        <v>0</v>
      </c>
    </row>
    <row r="666" spans="1:5" x14ac:dyDescent="0.25">
      <c r="A666" s="13">
        <v>41232</v>
      </c>
      <c r="B666" t="s">
        <v>31</v>
      </c>
      <c r="C666">
        <v>332.85793180000002</v>
      </c>
      <c r="D666">
        <v>3.2494838773266643E-2</v>
      </c>
      <c r="E666">
        <f t="shared" si="10"/>
        <v>1</v>
      </c>
    </row>
    <row r="667" spans="1:5" x14ac:dyDescent="0.25">
      <c r="A667" s="13">
        <v>41233</v>
      </c>
      <c r="B667" t="s">
        <v>31</v>
      </c>
      <c r="C667">
        <v>333.73464209999997</v>
      </c>
      <c r="D667">
        <v>2.6338873622717696E-3</v>
      </c>
      <c r="E667">
        <f t="shared" si="10"/>
        <v>1</v>
      </c>
    </row>
    <row r="668" spans="1:5" x14ac:dyDescent="0.25">
      <c r="A668" s="13">
        <v>41234</v>
      </c>
      <c r="B668" t="s">
        <v>31</v>
      </c>
      <c r="C668">
        <v>331.69231079999997</v>
      </c>
      <c r="D668">
        <v>-6.1196263209261081E-3</v>
      </c>
      <c r="E668">
        <f t="shared" si="10"/>
        <v>0</v>
      </c>
    </row>
    <row r="669" spans="1:5" x14ac:dyDescent="0.25">
      <c r="A669" s="13">
        <v>41236</v>
      </c>
      <c r="B669" t="s">
        <v>31</v>
      </c>
      <c r="C669">
        <v>332.73839379999998</v>
      </c>
      <c r="D669">
        <v>3.1537752487447168E-3</v>
      </c>
      <c r="E669">
        <f t="shared" si="10"/>
        <v>1</v>
      </c>
    </row>
    <row r="670" spans="1:5" x14ac:dyDescent="0.25">
      <c r="A670" s="13">
        <v>41239</v>
      </c>
      <c r="B670" t="s">
        <v>31</v>
      </c>
      <c r="C670">
        <v>329.3411102</v>
      </c>
      <c r="D670">
        <v>-1.0210073929857288E-2</v>
      </c>
      <c r="E670">
        <f t="shared" si="10"/>
        <v>0</v>
      </c>
    </row>
    <row r="671" spans="1:5" x14ac:dyDescent="0.25">
      <c r="A671" s="13">
        <v>41240</v>
      </c>
      <c r="B671" t="s">
        <v>31</v>
      </c>
      <c r="C671">
        <v>334.1032644</v>
      </c>
      <c r="D671">
        <v>1.445964093917107E-2</v>
      </c>
      <c r="E671">
        <f t="shared" si="10"/>
        <v>1</v>
      </c>
    </row>
    <row r="672" spans="1:5" x14ac:dyDescent="0.25">
      <c r="A672" s="13">
        <v>41241</v>
      </c>
      <c r="B672" t="s">
        <v>31</v>
      </c>
      <c r="C672">
        <v>340.55908590000001</v>
      </c>
      <c r="D672">
        <v>1.9322832752304064E-2</v>
      </c>
      <c r="E672">
        <f t="shared" si="10"/>
        <v>1</v>
      </c>
    </row>
    <row r="673" spans="1:5" x14ac:dyDescent="0.25">
      <c r="A673" s="13">
        <v>41242</v>
      </c>
      <c r="B673" t="s">
        <v>31</v>
      </c>
      <c r="C673">
        <v>344.6537586</v>
      </c>
      <c r="D673">
        <v>1.2023384104344004E-2</v>
      </c>
      <c r="E673">
        <f t="shared" si="10"/>
        <v>1</v>
      </c>
    </row>
    <row r="674" spans="1:5" x14ac:dyDescent="0.25">
      <c r="A674" s="13">
        <v>41243</v>
      </c>
      <c r="B674" t="s">
        <v>31</v>
      </c>
      <c r="C674">
        <v>347.8816392</v>
      </c>
      <c r="D674">
        <v>9.3655749268826138E-3</v>
      </c>
      <c r="E674">
        <f t="shared" si="10"/>
        <v>1</v>
      </c>
    </row>
    <row r="675" spans="1:5" x14ac:dyDescent="0.25">
      <c r="A675" s="13">
        <v>41246</v>
      </c>
      <c r="B675" t="s">
        <v>31</v>
      </c>
      <c r="C675">
        <v>346.32746759999998</v>
      </c>
      <c r="D675">
        <v>-4.4675298287487619E-3</v>
      </c>
      <c r="E675">
        <f t="shared" si="10"/>
        <v>0</v>
      </c>
    </row>
    <row r="676" spans="1:5" x14ac:dyDescent="0.25">
      <c r="A676" s="13">
        <v>41247</v>
      </c>
      <c r="B676" t="s">
        <v>31</v>
      </c>
      <c r="C676">
        <v>344.22535240000002</v>
      </c>
      <c r="D676">
        <v>-6.0697328299349484E-3</v>
      </c>
      <c r="E676">
        <f t="shared" si="10"/>
        <v>0</v>
      </c>
    </row>
    <row r="677" spans="1:5" x14ac:dyDescent="0.25">
      <c r="A677" s="13">
        <v>41248</v>
      </c>
      <c r="B677" t="s">
        <v>31</v>
      </c>
      <c r="C677">
        <v>342.62635030000001</v>
      </c>
      <c r="D677">
        <v>-4.6452188627348345E-3</v>
      </c>
      <c r="E677">
        <f t="shared" si="10"/>
        <v>0</v>
      </c>
    </row>
    <row r="678" spans="1:5" x14ac:dyDescent="0.25">
      <c r="A678" s="13">
        <v>41249</v>
      </c>
      <c r="B678" t="s">
        <v>31</v>
      </c>
      <c r="C678">
        <v>344.27515720000002</v>
      </c>
      <c r="D678">
        <v>4.8122594732025181E-3</v>
      </c>
      <c r="E678">
        <f t="shared" si="10"/>
        <v>1</v>
      </c>
    </row>
    <row r="679" spans="1:5" x14ac:dyDescent="0.25">
      <c r="A679" s="13">
        <v>41250</v>
      </c>
      <c r="B679" t="s">
        <v>31</v>
      </c>
      <c r="C679">
        <v>340.82806870000002</v>
      </c>
      <c r="D679">
        <v>-1.0012597272586521E-2</v>
      </c>
      <c r="E679">
        <f t="shared" si="10"/>
        <v>0</v>
      </c>
    </row>
    <row r="680" spans="1:5" x14ac:dyDescent="0.25">
      <c r="A680" s="13">
        <v>41253</v>
      </c>
      <c r="B680" t="s">
        <v>31</v>
      </c>
      <c r="C680">
        <v>341.43082249999998</v>
      </c>
      <c r="D680">
        <v>1.7684981236991693E-3</v>
      </c>
      <c r="E680">
        <f t="shared" si="10"/>
        <v>1</v>
      </c>
    </row>
    <row r="681" spans="1:5" x14ac:dyDescent="0.25">
      <c r="A681" s="13">
        <v>41254</v>
      </c>
      <c r="B681" t="s">
        <v>31</v>
      </c>
      <c r="C681">
        <v>347.13941970000002</v>
      </c>
      <c r="D681">
        <v>1.6719630519005158E-2</v>
      </c>
      <c r="E681">
        <f t="shared" si="10"/>
        <v>1</v>
      </c>
    </row>
    <row r="682" spans="1:5" x14ac:dyDescent="0.25">
      <c r="A682" s="13">
        <v>41255</v>
      </c>
      <c r="B682" t="s">
        <v>31</v>
      </c>
      <c r="C682">
        <v>347.47816549999999</v>
      </c>
      <c r="D682">
        <v>9.7582060917411617E-4</v>
      </c>
      <c r="E682">
        <f t="shared" si="10"/>
        <v>1</v>
      </c>
    </row>
    <row r="683" spans="1:5" x14ac:dyDescent="0.25">
      <c r="A683" s="13">
        <v>41256</v>
      </c>
      <c r="B683" t="s">
        <v>31</v>
      </c>
      <c r="C683">
        <v>350.03856400000001</v>
      </c>
      <c r="D683">
        <v>7.3685162240790802E-3</v>
      </c>
      <c r="E683">
        <f t="shared" si="10"/>
        <v>1</v>
      </c>
    </row>
    <row r="684" spans="1:5" x14ac:dyDescent="0.25">
      <c r="A684" s="13">
        <v>41257</v>
      </c>
      <c r="B684" t="s">
        <v>31</v>
      </c>
      <c r="C684">
        <v>349.66994169999998</v>
      </c>
      <c r="D684">
        <v>-1.0530905389042333E-3</v>
      </c>
      <c r="E684">
        <f t="shared" si="10"/>
        <v>0</v>
      </c>
    </row>
    <row r="685" spans="1:5" x14ac:dyDescent="0.25">
      <c r="A685" s="13">
        <v>41260</v>
      </c>
      <c r="B685" t="s">
        <v>31</v>
      </c>
      <c r="C685">
        <v>359.04483579999999</v>
      </c>
      <c r="D685">
        <v>2.6810694835311955E-2</v>
      </c>
      <c r="E685">
        <f t="shared" si="10"/>
        <v>1</v>
      </c>
    </row>
    <row r="686" spans="1:5" x14ac:dyDescent="0.25">
      <c r="A686" s="13">
        <v>41261</v>
      </c>
      <c r="B686" t="s">
        <v>31</v>
      </c>
      <c r="C686">
        <v>359.18927539999999</v>
      </c>
      <c r="D686">
        <v>4.0228847653023259E-4</v>
      </c>
      <c r="E686">
        <f t="shared" si="10"/>
        <v>1</v>
      </c>
    </row>
    <row r="687" spans="1:5" x14ac:dyDescent="0.25">
      <c r="A687" s="13">
        <v>41262</v>
      </c>
      <c r="B687" t="s">
        <v>31</v>
      </c>
      <c r="C687">
        <v>358.71109480000001</v>
      </c>
      <c r="D687">
        <v>-1.3312774983814668E-3</v>
      </c>
      <c r="E687">
        <f t="shared" si="10"/>
        <v>0</v>
      </c>
    </row>
    <row r="688" spans="1:5" x14ac:dyDescent="0.25">
      <c r="A688" s="13">
        <v>41263</v>
      </c>
      <c r="B688" t="s">
        <v>31</v>
      </c>
      <c r="C688">
        <v>359.83188530000001</v>
      </c>
      <c r="D688">
        <v>3.1244935443797139E-3</v>
      </c>
      <c r="E688">
        <f t="shared" si="10"/>
        <v>1</v>
      </c>
    </row>
    <row r="689" spans="1:5" x14ac:dyDescent="0.25">
      <c r="A689" s="13">
        <v>41264</v>
      </c>
      <c r="B689" t="s">
        <v>31</v>
      </c>
      <c r="C689">
        <v>356.4794321</v>
      </c>
      <c r="D689">
        <v>-9.3167207714374145E-3</v>
      </c>
      <c r="E689">
        <f t="shared" si="10"/>
        <v>0</v>
      </c>
    </row>
    <row r="690" spans="1:5" x14ac:dyDescent="0.25">
      <c r="A690" s="13">
        <v>41267</v>
      </c>
      <c r="B690" t="s">
        <v>31</v>
      </c>
      <c r="C690">
        <v>353.4258686</v>
      </c>
      <c r="D690">
        <v>-8.5658897120981514E-3</v>
      </c>
      <c r="E690">
        <f t="shared" si="10"/>
        <v>0</v>
      </c>
    </row>
    <row r="691" spans="1:5" x14ac:dyDescent="0.25">
      <c r="A691" s="13">
        <v>41269</v>
      </c>
      <c r="B691" t="s">
        <v>31</v>
      </c>
      <c r="C691">
        <v>353.11205580000001</v>
      </c>
      <c r="D691">
        <v>-8.8791689539613472E-4</v>
      </c>
      <c r="E691">
        <f t="shared" si="10"/>
        <v>0</v>
      </c>
    </row>
    <row r="692" spans="1:5" x14ac:dyDescent="0.25">
      <c r="A692" s="13">
        <v>41270</v>
      </c>
      <c r="B692" t="s">
        <v>31</v>
      </c>
      <c r="C692">
        <v>351.82686649999999</v>
      </c>
      <c r="D692">
        <v>-3.6396075378630766E-3</v>
      </c>
      <c r="E692">
        <f t="shared" si="10"/>
        <v>0</v>
      </c>
    </row>
    <row r="693" spans="1:5" x14ac:dyDescent="0.25">
      <c r="A693" s="13">
        <v>41271</v>
      </c>
      <c r="B693" t="s">
        <v>31</v>
      </c>
      <c r="C693">
        <v>348.69859609999997</v>
      </c>
      <c r="D693">
        <v>-8.8915051630942266E-3</v>
      </c>
      <c r="E693">
        <f t="shared" si="10"/>
        <v>0</v>
      </c>
    </row>
    <row r="694" spans="1:5" x14ac:dyDescent="0.25">
      <c r="A694" s="13">
        <v>41274</v>
      </c>
      <c r="B694" t="s">
        <v>31</v>
      </c>
      <c r="C694">
        <v>352.36983629999997</v>
      </c>
      <c r="D694">
        <v>1.0528405451185607E-2</v>
      </c>
      <c r="E694">
        <f t="shared" si="10"/>
        <v>1</v>
      </c>
    </row>
    <row r="695" spans="1:5" x14ac:dyDescent="0.25">
      <c r="A695" s="13">
        <v>41276</v>
      </c>
      <c r="B695" t="s">
        <v>31</v>
      </c>
      <c r="C695">
        <v>360.275215</v>
      </c>
      <c r="D695">
        <v>2.2434890520168116E-2</v>
      </c>
      <c r="E695">
        <f t="shared" si="10"/>
        <v>1</v>
      </c>
    </row>
    <row r="696" spans="1:5" x14ac:dyDescent="0.25">
      <c r="A696" s="13">
        <v>41277</v>
      </c>
      <c r="B696" t="s">
        <v>31</v>
      </c>
      <c r="C696">
        <v>360.48444380000001</v>
      </c>
      <c r="D696">
        <v>5.8074713799016742E-4</v>
      </c>
      <c r="E696">
        <f t="shared" si="10"/>
        <v>1</v>
      </c>
    </row>
    <row r="697" spans="1:5" x14ac:dyDescent="0.25">
      <c r="A697" s="13">
        <v>41278</v>
      </c>
      <c r="B697" t="s">
        <v>31</v>
      </c>
      <c r="C697">
        <v>367.6077469</v>
      </c>
      <c r="D697">
        <v>1.9760361986527419E-2</v>
      </c>
      <c r="E697">
        <f t="shared" si="10"/>
        <v>1</v>
      </c>
    </row>
    <row r="698" spans="1:5" x14ac:dyDescent="0.25">
      <c r="A698" s="13">
        <v>41281</v>
      </c>
      <c r="B698" t="s">
        <v>31</v>
      </c>
      <c r="C698">
        <v>366.00377099999997</v>
      </c>
      <c r="D698">
        <v>-4.3632810067965044E-3</v>
      </c>
      <c r="E698">
        <f t="shared" si="10"/>
        <v>0</v>
      </c>
    </row>
    <row r="699" spans="1:5" x14ac:dyDescent="0.25">
      <c r="A699" s="13">
        <v>41282</v>
      </c>
      <c r="B699" t="s">
        <v>31</v>
      </c>
      <c r="C699">
        <v>365.28144900000001</v>
      </c>
      <c r="D699">
        <v>-1.9735370431469557E-3</v>
      </c>
      <c r="E699">
        <f t="shared" si="10"/>
        <v>0</v>
      </c>
    </row>
    <row r="700" spans="1:5" x14ac:dyDescent="0.25">
      <c r="A700" s="13">
        <v>41283</v>
      </c>
      <c r="B700" t="s">
        <v>31</v>
      </c>
      <c r="C700">
        <v>367.68245439999998</v>
      </c>
      <c r="D700">
        <v>6.573028568992445E-3</v>
      </c>
      <c r="E700">
        <f t="shared" si="10"/>
        <v>1</v>
      </c>
    </row>
    <row r="701" spans="1:5" x14ac:dyDescent="0.25">
      <c r="A701" s="13">
        <v>41284</v>
      </c>
      <c r="B701" t="s">
        <v>31</v>
      </c>
      <c r="C701">
        <v>369.35619380000003</v>
      </c>
      <c r="D701">
        <v>4.5521329069979632E-3</v>
      </c>
      <c r="E701">
        <f t="shared" si="10"/>
        <v>1</v>
      </c>
    </row>
    <row r="702" spans="1:5" x14ac:dyDescent="0.25">
      <c r="A702" s="13">
        <v>41285</v>
      </c>
      <c r="B702" t="s">
        <v>31</v>
      </c>
      <c r="C702">
        <v>368.6139743</v>
      </c>
      <c r="D702">
        <v>-2.0094952039763081E-3</v>
      </c>
      <c r="E702">
        <f t="shared" si="10"/>
        <v>0</v>
      </c>
    </row>
    <row r="703" spans="1:5" x14ac:dyDescent="0.25">
      <c r="A703" s="13">
        <v>41288</v>
      </c>
      <c r="B703" t="s">
        <v>31</v>
      </c>
      <c r="C703">
        <v>360.275215</v>
      </c>
      <c r="D703">
        <v>-2.2621929393304541E-2</v>
      </c>
      <c r="E703">
        <f t="shared" si="10"/>
        <v>0</v>
      </c>
    </row>
    <row r="704" spans="1:5" x14ac:dyDescent="0.25">
      <c r="A704" s="13">
        <v>41289</v>
      </c>
      <c r="B704" t="s">
        <v>31</v>
      </c>
      <c r="C704">
        <v>361.11209969999999</v>
      </c>
      <c r="D704">
        <v>2.3229038944574398E-3</v>
      </c>
      <c r="E704">
        <f t="shared" si="10"/>
        <v>1</v>
      </c>
    </row>
    <row r="705" spans="1:5" x14ac:dyDescent="0.25">
      <c r="A705" s="13">
        <v>41290</v>
      </c>
      <c r="B705" t="s">
        <v>31</v>
      </c>
      <c r="C705">
        <v>356.2602546</v>
      </c>
      <c r="D705">
        <v>-1.3435841956087158E-2</v>
      </c>
      <c r="E705">
        <f t="shared" si="10"/>
        <v>0</v>
      </c>
    </row>
    <row r="706" spans="1:5" x14ac:dyDescent="0.25">
      <c r="A706" s="13">
        <v>41291</v>
      </c>
      <c r="B706" t="s">
        <v>31</v>
      </c>
      <c r="C706">
        <v>354.33248639999999</v>
      </c>
      <c r="D706">
        <v>-5.4111233995620678E-3</v>
      </c>
      <c r="E706">
        <f t="shared" si="10"/>
        <v>0</v>
      </c>
    </row>
    <row r="707" spans="1:5" x14ac:dyDescent="0.25">
      <c r="A707" s="13">
        <v>41292</v>
      </c>
      <c r="B707" t="s">
        <v>31</v>
      </c>
      <c r="C707">
        <v>350.94020740000002</v>
      </c>
      <c r="D707">
        <v>-9.5737171447793923E-3</v>
      </c>
      <c r="E707">
        <f t="shared" ref="E707:E770" si="11">IF(D707&gt;0,1,0)</f>
        <v>0</v>
      </c>
    </row>
    <row r="708" spans="1:5" x14ac:dyDescent="0.25">
      <c r="A708" s="13">
        <v>41296</v>
      </c>
      <c r="B708" t="s">
        <v>31</v>
      </c>
      <c r="C708">
        <v>350.12325060000001</v>
      </c>
      <c r="D708">
        <v>-2.3279088083196786E-3</v>
      </c>
      <c r="E708">
        <f t="shared" si="11"/>
        <v>0</v>
      </c>
    </row>
    <row r="709" spans="1:5" x14ac:dyDescent="0.25">
      <c r="A709" s="13">
        <v>41297</v>
      </c>
      <c r="B709" t="s">
        <v>31</v>
      </c>
      <c r="C709">
        <v>369.36617289999998</v>
      </c>
      <c r="D709">
        <v>5.4960423985050078E-2</v>
      </c>
      <c r="E709">
        <f t="shared" si="11"/>
        <v>1</v>
      </c>
    </row>
    <row r="710" spans="1:5" x14ac:dyDescent="0.25">
      <c r="A710" s="13">
        <v>41298</v>
      </c>
      <c r="B710" t="s">
        <v>31</v>
      </c>
      <c r="C710">
        <v>375.69745219999999</v>
      </c>
      <c r="D710">
        <v>1.714092887903429E-2</v>
      </c>
      <c r="E710">
        <f t="shared" si="11"/>
        <v>1</v>
      </c>
    </row>
    <row r="711" spans="1:5" x14ac:dyDescent="0.25">
      <c r="A711" s="13">
        <v>41299</v>
      </c>
      <c r="B711" t="s">
        <v>31</v>
      </c>
      <c r="C711">
        <v>375.42843900000003</v>
      </c>
      <c r="D711">
        <v>-7.160367961631664E-4</v>
      </c>
      <c r="E711">
        <f t="shared" si="11"/>
        <v>0</v>
      </c>
    </row>
    <row r="712" spans="1:5" x14ac:dyDescent="0.25">
      <c r="A712" s="13">
        <v>41302</v>
      </c>
      <c r="B712" t="s">
        <v>31</v>
      </c>
      <c r="C712">
        <v>373.96392839999999</v>
      </c>
      <c r="D712">
        <v>-3.9009048006617419E-3</v>
      </c>
      <c r="E712">
        <f t="shared" si="11"/>
        <v>0</v>
      </c>
    </row>
    <row r="713" spans="1:5" x14ac:dyDescent="0.25">
      <c r="A713" s="13">
        <v>41303</v>
      </c>
      <c r="B713" t="s">
        <v>31</v>
      </c>
      <c r="C713">
        <v>375.43344430000002</v>
      </c>
      <c r="D713">
        <v>3.929565897671905E-3</v>
      </c>
      <c r="E713">
        <f t="shared" si="11"/>
        <v>1</v>
      </c>
    </row>
    <row r="714" spans="1:5" x14ac:dyDescent="0.25">
      <c r="A714" s="13">
        <v>41304</v>
      </c>
      <c r="B714" t="s">
        <v>31</v>
      </c>
      <c r="C714">
        <v>375.50815130000001</v>
      </c>
      <c r="D714">
        <v>1.9898866532597204E-4</v>
      </c>
      <c r="E714">
        <f t="shared" si="11"/>
        <v>1</v>
      </c>
    </row>
    <row r="715" spans="1:5" x14ac:dyDescent="0.25">
      <c r="A715" s="13">
        <v>41305</v>
      </c>
      <c r="B715" t="s">
        <v>31</v>
      </c>
      <c r="C715">
        <v>376.43466649999999</v>
      </c>
      <c r="D715">
        <v>2.467363749075524E-3</v>
      </c>
      <c r="E715">
        <f t="shared" si="11"/>
        <v>1</v>
      </c>
    </row>
    <row r="716" spans="1:5" x14ac:dyDescent="0.25">
      <c r="A716" s="13">
        <v>41306</v>
      </c>
      <c r="B716" t="s">
        <v>31</v>
      </c>
      <c r="C716">
        <v>386.35253039999998</v>
      </c>
      <c r="D716">
        <v>2.6346839923681697E-2</v>
      </c>
      <c r="E716">
        <f t="shared" si="11"/>
        <v>1</v>
      </c>
    </row>
    <row r="717" spans="1:5" x14ac:dyDescent="0.25">
      <c r="A717" s="13">
        <v>41309</v>
      </c>
      <c r="B717" t="s">
        <v>31</v>
      </c>
      <c r="C717">
        <v>378.09345239999999</v>
      </c>
      <c r="D717">
        <v>-2.1377051656551016E-2</v>
      </c>
      <c r="E717">
        <f t="shared" si="11"/>
        <v>0</v>
      </c>
    </row>
    <row r="718" spans="1:5" x14ac:dyDescent="0.25">
      <c r="A718" s="13">
        <v>41310</v>
      </c>
      <c r="B718" t="s">
        <v>31</v>
      </c>
      <c r="C718">
        <v>381.44093120000002</v>
      </c>
      <c r="D718">
        <v>8.8535751644240879E-3</v>
      </c>
      <c r="E718">
        <f t="shared" si="11"/>
        <v>1</v>
      </c>
    </row>
    <row r="719" spans="1:5" x14ac:dyDescent="0.25">
      <c r="A719" s="13">
        <v>41311</v>
      </c>
      <c r="B719" t="s">
        <v>31</v>
      </c>
      <c r="C719">
        <v>383.64766090000001</v>
      </c>
      <c r="D719">
        <v>5.785246205900485E-3</v>
      </c>
      <c r="E719">
        <f t="shared" si="11"/>
        <v>1</v>
      </c>
    </row>
    <row r="720" spans="1:5" x14ac:dyDescent="0.25">
      <c r="A720" s="13">
        <v>41312</v>
      </c>
      <c r="B720" t="s">
        <v>31</v>
      </c>
      <c r="C720">
        <v>385.53059869999998</v>
      </c>
      <c r="D720">
        <v>4.9079871765222993E-3</v>
      </c>
      <c r="E720">
        <f t="shared" si="11"/>
        <v>1</v>
      </c>
    </row>
    <row r="721" spans="1:5" x14ac:dyDescent="0.25">
      <c r="A721" s="13">
        <v>41313</v>
      </c>
      <c r="B721" t="s">
        <v>31</v>
      </c>
      <c r="C721">
        <v>391.21929849999998</v>
      </c>
      <c r="D721">
        <v>1.475550791346314E-2</v>
      </c>
      <c r="E721">
        <f t="shared" si="11"/>
        <v>1</v>
      </c>
    </row>
    <row r="722" spans="1:5" x14ac:dyDescent="0.25">
      <c r="A722" s="13">
        <v>41316</v>
      </c>
      <c r="B722" t="s">
        <v>31</v>
      </c>
      <c r="C722">
        <v>389.7497831</v>
      </c>
      <c r="D722">
        <v>-3.7562446577517061E-3</v>
      </c>
      <c r="E722">
        <f t="shared" si="11"/>
        <v>0</v>
      </c>
    </row>
    <row r="723" spans="1:5" x14ac:dyDescent="0.25">
      <c r="A723" s="13">
        <v>41317</v>
      </c>
      <c r="B723" t="s">
        <v>31</v>
      </c>
      <c r="C723">
        <v>388.89300109999999</v>
      </c>
      <c r="D723">
        <v>-2.1982873041912487E-3</v>
      </c>
      <c r="E723">
        <f t="shared" si="11"/>
        <v>0</v>
      </c>
    </row>
    <row r="724" spans="1:5" x14ac:dyDescent="0.25">
      <c r="A724" s="13">
        <v>41318</v>
      </c>
      <c r="B724" t="s">
        <v>31</v>
      </c>
      <c r="C724">
        <v>389.9689611</v>
      </c>
      <c r="D724">
        <v>2.7667250296523616E-3</v>
      </c>
      <c r="E724">
        <f t="shared" si="11"/>
        <v>1</v>
      </c>
    </row>
    <row r="725" spans="1:5" x14ac:dyDescent="0.25">
      <c r="A725" s="13">
        <v>41319</v>
      </c>
      <c r="B725" t="s">
        <v>31</v>
      </c>
      <c r="C725">
        <v>392.4397295</v>
      </c>
      <c r="D725">
        <v>6.3358078371944515E-3</v>
      </c>
      <c r="E725">
        <f t="shared" si="11"/>
        <v>1</v>
      </c>
    </row>
    <row r="726" spans="1:5" x14ac:dyDescent="0.25">
      <c r="A726" s="13">
        <v>41320</v>
      </c>
      <c r="B726" t="s">
        <v>31</v>
      </c>
      <c r="C726">
        <v>394.96524629999999</v>
      </c>
      <c r="D726">
        <v>6.4354259014949289E-3</v>
      </c>
      <c r="E726">
        <f t="shared" si="11"/>
        <v>1</v>
      </c>
    </row>
    <row r="727" spans="1:5" x14ac:dyDescent="0.25">
      <c r="A727" s="13">
        <v>41324</v>
      </c>
      <c r="B727" t="s">
        <v>31</v>
      </c>
      <c r="C727">
        <v>401.91920709999999</v>
      </c>
      <c r="D727">
        <v>1.7606513142976787E-2</v>
      </c>
      <c r="E727">
        <f t="shared" si="11"/>
        <v>1</v>
      </c>
    </row>
    <row r="728" spans="1:5" x14ac:dyDescent="0.25">
      <c r="A728" s="13">
        <v>41325</v>
      </c>
      <c r="B728" t="s">
        <v>31</v>
      </c>
      <c r="C728">
        <v>394.75104320000003</v>
      </c>
      <c r="D728">
        <v>-1.7834837881277155E-2</v>
      </c>
      <c r="E728">
        <f t="shared" si="11"/>
        <v>0</v>
      </c>
    </row>
    <row r="729" spans="1:5" x14ac:dyDescent="0.25">
      <c r="A729" s="13">
        <v>41326</v>
      </c>
      <c r="B729" t="s">
        <v>31</v>
      </c>
      <c r="C729">
        <v>396.2803121</v>
      </c>
      <c r="D729">
        <v>3.8740085082566988E-3</v>
      </c>
      <c r="E729">
        <f t="shared" si="11"/>
        <v>1</v>
      </c>
    </row>
    <row r="730" spans="1:5" x14ac:dyDescent="0.25">
      <c r="A730" s="13">
        <v>41327</v>
      </c>
      <c r="B730" t="s">
        <v>31</v>
      </c>
      <c r="C730">
        <v>398.36252990000003</v>
      </c>
      <c r="D730">
        <v>5.2544063795796347E-3</v>
      </c>
      <c r="E730">
        <f t="shared" si="11"/>
        <v>1</v>
      </c>
    </row>
    <row r="731" spans="1:5" x14ac:dyDescent="0.25">
      <c r="A731" s="13">
        <v>41330</v>
      </c>
      <c r="B731" t="s">
        <v>31</v>
      </c>
      <c r="C731">
        <v>393.90921409999999</v>
      </c>
      <c r="D731">
        <v>-1.1179052912225318E-2</v>
      </c>
      <c r="E731">
        <f t="shared" si="11"/>
        <v>0</v>
      </c>
    </row>
    <row r="732" spans="1:5" x14ac:dyDescent="0.25">
      <c r="A732" s="13">
        <v>41331</v>
      </c>
      <c r="B732" t="s">
        <v>31</v>
      </c>
      <c r="C732">
        <v>393.59039660000002</v>
      </c>
      <c r="D732">
        <v>-8.0936796751096551E-4</v>
      </c>
      <c r="E732">
        <f t="shared" si="11"/>
        <v>0</v>
      </c>
    </row>
    <row r="733" spans="1:5" x14ac:dyDescent="0.25">
      <c r="A733" s="13">
        <v>41332</v>
      </c>
      <c r="B733" t="s">
        <v>31</v>
      </c>
      <c r="C733">
        <v>398.39738130000001</v>
      </c>
      <c r="D733">
        <v>1.2213165619701982E-2</v>
      </c>
      <c r="E733">
        <f t="shared" si="11"/>
        <v>1</v>
      </c>
    </row>
    <row r="734" spans="1:5" x14ac:dyDescent="0.25">
      <c r="A734" s="13">
        <v>41333</v>
      </c>
      <c r="B734" t="s">
        <v>31</v>
      </c>
      <c r="C734">
        <v>399.1047494</v>
      </c>
      <c r="D734">
        <v>1.7755340100173989E-3</v>
      </c>
      <c r="E734">
        <f t="shared" si="11"/>
        <v>1</v>
      </c>
    </row>
    <row r="735" spans="1:5" x14ac:dyDescent="0.25">
      <c r="A735" s="13">
        <v>41334</v>
      </c>
      <c r="B735" t="s">
        <v>31</v>
      </c>
      <c r="C735">
        <v>401.59044089999998</v>
      </c>
      <c r="D735">
        <v>6.2281681782461185E-3</v>
      </c>
      <c r="E735">
        <f t="shared" si="11"/>
        <v>1</v>
      </c>
    </row>
    <row r="736" spans="1:5" x14ac:dyDescent="0.25">
      <c r="A736" s="13">
        <v>41337</v>
      </c>
      <c r="B736" t="s">
        <v>31</v>
      </c>
      <c r="C736">
        <v>409.21685780000001</v>
      </c>
      <c r="D736">
        <v>1.8990533945251631E-2</v>
      </c>
      <c r="E736">
        <f t="shared" si="11"/>
        <v>1</v>
      </c>
    </row>
    <row r="737" spans="1:5" x14ac:dyDescent="0.25">
      <c r="A737" s="13">
        <v>41338</v>
      </c>
      <c r="B737" t="s">
        <v>31</v>
      </c>
      <c r="C737">
        <v>417.73493889999997</v>
      </c>
      <c r="D737">
        <v>2.0815567437260984E-2</v>
      </c>
      <c r="E737">
        <f t="shared" si="11"/>
        <v>1</v>
      </c>
    </row>
    <row r="738" spans="1:5" x14ac:dyDescent="0.25">
      <c r="A738" s="13">
        <v>41339</v>
      </c>
      <c r="B738" t="s">
        <v>31</v>
      </c>
      <c r="C738">
        <v>414.1384056</v>
      </c>
      <c r="D738">
        <v>-8.6096061523379674E-3</v>
      </c>
      <c r="E738">
        <f t="shared" si="11"/>
        <v>0</v>
      </c>
    </row>
    <row r="739" spans="1:5" x14ac:dyDescent="0.25">
      <c r="A739" s="13">
        <v>41340</v>
      </c>
      <c r="B739" t="s">
        <v>31</v>
      </c>
      <c r="C739">
        <v>414.74613369999997</v>
      </c>
      <c r="D739">
        <v>1.4674516822932304E-3</v>
      </c>
      <c r="E739">
        <f t="shared" si="11"/>
        <v>1</v>
      </c>
    </row>
    <row r="740" spans="1:5" x14ac:dyDescent="0.25">
      <c r="A740" s="13">
        <v>41341</v>
      </c>
      <c r="B740" t="s">
        <v>31</v>
      </c>
      <c r="C740">
        <v>414.20816860000002</v>
      </c>
      <c r="D740">
        <v>-1.2970949124967435E-3</v>
      </c>
      <c r="E740">
        <f t="shared" si="11"/>
        <v>0</v>
      </c>
    </row>
    <row r="741" spans="1:5" x14ac:dyDescent="0.25">
      <c r="A741" s="13">
        <v>41344</v>
      </c>
      <c r="B741" t="s">
        <v>31</v>
      </c>
      <c r="C741">
        <v>415.8520011</v>
      </c>
      <c r="D741">
        <v>3.9686143939556828E-3</v>
      </c>
      <c r="E741">
        <f t="shared" si="11"/>
        <v>1</v>
      </c>
    </row>
    <row r="742" spans="1:5" x14ac:dyDescent="0.25">
      <c r="A742" s="13">
        <v>41345</v>
      </c>
      <c r="B742" t="s">
        <v>31</v>
      </c>
      <c r="C742">
        <v>412.2604422</v>
      </c>
      <c r="D742">
        <v>-8.6366276716228763E-3</v>
      </c>
      <c r="E742">
        <f t="shared" si="11"/>
        <v>0</v>
      </c>
    </row>
    <row r="743" spans="1:5" x14ac:dyDescent="0.25">
      <c r="A743" s="13">
        <v>41346</v>
      </c>
      <c r="B743" t="s">
        <v>31</v>
      </c>
      <c r="C743">
        <v>411.11474900000002</v>
      </c>
      <c r="D743">
        <v>-2.7790519844350658E-3</v>
      </c>
      <c r="E743">
        <f t="shared" si="11"/>
        <v>0</v>
      </c>
    </row>
    <row r="744" spans="1:5" x14ac:dyDescent="0.25">
      <c r="A744" s="13">
        <v>41347</v>
      </c>
      <c r="B744" t="s">
        <v>31</v>
      </c>
      <c r="C744">
        <v>409.23678560000002</v>
      </c>
      <c r="D744">
        <v>-4.5679786594082783E-3</v>
      </c>
      <c r="E744">
        <f t="shared" si="11"/>
        <v>0</v>
      </c>
    </row>
    <row r="745" spans="1:5" x14ac:dyDescent="0.25">
      <c r="A745" s="13">
        <v>41348</v>
      </c>
      <c r="B745" t="s">
        <v>31</v>
      </c>
      <c r="C745">
        <v>405.63030350000002</v>
      </c>
      <c r="D745">
        <v>-8.8127026379418716E-3</v>
      </c>
      <c r="E745">
        <f t="shared" si="11"/>
        <v>0</v>
      </c>
    </row>
    <row r="746" spans="1:5" x14ac:dyDescent="0.25">
      <c r="A746" s="13">
        <v>41351</v>
      </c>
      <c r="B746" t="s">
        <v>31</v>
      </c>
      <c r="C746">
        <v>402.38743909999999</v>
      </c>
      <c r="D746">
        <v>-7.9946305096508796E-3</v>
      </c>
      <c r="E746">
        <f t="shared" si="11"/>
        <v>0</v>
      </c>
    </row>
    <row r="747" spans="1:5" x14ac:dyDescent="0.25">
      <c r="A747" s="13">
        <v>41352</v>
      </c>
      <c r="B747" t="s">
        <v>31</v>
      </c>
      <c r="C747">
        <v>404.14586509999998</v>
      </c>
      <c r="D747">
        <v>4.3699823332781218E-3</v>
      </c>
      <c r="E747">
        <f t="shared" si="11"/>
        <v>1</v>
      </c>
    </row>
    <row r="748" spans="1:5" x14ac:dyDescent="0.25">
      <c r="A748" s="13">
        <v>41353</v>
      </c>
      <c r="B748" t="s">
        <v>31</v>
      </c>
      <c r="C748">
        <v>405.8345276</v>
      </c>
      <c r="D748">
        <v>4.1783490710269877E-3</v>
      </c>
      <c r="E748">
        <f t="shared" si="11"/>
        <v>1</v>
      </c>
    </row>
    <row r="749" spans="1:5" x14ac:dyDescent="0.25">
      <c r="A749" s="13">
        <v>41354</v>
      </c>
      <c r="B749" t="s">
        <v>31</v>
      </c>
      <c r="C749">
        <v>404.11595770000002</v>
      </c>
      <c r="D749">
        <v>-4.2346566965683063E-3</v>
      </c>
      <c r="E749">
        <f t="shared" si="11"/>
        <v>0</v>
      </c>
    </row>
    <row r="750" spans="1:5" x14ac:dyDescent="0.25">
      <c r="A750" s="13">
        <v>41355</v>
      </c>
      <c r="B750" t="s">
        <v>31</v>
      </c>
      <c r="C750">
        <v>403.64275140000001</v>
      </c>
      <c r="D750">
        <v>-1.1709666272354813E-3</v>
      </c>
      <c r="E750">
        <f t="shared" si="11"/>
        <v>0</v>
      </c>
    </row>
    <row r="751" spans="1:5" x14ac:dyDescent="0.25">
      <c r="A751" s="13">
        <v>41358</v>
      </c>
      <c r="B751" t="s">
        <v>31</v>
      </c>
      <c r="C751">
        <v>403.3089799</v>
      </c>
      <c r="D751">
        <v>-8.2689828776150165E-4</v>
      </c>
      <c r="E751">
        <f t="shared" si="11"/>
        <v>0</v>
      </c>
    </row>
    <row r="752" spans="1:5" x14ac:dyDescent="0.25">
      <c r="A752" s="13">
        <v>41359</v>
      </c>
      <c r="B752" t="s">
        <v>31</v>
      </c>
      <c r="C752">
        <v>404.6938093</v>
      </c>
      <c r="D752">
        <v>3.4336686486460266E-3</v>
      </c>
      <c r="E752">
        <f t="shared" si="11"/>
        <v>1</v>
      </c>
    </row>
    <row r="753" spans="1:5" x14ac:dyDescent="0.25">
      <c r="A753" s="13">
        <v>41360</v>
      </c>
      <c r="B753" t="s">
        <v>31</v>
      </c>
      <c r="C753">
        <v>399.83201489999999</v>
      </c>
      <c r="D753">
        <v>-1.2013513150619937E-2</v>
      </c>
      <c r="E753">
        <f t="shared" si="11"/>
        <v>0</v>
      </c>
    </row>
    <row r="754" spans="1:5" x14ac:dyDescent="0.25">
      <c r="A754" s="13">
        <v>41361</v>
      </c>
      <c r="B754" t="s">
        <v>31</v>
      </c>
      <c r="C754">
        <v>395.61283049999997</v>
      </c>
      <c r="D754">
        <v>-1.0552392611820394E-2</v>
      </c>
      <c r="E754">
        <f t="shared" si="11"/>
        <v>0</v>
      </c>
    </row>
    <row r="755" spans="1:5" x14ac:dyDescent="0.25">
      <c r="A755" s="13">
        <v>41365</v>
      </c>
      <c r="B755" t="s">
        <v>31</v>
      </c>
      <c r="C755">
        <v>399.09977509999999</v>
      </c>
      <c r="D755">
        <v>8.8140331434474195E-3</v>
      </c>
      <c r="E755">
        <f t="shared" si="11"/>
        <v>1</v>
      </c>
    </row>
    <row r="756" spans="1:5" x14ac:dyDescent="0.25">
      <c r="A756" s="13">
        <v>41366</v>
      </c>
      <c r="B756" t="s">
        <v>31</v>
      </c>
      <c r="C756">
        <v>405.00264759999999</v>
      </c>
      <c r="D756">
        <v>1.4790468119209033E-2</v>
      </c>
      <c r="E756">
        <f t="shared" si="11"/>
        <v>1</v>
      </c>
    </row>
    <row r="757" spans="1:5" x14ac:dyDescent="0.25">
      <c r="A757" s="13">
        <v>41367</v>
      </c>
      <c r="B757" t="s">
        <v>31</v>
      </c>
      <c r="C757">
        <v>401.59541530000001</v>
      </c>
      <c r="D757">
        <v>-8.412864261976627E-3</v>
      </c>
      <c r="E757">
        <f t="shared" si="11"/>
        <v>0</v>
      </c>
    </row>
    <row r="758" spans="1:5" x14ac:dyDescent="0.25">
      <c r="A758" s="13">
        <v>41368</v>
      </c>
      <c r="B758" t="s">
        <v>31</v>
      </c>
      <c r="C758">
        <v>396.05118590000001</v>
      </c>
      <c r="D758">
        <v>-1.3805509696514728E-2</v>
      </c>
      <c r="E758">
        <f t="shared" si="11"/>
        <v>0</v>
      </c>
    </row>
    <row r="759" spans="1:5" x14ac:dyDescent="0.25">
      <c r="A759" s="13">
        <v>41369</v>
      </c>
      <c r="B759" t="s">
        <v>31</v>
      </c>
      <c r="C759">
        <v>390.06362680000001</v>
      </c>
      <c r="D759">
        <v>-1.5118144606469652E-2</v>
      </c>
      <c r="E759">
        <f t="shared" si="11"/>
        <v>0</v>
      </c>
    </row>
    <row r="760" spans="1:5" x14ac:dyDescent="0.25">
      <c r="A760" s="13">
        <v>41372</v>
      </c>
      <c r="B760" t="s">
        <v>31</v>
      </c>
      <c r="C760">
        <v>385.97893319999997</v>
      </c>
      <c r="D760">
        <v>-1.0471864894222471E-2</v>
      </c>
      <c r="E760">
        <f t="shared" si="11"/>
        <v>0</v>
      </c>
    </row>
    <row r="761" spans="1:5" x14ac:dyDescent="0.25">
      <c r="A761" s="13">
        <v>41373</v>
      </c>
      <c r="B761" t="s">
        <v>31</v>
      </c>
      <c r="C761">
        <v>387.37368029999999</v>
      </c>
      <c r="D761">
        <v>3.6135316724068556E-3</v>
      </c>
      <c r="E761">
        <f t="shared" si="11"/>
        <v>1</v>
      </c>
    </row>
    <row r="762" spans="1:5" x14ac:dyDescent="0.25">
      <c r="A762" s="13">
        <v>41374</v>
      </c>
      <c r="B762" t="s">
        <v>31</v>
      </c>
      <c r="C762">
        <v>393.61529869999998</v>
      </c>
      <c r="D762">
        <v>1.6112654827674877E-2</v>
      </c>
      <c r="E762">
        <f t="shared" si="11"/>
        <v>1</v>
      </c>
    </row>
    <row r="763" spans="1:5" x14ac:dyDescent="0.25">
      <c r="A763" s="13">
        <v>41375</v>
      </c>
      <c r="B763" t="s">
        <v>31</v>
      </c>
      <c r="C763">
        <v>393.71991359999998</v>
      </c>
      <c r="D763">
        <v>2.6577955771922568E-4</v>
      </c>
      <c r="E763">
        <f t="shared" si="11"/>
        <v>1</v>
      </c>
    </row>
    <row r="764" spans="1:5" x14ac:dyDescent="0.25">
      <c r="A764" s="13">
        <v>41376</v>
      </c>
      <c r="B764" t="s">
        <v>31</v>
      </c>
      <c r="C764">
        <v>393.55054050000001</v>
      </c>
      <c r="D764">
        <v>-4.3018677529238492E-4</v>
      </c>
      <c r="E764">
        <f t="shared" si="11"/>
        <v>0</v>
      </c>
    </row>
    <row r="765" spans="1:5" x14ac:dyDescent="0.25">
      <c r="A765" s="13">
        <v>41379</v>
      </c>
      <c r="B765" t="s">
        <v>31</v>
      </c>
      <c r="C765">
        <v>389.50570349999998</v>
      </c>
      <c r="D765">
        <v>-1.0277808270472977E-2</v>
      </c>
      <c r="E765">
        <f t="shared" si="11"/>
        <v>0</v>
      </c>
    </row>
    <row r="766" spans="1:5" x14ac:dyDescent="0.25">
      <c r="A766" s="13">
        <v>41380</v>
      </c>
      <c r="B766" t="s">
        <v>31</v>
      </c>
      <c r="C766">
        <v>395.20435209999999</v>
      </c>
      <c r="D766">
        <v>1.4630462529286126E-2</v>
      </c>
      <c r="E766">
        <f t="shared" si="11"/>
        <v>1</v>
      </c>
    </row>
    <row r="767" spans="1:5" x14ac:dyDescent="0.25">
      <c r="A767" s="13">
        <v>41381</v>
      </c>
      <c r="B767" t="s">
        <v>31</v>
      </c>
      <c r="C767">
        <v>389.81954660000002</v>
      </c>
      <c r="D767">
        <v>-1.3625369941871024E-2</v>
      </c>
      <c r="E767">
        <f t="shared" si="11"/>
        <v>0</v>
      </c>
    </row>
    <row r="768" spans="1:5" x14ac:dyDescent="0.25">
      <c r="A768" s="13">
        <v>41382</v>
      </c>
      <c r="B768" t="s">
        <v>31</v>
      </c>
      <c r="C768">
        <v>381.52561780000002</v>
      </c>
      <c r="D768">
        <v>-2.1276328681666956E-2</v>
      </c>
      <c r="E768">
        <f t="shared" si="11"/>
        <v>0</v>
      </c>
    </row>
    <row r="769" spans="1:5" x14ac:dyDescent="0.25">
      <c r="A769" s="13">
        <v>41383</v>
      </c>
      <c r="B769" t="s">
        <v>31</v>
      </c>
      <c r="C769">
        <v>398.4422118</v>
      </c>
      <c r="D769">
        <v>4.433933977368687E-2</v>
      </c>
      <c r="E769">
        <f t="shared" si="11"/>
        <v>1</v>
      </c>
    </row>
    <row r="770" spans="1:5" x14ac:dyDescent="0.25">
      <c r="A770" s="13">
        <v>41386</v>
      </c>
      <c r="B770" t="s">
        <v>31</v>
      </c>
      <c r="C770">
        <v>398.56177960000002</v>
      </c>
      <c r="D770">
        <v>3.0008818458227005E-4</v>
      </c>
      <c r="E770">
        <f t="shared" si="11"/>
        <v>1</v>
      </c>
    </row>
    <row r="771" spans="1:5" x14ac:dyDescent="0.25">
      <c r="A771" s="13">
        <v>41387</v>
      </c>
      <c r="B771" t="s">
        <v>31</v>
      </c>
      <c r="C771">
        <v>402.44224919999999</v>
      </c>
      <c r="D771">
        <v>9.7361809350973161E-3</v>
      </c>
      <c r="E771">
        <f t="shared" ref="E771:E834" si="12">IF(D771&gt;0,1,0)</f>
        <v>1</v>
      </c>
    </row>
    <row r="772" spans="1:5" x14ac:dyDescent="0.25">
      <c r="A772" s="13">
        <v>41388</v>
      </c>
      <c r="B772" t="s">
        <v>31</v>
      </c>
      <c r="C772">
        <v>405.20687170000002</v>
      </c>
      <c r="D772">
        <v>6.8696129829701746E-3</v>
      </c>
      <c r="E772">
        <f t="shared" si="12"/>
        <v>1</v>
      </c>
    </row>
    <row r="773" spans="1:5" x14ac:dyDescent="0.25">
      <c r="A773" s="13">
        <v>41389</v>
      </c>
      <c r="B773" t="s">
        <v>31</v>
      </c>
      <c r="C773">
        <v>403.03999759999999</v>
      </c>
      <c r="D773">
        <v>-5.3475749088586211E-3</v>
      </c>
      <c r="E773">
        <f t="shared" si="12"/>
        <v>0</v>
      </c>
    </row>
    <row r="774" spans="1:5" x14ac:dyDescent="0.25">
      <c r="A774" s="13">
        <v>41390</v>
      </c>
      <c r="B774" t="s">
        <v>31</v>
      </c>
      <c r="C774">
        <v>399.21433819999999</v>
      </c>
      <c r="D774">
        <v>-9.4920092863756134E-3</v>
      </c>
      <c r="E774">
        <f t="shared" si="12"/>
        <v>0</v>
      </c>
    </row>
    <row r="775" spans="1:5" x14ac:dyDescent="0.25">
      <c r="A775" s="13">
        <v>41393</v>
      </c>
      <c r="B775" t="s">
        <v>31</v>
      </c>
      <c r="C775">
        <v>408.00140160000001</v>
      </c>
      <c r="D775">
        <v>2.2010891291178725E-2</v>
      </c>
      <c r="E775">
        <f t="shared" si="12"/>
        <v>1</v>
      </c>
    </row>
    <row r="776" spans="1:5" x14ac:dyDescent="0.25">
      <c r="A776" s="13">
        <v>41394</v>
      </c>
      <c r="B776" t="s">
        <v>31</v>
      </c>
      <c r="C776">
        <v>410.74612669999999</v>
      </c>
      <c r="D776">
        <v>6.7272442918979714E-3</v>
      </c>
      <c r="E776">
        <f t="shared" si="12"/>
        <v>1</v>
      </c>
    </row>
    <row r="777" spans="1:5" x14ac:dyDescent="0.25">
      <c r="A777" s="13">
        <v>41395</v>
      </c>
      <c r="B777" t="s">
        <v>31</v>
      </c>
      <c r="C777">
        <v>408.68386700000002</v>
      </c>
      <c r="D777">
        <v>-5.0207648129722005E-3</v>
      </c>
      <c r="E777">
        <f t="shared" si="12"/>
        <v>0</v>
      </c>
    </row>
    <row r="778" spans="1:5" x14ac:dyDescent="0.25">
      <c r="A778" s="13">
        <v>41396</v>
      </c>
      <c r="B778" t="s">
        <v>31</v>
      </c>
      <c r="C778">
        <v>413.25672040000001</v>
      </c>
      <c r="D778">
        <v>1.1189219270062223E-2</v>
      </c>
      <c r="E778">
        <f t="shared" si="12"/>
        <v>1</v>
      </c>
    </row>
    <row r="779" spans="1:5" x14ac:dyDescent="0.25">
      <c r="A779" s="13">
        <v>41397</v>
      </c>
      <c r="B779" t="s">
        <v>31</v>
      </c>
      <c r="C779">
        <v>421.2816674</v>
      </c>
      <c r="D779">
        <v>1.9418793703421144E-2</v>
      </c>
      <c r="E779">
        <f t="shared" si="12"/>
        <v>1</v>
      </c>
    </row>
    <row r="780" spans="1:5" x14ac:dyDescent="0.25">
      <c r="A780" s="13">
        <v>41400</v>
      </c>
      <c r="B780" t="s">
        <v>31</v>
      </c>
      <c r="C780">
        <v>429.16711780000003</v>
      </c>
      <c r="D780">
        <v>1.8717762984243214E-2</v>
      </c>
      <c r="E780">
        <f t="shared" si="12"/>
        <v>1</v>
      </c>
    </row>
    <row r="781" spans="1:5" x14ac:dyDescent="0.25">
      <c r="A781" s="13">
        <v>41401</v>
      </c>
      <c r="B781" t="s">
        <v>31</v>
      </c>
      <c r="C781">
        <v>427.01516679999997</v>
      </c>
      <c r="D781">
        <v>-5.0142494863805176E-3</v>
      </c>
      <c r="E781">
        <f t="shared" si="12"/>
        <v>0</v>
      </c>
    </row>
    <row r="782" spans="1:5" x14ac:dyDescent="0.25">
      <c r="A782" s="13">
        <v>41402</v>
      </c>
      <c r="B782" t="s">
        <v>31</v>
      </c>
      <c r="C782">
        <v>435.18458429999998</v>
      </c>
      <c r="D782">
        <v>1.9131445754539955E-2</v>
      </c>
      <c r="E782">
        <f t="shared" si="12"/>
        <v>1</v>
      </c>
    </row>
    <row r="783" spans="1:5" x14ac:dyDescent="0.25">
      <c r="A783" s="13">
        <v>41403</v>
      </c>
      <c r="B783" t="s">
        <v>31</v>
      </c>
      <c r="C783">
        <v>434.1135678</v>
      </c>
      <c r="D783">
        <v>-2.4610625896198668E-3</v>
      </c>
      <c r="E783">
        <f t="shared" si="12"/>
        <v>0</v>
      </c>
    </row>
    <row r="784" spans="1:5" x14ac:dyDescent="0.25">
      <c r="A784" s="13">
        <v>41404</v>
      </c>
      <c r="B784" t="s">
        <v>31</v>
      </c>
      <c r="C784">
        <v>438.47224840000001</v>
      </c>
      <c r="D784">
        <v>1.0040415511749501E-2</v>
      </c>
      <c r="E784">
        <f t="shared" si="12"/>
        <v>1</v>
      </c>
    </row>
    <row r="785" spans="1:5" x14ac:dyDescent="0.25">
      <c r="A785" s="13">
        <v>41407</v>
      </c>
      <c r="B785" t="s">
        <v>31</v>
      </c>
      <c r="C785">
        <v>437.12730599999998</v>
      </c>
      <c r="D785">
        <v>-3.0673375679025616E-3</v>
      </c>
      <c r="E785">
        <f t="shared" si="12"/>
        <v>0</v>
      </c>
    </row>
    <row r="786" spans="1:5" x14ac:dyDescent="0.25">
      <c r="A786" s="13">
        <v>41408</v>
      </c>
      <c r="B786" t="s">
        <v>31</v>
      </c>
      <c r="C786">
        <v>441.89443469999998</v>
      </c>
      <c r="D786">
        <v>1.0905584333365859E-2</v>
      </c>
      <c r="E786">
        <f t="shared" si="12"/>
        <v>1</v>
      </c>
    </row>
    <row r="787" spans="1:5" x14ac:dyDescent="0.25">
      <c r="A787" s="13">
        <v>41409</v>
      </c>
      <c r="B787" t="s">
        <v>31</v>
      </c>
      <c r="C787">
        <v>456.23570660000001</v>
      </c>
      <c r="D787">
        <v>3.2454067699984268E-2</v>
      </c>
      <c r="E787">
        <f t="shared" si="12"/>
        <v>1</v>
      </c>
    </row>
    <row r="788" spans="1:5" x14ac:dyDescent="0.25">
      <c r="A788" s="13">
        <v>41410</v>
      </c>
      <c r="B788" t="s">
        <v>31</v>
      </c>
      <c r="C788">
        <v>450.24814739999999</v>
      </c>
      <c r="D788">
        <v>-1.3123828567958906E-2</v>
      </c>
      <c r="E788">
        <f t="shared" si="12"/>
        <v>0</v>
      </c>
    </row>
    <row r="789" spans="1:5" x14ac:dyDescent="0.25">
      <c r="A789" s="13">
        <v>41411</v>
      </c>
      <c r="B789" t="s">
        <v>31</v>
      </c>
      <c r="C789">
        <v>452.89323250000001</v>
      </c>
      <c r="D789">
        <v>5.8747273370791664E-3</v>
      </c>
      <c r="E789">
        <f t="shared" si="12"/>
        <v>1</v>
      </c>
    </row>
    <row r="790" spans="1:5" x14ac:dyDescent="0.25">
      <c r="A790" s="13">
        <v>41414</v>
      </c>
      <c r="B790" t="s">
        <v>31</v>
      </c>
      <c r="C790">
        <v>452.56944060000001</v>
      </c>
      <c r="D790">
        <v>-7.1494091049373321E-4</v>
      </c>
      <c r="E790">
        <f t="shared" si="12"/>
        <v>0</v>
      </c>
    </row>
    <row r="791" spans="1:5" x14ac:dyDescent="0.25">
      <c r="A791" s="13">
        <v>41415</v>
      </c>
      <c r="B791" t="s">
        <v>31</v>
      </c>
      <c r="C791">
        <v>451.7923394</v>
      </c>
      <c r="D791">
        <v>-1.7170872142179272E-3</v>
      </c>
      <c r="E791">
        <f t="shared" si="12"/>
        <v>0</v>
      </c>
    </row>
    <row r="792" spans="1:5" x14ac:dyDescent="0.25">
      <c r="A792" s="13">
        <v>41416</v>
      </c>
      <c r="B792" t="s">
        <v>31</v>
      </c>
      <c r="C792">
        <v>443.0501064</v>
      </c>
      <c r="D792">
        <v>-1.9350113398580615E-2</v>
      </c>
      <c r="E792">
        <f t="shared" si="12"/>
        <v>0</v>
      </c>
    </row>
    <row r="793" spans="1:5" x14ac:dyDescent="0.25">
      <c r="A793" s="13">
        <v>41417</v>
      </c>
      <c r="B793" t="s">
        <v>31</v>
      </c>
      <c r="C793">
        <v>439.74748849999997</v>
      </c>
      <c r="D793">
        <v>-7.454276282282013E-3</v>
      </c>
      <c r="E793">
        <f t="shared" si="12"/>
        <v>0</v>
      </c>
    </row>
    <row r="794" spans="1:5" x14ac:dyDescent="0.25">
      <c r="A794" s="13">
        <v>41418</v>
      </c>
      <c r="B794" t="s">
        <v>31</v>
      </c>
      <c r="C794">
        <v>435.03013429999999</v>
      </c>
      <c r="D794">
        <v>-1.0727415899727144E-2</v>
      </c>
      <c r="E794">
        <f t="shared" si="12"/>
        <v>0</v>
      </c>
    </row>
    <row r="795" spans="1:5" x14ac:dyDescent="0.25">
      <c r="A795" s="13">
        <v>41422</v>
      </c>
      <c r="B795" t="s">
        <v>31</v>
      </c>
      <c r="C795">
        <v>438.99031550000001</v>
      </c>
      <c r="D795">
        <v>9.1032342078378736E-3</v>
      </c>
      <c r="E795">
        <f t="shared" si="12"/>
        <v>1</v>
      </c>
    </row>
    <row r="796" spans="1:5" x14ac:dyDescent="0.25">
      <c r="A796" s="13">
        <v>41423</v>
      </c>
      <c r="B796" t="s">
        <v>31</v>
      </c>
      <c r="C796">
        <v>432.534494</v>
      </c>
      <c r="D796">
        <v>-1.4706068156986496E-2</v>
      </c>
      <c r="E796">
        <f t="shared" si="12"/>
        <v>0</v>
      </c>
    </row>
    <row r="797" spans="1:5" x14ac:dyDescent="0.25">
      <c r="A797" s="13">
        <v>41424</v>
      </c>
      <c r="B797" t="s">
        <v>31</v>
      </c>
      <c r="C797">
        <v>433.75492459999998</v>
      </c>
      <c r="D797">
        <v>2.8215798206372433E-3</v>
      </c>
      <c r="E797">
        <f t="shared" si="12"/>
        <v>1</v>
      </c>
    </row>
    <row r="798" spans="1:5" x14ac:dyDescent="0.25">
      <c r="A798" s="13">
        <v>41425</v>
      </c>
      <c r="B798" t="s">
        <v>31</v>
      </c>
      <c r="C798">
        <v>433.98408160000002</v>
      </c>
      <c r="D798">
        <v>5.2830985195462254E-4</v>
      </c>
      <c r="E798">
        <f t="shared" si="12"/>
        <v>1</v>
      </c>
    </row>
    <row r="799" spans="1:5" x14ac:dyDescent="0.25">
      <c r="A799" s="13">
        <v>41428</v>
      </c>
      <c r="B799" t="s">
        <v>31</v>
      </c>
      <c r="C799">
        <v>432.19577909999998</v>
      </c>
      <c r="D799">
        <v>-4.1206638119236638E-3</v>
      </c>
      <c r="E799">
        <f t="shared" si="12"/>
        <v>0</v>
      </c>
    </row>
    <row r="800" spans="1:5" x14ac:dyDescent="0.25">
      <c r="A800" s="13">
        <v>41429</v>
      </c>
      <c r="B800" t="s">
        <v>31</v>
      </c>
      <c r="C800">
        <v>427.94668730000001</v>
      </c>
      <c r="D800">
        <v>-9.8314051304440042E-3</v>
      </c>
      <c r="E800">
        <f t="shared" si="12"/>
        <v>0</v>
      </c>
    </row>
    <row r="801" spans="1:5" x14ac:dyDescent="0.25">
      <c r="A801" s="13">
        <v>41430</v>
      </c>
      <c r="B801" t="s">
        <v>31</v>
      </c>
      <c r="C801">
        <v>428.2455769</v>
      </c>
      <c r="D801">
        <v>6.9842718467039155E-4</v>
      </c>
      <c r="E801">
        <f t="shared" si="12"/>
        <v>1</v>
      </c>
    </row>
    <row r="802" spans="1:5" x14ac:dyDescent="0.25">
      <c r="A802" s="13">
        <v>41431</v>
      </c>
      <c r="B802" t="s">
        <v>31</v>
      </c>
      <c r="C802">
        <v>430.7063354</v>
      </c>
      <c r="D802">
        <v>5.74613874079688E-3</v>
      </c>
      <c r="E802">
        <f t="shared" si="12"/>
        <v>1</v>
      </c>
    </row>
    <row r="803" spans="1:5" x14ac:dyDescent="0.25">
      <c r="A803" s="13">
        <v>41432</v>
      </c>
      <c r="B803" t="s">
        <v>31</v>
      </c>
      <c r="C803">
        <v>438.22319390000001</v>
      </c>
      <c r="D803">
        <v>1.7452398263468893E-2</v>
      </c>
      <c r="E803">
        <f t="shared" si="12"/>
        <v>1</v>
      </c>
    </row>
    <row r="804" spans="1:5" x14ac:dyDescent="0.25">
      <c r="A804" s="13">
        <v>41435</v>
      </c>
      <c r="B804" t="s">
        <v>31</v>
      </c>
      <c r="C804">
        <v>443.4486058</v>
      </c>
      <c r="D804">
        <v>1.1924087936779459E-2</v>
      </c>
      <c r="E804">
        <f t="shared" si="12"/>
        <v>1</v>
      </c>
    </row>
    <row r="805" spans="1:5" x14ac:dyDescent="0.25">
      <c r="A805" s="13">
        <v>41436</v>
      </c>
      <c r="B805" t="s">
        <v>31</v>
      </c>
      <c r="C805">
        <v>438.26305000000002</v>
      </c>
      <c r="D805">
        <v>-1.16937018905382E-2</v>
      </c>
      <c r="E805">
        <f t="shared" si="12"/>
        <v>0</v>
      </c>
    </row>
    <row r="806" spans="1:5" x14ac:dyDescent="0.25">
      <c r="A806" s="13">
        <v>41437</v>
      </c>
      <c r="B806" t="s">
        <v>31</v>
      </c>
      <c r="C806">
        <v>434.36265259999999</v>
      </c>
      <c r="D806">
        <v>-8.899672012048554E-3</v>
      </c>
      <c r="E806">
        <f t="shared" si="12"/>
        <v>0</v>
      </c>
    </row>
    <row r="807" spans="1:5" x14ac:dyDescent="0.25">
      <c r="A807" s="13">
        <v>41438</v>
      </c>
      <c r="B807" t="s">
        <v>31</v>
      </c>
      <c r="C807">
        <v>436.8632672</v>
      </c>
      <c r="D807">
        <v>5.7569742357725939E-3</v>
      </c>
      <c r="E807">
        <f t="shared" si="12"/>
        <v>1</v>
      </c>
    </row>
    <row r="808" spans="1:5" x14ac:dyDescent="0.25">
      <c r="A808" s="13">
        <v>41439</v>
      </c>
      <c r="B808" t="s">
        <v>31</v>
      </c>
      <c r="C808">
        <v>435.88694720000001</v>
      </c>
      <c r="D808">
        <v>-2.2348411352081099E-3</v>
      </c>
      <c r="E808">
        <f t="shared" si="12"/>
        <v>0</v>
      </c>
    </row>
    <row r="809" spans="1:5" x14ac:dyDescent="0.25">
      <c r="A809" s="13">
        <v>41442</v>
      </c>
      <c r="B809" t="s">
        <v>31</v>
      </c>
      <c r="C809">
        <v>441.47103270000002</v>
      </c>
      <c r="D809">
        <v>1.2810857347003379E-2</v>
      </c>
      <c r="E809">
        <f t="shared" si="12"/>
        <v>1</v>
      </c>
    </row>
    <row r="810" spans="1:5" x14ac:dyDescent="0.25">
      <c r="A810" s="13">
        <v>41443</v>
      </c>
      <c r="B810" t="s">
        <v>31</v>
      </c>
      <c r="C810">
        <v>448.62918719999999</v>
      </c>
      <c r="D810">
        <v>1.6214324315281248E-2</v>
      </c>
      <c r="E810">
        <f t="shared" si="12"/>
        <v>1</v>
      </c>
    </row>
    <row r="811" spans="1:5" x14ac:dyDescent="0.25">
      <c r="A811" s="13">
        <v>41444</v>
      </c>
      <c r="B811" t="s">
        <v>31</v>
      </c>
      <c r="C811">
        <v>448.6590946</v>
      </c>
      <c r="D811">
        <v>6.6663964033875089E-5</v>
      </c>
      <c r="E811">
        <f t="shared" si="12"/>
        <v>1</v>
      </c>
    </row>
    <row r="812" spans="1:5" x14ac:dyDescent="0.25">
      <c r="A812" s="13">
        <v>41445</v>
      </c>
      <c r="B812" t="s">
        <v>31</v>
      </c>
      <c r="C812">
        <v>440.71883409999998</v>
      </c>
      <c r="D812">
        <v>-1.7697758934495988E-2</v>
      </c>
      <c r="E812">
        <f t="shared" si="12"/>
        <v>0</v>
      </c>
    </row>
    <row r="813" spans="1:5" x14ac:dyDescent="0.25">
      <c r="A813" s="13">
        <v>41446</v>
      </c>
      <c r="B813" t="s">
        <v>31</v>
      </c>
      <c r="C813">
        <v>438.82094289999998</v>
      </c>
      <c r="D813">
        <v>-4.3063537411005548E-3</v>
      </c>
      <c r="E813">
        <f t="shared" si="12"/>
        <v>0</v>
      </c>
    </row>
    <row r="814" spans="1:5" x14ac:dyDescent="0.25">
      <c r="A814" s="13">
        <v>41449</v>
      </c>
      <c r="B814" t="s">
        <v>31</v>
      </c>
      <c r="C814">
        <v>433.27173920000001</v>
      </c>
      <c r="D814">
        <v>-1.2645712994752256E-2</v>
      </c>
      <c r="E814">
        <f t="shared" si="12"/>
        <v>0</v>
      </c>
    </row>
    <row r="815" spans="1:5" x14ac:dyDescent="0.25">
      <c r="A815" s="13">
        <v>41450</v>
      </c>
      <c r="B815" t="s">
        <v>31</v>
      </c>
      <c r="C815">
        <v>431.48343620000003</v>
      </c>
      <c r="D815">
        <v>-4.1274397524794226E-3</v>
      </c>
      <c r="E815">
        <f t="shared" si="12"/>
        <v>0</v>
      </c>
    </row>
    <row r="816" spans="1:5" x14ac:dyDescent="0.25">
      <c r="A816" s="13">
        <v>41451</v>
      </c>
      <c r="B816" t="s">
        <v>31</v>
      </c>
      <c r="C816">
        <v>435.19453299999998</v>
      </c>
      <c r="D816">
        <v>8.6007862380139688E-3</v>
      </c>
      <c r="E816">
        <f t="shared" si="12"/>
        <v>1</v>
      </c>
    </row>
    <row r="817" spans="1:5" x14ac:dyDescent="0.25">
      <c r="A817" s="13">
        <v>41452</v>
      </c>
      <c r="B817" t="s">
        <v>31</v>
      </c>
      <c r="C817">
        <v>436.89814899999999</v>
      </c>
      <c r="D817">
        <v>3.9146079989933469E-3</v>
      </c>
      <c r="E817">
        <f t="shared" si="12"/>
        <v>1</v>
      </c>
    </row>
    <row r="818" spans="1:5" x14ac:dyDescent="0.25">
      <c r="A818" s="13">
        <v>41453</v>
      </c>
      <c r="B818" t="s">
        <v>31</v>
      </c>
      <c r="C818">
        <v>438.54198100000002</v>
      </c>
      <c r="D818">
        <v>3.7625062128612274E-3</v>
      </c>
      <c r="E818">
        <f t="shared" si="12"/>
        <v>1</v>
      </c>
    </row>
    <row r="819" spans="1:5" x14ac:dyDescent="0.25">
      <c r="A819" s="13">
        <v>41456</v>
      </c>
      <c r="B819" t="s">
        <v>31</v>
      </c>
      <c r="C819">
        <v>442.28298480000001</v>
      </c>
      <c r="D819">
        <v>8.5305488689348952E-3</v>
      </c>
      <c r="E819">
        <f t="shared" si="12"/>
        <v>1</v>
      </c>
    </row>
    <row r="820" spans="1:5" x14ac:dyDescent="0.25">
      <c r="A820" s="13">
        <v>41457</v>
      </c>
      <c r="B820" t="s">
        <v>31</v>
      </c>
      <c r="C820">
        <v>439.50838320000003</v>
      </c>
      <c r="D820">
        <v>-6.2733627459230501E-3</v>
      </c>
      <c r="E820">
        <f t="shared" si="12"/>
        <v>0</v>
      </c>
    </row>
    <row r="821" spans="1:5" x14ac:dyDescent="0.25">
      <c r="A821" s="13">
        <v>41458</v>
      </c>
      <c r="B821" t="s">
        <v>31</v>
      </c>
      <c r="C821">
        <v>441.56069359999998</v>
      </c>
      <c r="D821">
        <v>4.6695591675802728E-3</v>
      </c>
      <c r="E821">
        <f t="shared" si="12"/>
        <v>1</v>
      </c>
    </row>
    <row r="822" spans="1:5" x14ac:dyDescent="0.25">
      <c r="A822" s="13">
        <v>41460</v>
      </c>
      <c r="B822" t="s">
        <v>31</v>
      </c>
      <c r="C822">
        <v>445.07751469999999</v>
      </c>
      <c r="D822">
        <v>7.9645248115898237E-3</v>
      </c>
      <c r="E822">
        <f t="shared" si="12"/>
        <v>1</v>
      </c>
    </row>
    <row r="823" spans="1:5" x14ac:dyDescent="0.25">
      <c r="A823" s="13">
        <v>41463</v>
      </c>
      <c r="B823" t="s">
        <v>31</v>
      </c>
      <c r="C823">
        <v>450.85584510000001</v>
      </c>
      <c r="D823">
        <v>1.2982750665117004E-2</v>
      </c>
      <c r="E823">
        <f t="shared" si="12"/>
        <v>1</v>
      </c>
    </row>
    <row r="824" spans="1:5" x14ac:dyDescent="0.25">
      <c r="A824" s="13">
        <v>41464</v>
      </c>
      <c r="B824" t="s">
        <v>31</v>
      </c>
      <c r="C824">
        <v>450.93058300000001</v>
      </c>
      <c r="D824">
        <v>1.6576894990327773E-4</v>
      </c>
      <c r="E824">
        <f t="shared" si="12"/>
        <v>1</v>
      </c>
    </row>
    <row r="825" spans="1:5" x14ac:dyDescent="0.25">
      <c r="A825" s="13">
        <v>41465</v>
      </c>
      <c r="B825" t="s">
        <v>31</v>
      </c>
      <c r="C825">
        <v>451.3041796</v>
      </c>
      <c r="D825">
        <v>8.2850135715895057E-4</v>
      </c>
      <c r="E825">
        <f t="shared" si="12"/>
        <v>1</v>
      </c>
    </row>
    <row r="826" spans="1:5" x14ac:dyDescent="0.25">
      <c r="A826" s="13">
        <v>41466</v>
      </c>
      <c r="B826" t="s">
        <v>31</v>
      </c>
      <c r="C826">
        <v>458.40258060000002</v>
      </c>
      <c r="D826">
        <v>1.5728640063319421E-2</v>
      </c>
      <c r="E826">
        <f t="shared" si="12"/>
        <v>1</v>
      </c>
    </row>
    <row r="827" spans="1:5" x14ac:dyDescent="0.25">
      <c r="A827" s="13">
        <v>41467</v>
      </c>
      <c r="B827" t="s">
        <v>31</v>
      </c>
      <c r="C827">
        <v>459.77743029999999</v>
      </c>
      <c r="D827">
        <v>2.9992189358978294E-3</v>
      </c>
      <c r="E827">
        <f t="shared" si="12"/>
        <v>1</v>
      </c>
    </row>
    <row r="828" spans="1:5" x14ac:dyDescent="0.25">
      <c r="A828" s="13">
        <v>41470</v>
      </c>
      <c r="B828" t="s">
        <v>31</v>
      </c>
      <c r="C828">
        <v>460.61928979999999</v>
      </c>
      <c r="D828">
        <v>1.8310152793943324E-3</v>
      </c>
      <c r="E828">
        <f t="shared" si="12"/>
        <v>1</v>
      </c>
    </row>
    <row r="829" spans="1:5" x14ac:dyDescent="0.25">
      <c r="A829" s="13">
        <v>41471</v>
      </c>
      <c r="B829" t="s">
        <v>31</v>
      </c>
      <c r="C829">
        <v>458.08876780000003</v>
      </c>
      <c r="D829">
        <v>-5.4937386601823235E-3</v>
      </c>
      <c r="E829">
        <f t="shared" si="12"/>
        <v>0</v>
      </c>
    </row>
    <row r="830" spans="1:5" x14ac:dyDescent="0.25">
      <c r="A830" s="13">
        <v>41472</v>
      </c>
      <c r="B830" t="s">
        <v>31</v>
      </c>
      <c r="C830">
        <v>457.56075149999998</v>
      </c>
      <c r="D830">
        <v>-1.1526506151545712E-3</v>
      </c>
      <c r="E830">
        <f t="shared" si="12"/>
        <v>0</v>
      </c>
    </row>
    <row r="831" spans="1:5" x14ac:dyDescent="0.25">
      <c r="A831" s="13">
        <v>41473</v>
      </c>
      <c r="B831" t="s">
        <v>31</v>
      </c>
      <c r="C831">
        <v>453.6404263</v>
      </c>
      <c r="D831">
        <v>-8.5678791005306953E-3</v>
      </c>
      <c r="E831">
        <f t="shared" si="12"/>
        <v>0</v>
      </c>
    </row>
    <row r="832" spans="1:5" x14ac:dyDescent="0.25">
      <c r="A832" s="13">
        <v>41474</v>
      </c>
      <c r="B832" t="s">
        <v>31</v>
      </c>
      <c r="C832">
        <v>446.62671189999998</v>
      </c>
      <c r="D832">
        <v>-1.5460955402951115E-2</v>
      </c>
      <c r="E832">
        <f t="shared" si="12"/>
        <v>0</v>
      </c>
    </row>
    <row r="833" spans="1:5" x14ac:dyDescent="0.25">
      <c r="A833" s="13">
        <v>41477</v>
      </c>
      <c r="B833" t="s">
        <v>31</v>
      </c>
      <c r="C833">
        <v>453.650375</v>
      </c>
      <c r="D833">
        <v>1.5726025588842507E-2</v>
      </c>
      <c r="E833">
        <f t="shared" si="12"/>
        <v>1</v>
      </c>
    </row>
    <row r="834" spans="1:5" x14ac:dyDescent="0.25">
      <c r="A834" s="13">
        <v>41478</v>
      </c>
      <c r="B834" t="s">
        <v>31</v>
      </c>
      <c r="C834">
        <v>450.21326570000002</v>
      </c>
      <c r="D834">
        <v>-7.5765600326020976E-3</v>
      </c>
      <c r="E834">
        <f t="shared" si="12"/>
        <v>0</v>
      </c>
    </row>
    <row r="835" spans="1:5" x14ac:dyDescent="0.25">
      <c r="A835" s="13">
        <v>41479</v>
      </c>
      <c r="B835" t="s">
        <v>31</v>
      </c>
      <c r="C835">
        <v>449.76493110000001</v>
      </c>
      <c r="D835">
        <v>-9.9582716493906709E-4</v>
      </c>
      <c r="E835">
        <f t="shared" ref="E835:E898" si="13">IF(D835&gt;0,1,0)</f>
        <v>0</v>
      </c>
    </row>
    <row r="836" spans="1:5" x14ac:dyDescent="0.25">
      <c r="A836" s="13">
        <v>41480</v>
      </c>
      <c r="B836" t="s">
        <v>31</v>
      </c>
      <c r="C836">
        <v>442.19332439999999</v>
      </c>
      <c r="D836">
        <v>-1.6834586639474014E-2</v>
      </c>
      <c r="E836">
        <f t="shared" si="13"/>
        <v>0</v>
      </c>
    </row>
    <row r="837" spans="1:5" x14ac:dyDescent="0.25">
      <c r="A837" s="13">
        <v>41481</v>
      </c>
      <c r="B837" t="s">
        <v>31</v>
      </c>
      <c r="C837">
        <v>441.02269819999998</v>
      </c>
      <c r="D837">
        <v>-2.6473176671955034E-3</v>
      </c>
      <c r="E837">
        <f t="shared" si="13"/>
        <v>0</v>
      </c>
    </row>
    <row r="838" spans="1:5" x14ac:dyDescent="0.25">
      <c r="A838" s="13">
        <v>41484</v>
      </c>
      <c r="B838" t="s">
        <v>31</v>
      </c>
      <c r="C838">
        <v>439.48845490000002</v>
      </c>
      <c r="D838">
        <v>-3.4788306957030946E-3</v>
      </c>
      <c r="E838">
        <f t="shared" si="13"/>
        <v>0</v>
      </c>
    </row>
    <row r="839" spans="1:5" x14ac:dyDescent="0.25">
      <c r="A839" s="13">
        <v>41485</v>
      </c>
      <c r="B839" t="s">
        <v>31</v>
      </c>
      <c r="C839">
        <v>443.79730030000002</v>
      </c>
      <c r="D839">
        <v>9.8042288755466611E-3</v>
      </c>
      <c r="E839">
        <f t="shared" si="13"/>
        <v>1</v>
      </c>
    </row>
    <row r="840" spans="1:5" x14ac:dyDescent="0.25">
      <c r="A840" s="13">
        <v>41486</v>
      </c>
      <c r="B840" t="s">
        <v>31</v>
      </c>
      <c r="C840">
        <v>442.21822650000001</v>
      </c>
      <c r="D840">
        <v>-3.5580969035471366E-3</v>
      </c>
      <c r="E840">
        <f t="shared" si="13"/>
        <v>0</v>
      </c>
    </row>
    <row r="841" spans="1:5" x14ac:dyDescent="0.25">
      <c r="A841" s="13">
        <v>41487</v>
      </c>
      <c r="B841" t="s">
        <v>31</v>
      </c>
      <c r="C841">
        <v>450.4224949</v>
      </c>
      <c r="D841">
        <v>1.8552533361037238E-2</v>
      </c>
      <c r="E841">
        <f t="shared" si="13"/>
        <v>1</v>
      </c>
    </row>
    <row r="842" spans="1:5" x14ac:dyDescent="0.25">
      <c r="A842" s="13">
        <v>41488</v>
      </c>
      <c r="B842" t="s">
        <v>31</v>
      </c>
      <c r="C842">
        <v>451.59309020000001</v>
      </c>
      <c r="D842">
        <v>2.5988828561058774E-3</v>
      </c>
      <c r="E842">
        <f t="shared" si="13"/>
        <v>1</v>
      </c>
    </row>
    <row r="843" spans="1:5" x14ac:dyDescent="0.25">
      <c r="A843" s="13">
        <v>41491</v>
      </c>
      <c r="B843" t="s">
        <v>31</v>
      </c>
      <c r="C843">
        <v>450.81101460000002</v>
      </c>
      <c r="D843">
        <v>-1.7318148062310801E-3</v>
      </c>
      <c r="E843">
        <f t="shared" si="13"/>
        <v>0</v>
      </c>
    </row>
    <row r="844" spans="1:5" x14ac:dyDescent="0.25">
      <c r="A844" s="13">
        <v>41492</v>
      </c>
      <c r="B844" t="s">
        <v>31</v>
      </c>
      <c r="C844">
        <v>446.61175800000001</v>
      </c>
      <c r="D844">
        <v>-9.3148935230119578E-3</v>
      </c>
      <c r="E844">
        <f t="shared" si="13"/>
        <v>0</v>
      </c>
    </row>
    <row r="845" spans="1:5" x14ac:dyDescent="0.25">
      <c r="A845" s="13">
        <v>41493</v>
      </c>
      <c r="B845" t="s">
        <v>31</v>
      </c>
      <c r="C845">
        <v>443.66280890000002</v>
      </c>
      <c r="D845">
        <v>-6.6029365487506597E-3</v>
      </c>
      <c r="E845">
        <f t="shared" si="13"/>
        <v>0</v>
      </c>
    </row>
    <row r="846" spans="1:5" x14ac:dyDescent="0.25">
      <c r="A846" s="13">
        <v>41494</v>
      </c>
      <c r="B846" t="s">
        <v>31</v>
      </c>
      <c r="C846">
        <v>444.66406189999998</v>
      </c>
      <c r="D846">
        <v>2.2567882182471521E-3</v>
      </c>
      <c r="E846">
        <f t="shared" si="13"/>
        <v>1</v>
      </c>
    </row>
    <row r="847" spans="1:5" x14ac:dyDescent="0.25">
      <c r="A847" s="13">
        <v>41495</v>
      </c>
      <c r="B847" t="s">
        <v>31</v>
      </c>
      <c r="C847">
        <v>443.54324100000002</v>
      </c>
      <c r="D847">
        <v>-2.520601496803665E-3</v>
      </c>
      <c r="E847">
        <f t="shared" si="13"/>
        <v>0</v>
      </c>
    </row>
    <row r="848" spans="1:5" x14ac:dyDescent="0.25">
      <c r="A848" s="13">
        <v>41498</v>
      </c>
      <c r="B848" t="s">
        <v>31</v>
      </c>
      <c r="C848">
        <v>441.1024104</v>
      </c>
      <c r="D848">
        <v>-5.5030273812695096E-3</v>
      </c>
      <c r="E848">
        <f t="shared" si="13"/>
        <v>0</v>
      </c>
    </row>
    <row r="849" spans="1:5" x14ac:dyDescent="0.25">
      <c r="A849" s="13">
        <v>41499</v>
      </c>
      <c r="B849" t="s">
        <v>31</v>
      </c>
      <c r="C849">
        <v>438.9803364</v>
      </c>
      <c r="D849">
        <v>-4.8108419948911241E-3</v>
      </c>
      <c r="E849">
        <f t="shared" si="13"/>
        <v>0</v>
      </c>
    </row>
    <row r="850" spans="1:5" x14ac:dyDescent="0.25">
      <c r="A850" s="13">
        <v>41500</v>
      </c>
      <c r="B850" t="s">
        <v>31</v>
      </c>
      <c r="C850">
        <v>433.28168790000001</v>
      </c>
      <c r="D850">
        <v>-1.298155754932806E-2</v>
      </c>
      <c r="E850">
        <f t="shared" si="13"/>
        <v>0</v>
      </c>
    </row>
    <row r="851" spans="1:5" x14ac:dyDescent="0.25">
      <c r="A851" s="13">
        <v>41501</v>
      </c>
      <c r="B851" t="s">
        <v>31</v>
      </c>
      <c r="C851">
        <v>428.2256486</v>
      </c>
      <c r="D851">
        <v>-1.1669173752773321E-2</v>
      </c>
      <c r="E851">
        <f t="shared" si="13"/>
        <v>0</v>
      </c>
    </row>
    <row r="852" spans="1:5" x14ac:dyDescent="0.25">
      <c r="A852" s="13">
        <v>41502</v>
      </c>
      <c r="B852" t="s">
        <v>31</v>
      </c>
      <c r="C852">
        <v>426.85577330000001</v>
      </c>
      <c r="D852">
        <v>-3.1989566820168625E-3</v>
      </c>
      <c r="E852">
        <f t="shared" si="13"/>
        <v>0</v>
      </c>
    </row>
    <row r="853" spans="1:5" x14ac:dyDescent="0.25">
      <c r="A853" s="13">
        <v>41505</v>
      </c>
      <c r="B853" t="s">
        <v>31</v>
      </c>
      <c r="C853">
        <v>431.20944909999997</v>
      </c>
      <c r="D853">
        <v>1.0199407088586243E-2</v>
      </c>
      <c r="E853">
        <f t="shared" si="13"/>
        <v>1</v>
      </c>
    </row>
    <row r="854" spans="1:5" x14ac:dyDescent="0.25">
      <c r="A854" s="13">
        <v>41506</v>
      </c>
      <c r="B854" t="s">
        <v>31</v>
      </c>
      <c r="C854">
        <v>431.09488599999997</v>
      </c>
      <c r="D854">
        <v>-2.6567854725612072E-4</v>
      </c>
      <c r="E854">
        <f t="shared" si="13"/>
        <v>0</v>
      </c>
    </row>
    <row r="855" spans="1:5" x14ac:dyDescent="0.25">
      <c r="A855" s="13">
        <v>41507</v>
      </c>
      <c r="B855" t="s">
        <v>31</v>
      </c>
      <c r="C855">
        <v>433.0425821</v>
      </c>
      <c r="D855">
        <v>4.5180218166633868E-3</v>
      </c>
      <c r="E855">
        <f t="shared" si="13"/>
        <v>1</v>
      </c>
    </row>
    <row r="856" spans="1:5" x14ac:dyDescent="0.25">
      <c r="A856" s="13">
        <v>41508</v>
      </c>
      <c r="B856" t="s">
        <v>31</v>
      </c>
      <c r="C856">
        <v>435.2244096</v>
      </c>
      <c r="D856">
        <v>5.0383671033444877E-3</v>
      </c>
      <c r="E856">
        <f t="shared" si="13"/>
        <v>1</v>
      </c>
    </row>
    <row r="857" spans="1:5" x14ac:dyDescent="0.25">
      <c r="A857" s="13">
        <v>41509</v>
      </c>
      <c r="B857" t="s">
        <v>31</v>
      </c>
      <c r="C857">
        <v>433.4809679</v>
      </c>
      <c r="D857">
        <v>-4.0058454019211709E-3</v>
      </c>
      <c r="E857">
        <f t="shared" si="13"/>
        <v>0</v>
      </c>
    </row>
    <row r="858" spans="1:5" x14ac:dyDescent="0.25">
      <c r="A858" s="13">
        <v>41512</v>
      </c>
      <c r="B858" t="s">
        <v>31</v>
      </c>
      <c r="C858">
        <v>431.5780714</v>
      </c>
      <c r="D858">
        <v>-4.389804030425104E-3</v>
      </c>
      <c r="E858">
        <f t="shared" si="13"/>
        <v>0</v>
      </c>
    </row>
    <row r="859" spans="1:5" x14ac:dyDescent="0.25">
      <c r="A859" s="13">
        <v>41513</v>
      </c>
      <c r="B859" t="s">
        <v>31</v>
      </c>
      <c r="C859">
        <v>423.48839700000002</v>
      </c>
      <c r="D859">
        <v>-1.8744405557394983E-2</v>
      </c>
      <c r="E859">
        <f t="shared" si="13"/>
        <v>0</v>
      </c>
    </row>
    <row r="860" spans="1:5" x14ac:dyDescent="0.25">
      <c r="A860" s="13">
        <v>41514</v>
      </c>
      <c r="B860" t="s">
        <v>31</v>
      </c>
      <c r="C860">
        <v>422.69136800000001</v>
      </c>
      <c r="D860">
        <v>-1.8820562868928636E-3</v>
      </c>
      <c r="E860">
        <f t="shared" si="13"/>
        <v>0</v>
      </c>
    </row>
    <row r="861" spans="1:5" x14ac:dyDescent="0.25">
      <c r="A861" s="13">
        <v>41515</v>
      </c>
      <c r="B861" t="s">
        <v>31</v>
      </c>
      <c r="C861">
        <v>426.11852859999999</v>
      </c>
      <c r="D861">
        <v>8.1079502905769818E-3</v>
      </c>
      <c r="E861">
        <f t="shared" si="13"/>
        <v>1</v>
      </c>
    </row>
    <row r="862" spans="1:5" x14ac:dyDescent="0.25">
      <c r="A862" s="13">
        <v>41516</v>
      </c>
      <c r="B862" t="s">
        <v>31</v>
      </c>
      <c r="C862">
        <v>421.86946719999997</v>
      </c>
      <c r="D862">
        <v>-9.971548090058846E-3</v>
      </c>
      <c r="E862">
        <f t="shared" si="13"/>
        <v>0</v>
      </c>
    </row>
    <row r="863" spans="1:5" x14ac:dyDescent="0.25">
      <c r="A863" s="13">
        <v>41520</v>
      </c>
      <c r="B863" t="s">
        <v>31</v>
      </c>
      <c r="C863">
        <v>428.58429189999998</v>
      </c>
      <c r="D863">
        <v>1.5916830256920811E-2</v>
      </c>
      <c r="E863">
        <f t="shared" si="13"/>
        <v>1</v>
      </c>
    </row>
    <row r="864" spans="1:5" x14ac:dyDescent="0.25">
      <c r="A864" s="13">
        <v>41521</v>
      </c>
      <c r="B864" t="s">
        <v>31</v>
      </c>
      <c r="C864">
        <v>434.18830559999998</v>
      </c>
      <c r="D864">
        <v>1.3075639508756343E-2</v>
      </c>
      <c r="E864">
        <f t="shared" si="13"/>
        <v>1</v>
      </c>
    </row>
    <row r="865" spans="1:5" x14ac:dyDescent="0.25">
      <c r="A865" s="13">
        <v>41522</v>
      </c>
      <c r="B865" t="s">
        <v>31</v>
      </c>
      <c r="C865">
        <v>438.13850780000001</v>
      </c>
      <c r="D865">
        <v>9.0979009546130474E-3</v>
      </c>
      <c r="E865">
        <f t="shared" si="13"/>
        <v>1</v>
      </c>
    </row>
    <row r="866" spans="1:5" x14ac:dyDescent="0.25">
      <c r="A866" s="13">
        <v>41523</v>
      </c>
      <c r="B866" t="s">
        <v>31</v>
      </c>
      <c r="C866">
        <v>438.14845650000001</v>
      </c>
      <c r="D866">
        <v>2.270674643489734E-5</v>
      </c>
      <c r="E866">
        <f t="shared" si="13"/>
        <v>1</v>
      </c>
    </row>
    <row r="867" spans="1:5" x14ac:dyDescent="0.25">
      <c r="A867" s="13">
        <v>41526</v>
      </c>
      <c r="B867" t="s">
        <v>31</v>
      </c>
      <c r="C867">
        <v>442.36767140000001</v>
      </c>
      <c r="D867">
        <v>9.6296468409446945E-3</v>
      </c>
      <c r="E867">
        <f t="shared" si="13"/>
        <v>1</v>
      </c>
    </row>
    <row r="868" spans="1:5" x14ac:dyDescent="0.25">
      <c r="A868" s="13">
        <v>41527</v>
      </c>
      <c r="B868" t="s">
        <v>31</v>
      </c>
      <c r="C868">
        <v>442.67650980000002</v>
      </c>
      <c r="D868">
        <v>6.9814866674722253E-4</v>
      </c>
      <c r="E868">
        <f t="shared" si="13"/>
        <v>1</v>
      </c>
    </row>
    <row r="869" spans="1:5" x14ac:dyDescent="0.25">
      <c r="A869" s="13">
        <v>41528</v>
      </c>
      <c r="B869" t="s">
        <v>31</v>
      </c>
      <c r="C869">
        <v>446.42245750000001</v>
      </c>
      <c r="D869">
        <v>8.4620430880608666E-3</v>
      </c>
      <c r="E869">
        <f t="shared" si="13"/>
        <v>1</v>
      </c>
    </row>
    <row r="870" spans="1:5" x14ac:dyDescent="0.25">
      <c r="A870" s="13">
        <v>41529</v>
      </c>
      <c r="B870" t="s">
        <v>31</v>
      </c>
      <c r="C870">
        <v>444.86331159999997</v>
      </c>
      <c r="D870">
        <v>-3.4925346469605323E-3</v>
      </c>
      <c r="E870">
        <f t="shared" si="13"/>
        <v>0</v>
      </c>
    </row>
    <row r="871" spans="1:5" x14ac:dyDescent="0.25">
      <c r="A871" s="13">
        <v>41530</v>
      </c>
      <c r="B871" t="s">
        <v>31</v>
      </c>
      <c r="C871">
        <v>442.87575939999999</v>
      </c>
      <c r="D871">
        <v>-4.4677817841429768E-3</v>
      </c>
      <c r="E871">
        <f t="shared" si="13"/>
        <v>0</v>
      </c>
    </row>
    <row r="872" spans="1:5" x14ac:dyDescent="0.25">
      <c r="A872" s="13">
        <v>41533</v>
      </c>
      <c r="B872" t="s">
        <v>31</v>
      </c>
      <c r="C872">
        <v>442.22320089999999</v>
      </c>
      <c r="D872">
        <v>-1.4734572533029455E-3</v>
      </c>
      <c r="E872">
        <f t="shared" si="13"/>
        <v>0</v>
      </c>
    </row>
    <row r="873" spans="1:5" x14ac:dyDescent="0.25">
      <c r="A873" s="13">
        <v>41534</v>
      </c>
      <c r="B873" t="s">
        <v>31</v>
      </c>
      <c r="C873">
        <v>441.4012697</v>
      </c>
      <c r="D873">
        <v>-1.8586342786339749E-3</v>
      </c>
      <c r="E873">
        <f t="shared" si="13"/>
        <v>0</v>
      </c>
    </row>
    <row r="874" spans="1:5" x14ac:dyDescent="0.25">
      <c r="A874" s="13">
        <v>41535</v>
      </c>
      <c r="B874" t="s">
        <v>31</v>
      </c>
      <c r="C874">
        <v>449.97416040000002</v>
      </c>
      <c r="D874">
        <v>1.9421989215904656E-2</v>
      </c>
      <c r="E874">
        <f t="shared" si="13"/>
        <v>1</v>
      </c>
    </row>
    <row r="875" spans="1:5" x14ac:dyDescent="0.25">
      <c r="A875" s="13">
        <v>41536</v>
      </c>
      <c r="B875" t="s">
        <v>31</v>
      </c>
      <c r="C875">
        <v>447.5183758</v>
      </c>
      <c r="D875">
        <v>-5.4576124944973881E-3</v>
      </c>
      <c r="E875">
        <f t="shared" si="13"/>
        <v>0</v>
      </c>
    </row>
    <row r="876" spans="1:5" x14ac:dyDescent="0.25">
      <c r="A876" s="13">
        <v>41537</v>
      </c>
      <c r="B876" t="s">
        <v>31</v>
      </c>
      <c r="C876">
        <v>449.86954600000001</v>
      </c>
      <c r="D876">
        <v>5.2537958822294062E-3</v>
      </c>
      <c r="E876">
        <f t="shared" si="13"/>
        <v>1</v>
      </c>
    </row>
    <row r="877" spans="1:5" x14ac:dyDescent="0.25">
      <c r="A877" s="13">
        <v>41540</v>
      </c>
      <c r="B877" t="s">
        <v>31</v>
      </c>
      <c r="C877">
        <v>441.59554500000002</v>
      </c>
      <c r="D877">
        <v>-1.8392000689017474E-2</v>
      </c>
      <c r="E877">
        <f t="shared" si="13"/>
        <v>0</v>
      </c>
    </row>
    <row r="878" spans="1:5" x14ac:dyDescent="0.25">
      <c r="A878" s="13">
        <v>41541</v>
      </c>
      <c r="B878" t="s">
        <v>31</v>
      </c>
      <c r="C878">
        <v>441.76491759999999</v>
      </c>
      <c r="D878">
        <v>3.8354689470421199E-4</v>
      </c>
      <c r="E878">
        <f t="shared" si="13"/>
        <v>1</v>
      </c>
    </row>
    <row r="879" spans="1:5" x14ac:dyDescent="0.25">
      <c r="A879" s="13">
        <v>41542</v>
      </c>
      <c r="B879" t="s">
        <v>31</v>
      </c>
      <c r="C879">
        <v>436.97786120000001</v>
      </c>
      <c r="D879">
        <v>-1.083620769618121E-2</v>
      </c>
      <c r="E879">
        <f t="shared" si="13"/>
        <v>0</v>
      </c>
    </row>
    <row r="880" spans="1:5" x14ac:dyDescent="0.25">
      <c r="A880" s="13">
        <v>41543</v>
      </c>
      <c r="B880" t="s">
        <v>31</v>
      </c>
      <c r="C880">
        <v>437.44609309999998</v>
      </c>
      <c r="D880">
        <v>1.0715231630136213E-3</v>
      </c>
      <c r="E880">
        <f t="shared" si="13"/>
        <v>1</v>
      </c>
    </row>
    <row r="881" spans="1:5" x14ac:dyDescent="0.25">
      <c r="A881" s="13">
        <v>41544</v>
      </c>
      <c r="B881" t="s">
        <v>31</v>
      </c>
      <c r="C881">
        <v>436.55943409999998</v>
      </c>
      <c r="D881">
        <v>-2.0268988887673922E-3</v>
      </c>
      <c r="E881">
        <f t="shared" si="13"/>
        <v>0</v>
      </c>
    </row>
    <row r="882" spans="1:5" x14ac:dyDescent="0.25">
      <c r="A882" s="13">
        <v>41547</v>
      </c>
      <c r="B882" t="s">
        <v>31</v>
      </c>
      <c r="C882">
        <v>436.32032830000003</v>
      </c>
      <c r="D882">
        <v>-5.4770503469447895E-4</v>
      </c>
      <c r="E882">
        <f t="shared" si="13"/>
        <v>0</v>
      </c>
    </row>
    <row r="883" spans="1:5" x14ac:dyDescent="0.25">
      <c r="A883" s="13">
        <v>41548</v>
      </c>
      <c r="B883" t="s">
        <v>31</v>
      </c>
      <c r="C883">
        <v>441.84462989999997</v>
      </c>
      <c r="D883">
        <v>1.2661114419132868E-2</v>
      </c>
      <c r="E883">
        <f t="shared" si="13"/>
        <v>1</v>
      </c>
    </row>
    <row r="884" spans="1:5" x14ac:dyDescent="0.25">
      <c r="A884" s="13">
        <v>41549</v>
      </c>
      <c r="B884" t="s">
        <v>31</v>
      </c>
      <c r="C884">
        <v>442.33776399999999</v>
      </c>
      <c r="D884">
        <v>1.1160803292136201E-3</v>
      </c>
      <c r="E884">
        <f t="shared" si="13"/>
        <v>1</v>
      </c>
    </row>
    <row r="885" spans="1:5" x14ac:dyDescent="0.25">
      <c r="A885" s="13">
        <v>41550</v>
      </c>
      <c r="B885" t="s">
        <v>31</v>
      </c>
      <c r="C885">
        <v>436.40998919999998</v>
      </c>
      <c r="D885">
        <v>-1.3401014524276555E-2</v>
      </c>
      <c r="E885">
        <f t="shared" si="13"/>
        <v>0</v>
      </c>
    </row>
    <row r="886" spans="1:5" x14ac:dyDescent="0.25">
      <c r="A886" s="13">
        <v>41551</v>
      </c>
      <c r="B886" t="s">
        <v>31</v>
      </c>
      <c r="C886">
        <v>434.54694890000002</v>
      </c>
      <c r="D886">
        <v>-4.269013877100214E-3</v>
      </c>
      <c r="E886">
        <f t="shared" si="13"/>
        <v>0</v>
      </c>
    </row>
    <row r="887" spans="1:5" x14ac:dyDescent="0.25">
      <c r="A887" s="13">
        <v>41554</v>
      </c>
      <c r="B887" t="s">
        <v>31</v>
      </c>
      <c r="C887">
        <v>431.25430999999998</v>
      </c>
      <c r="D887">
        <v>-7.5771764324543689E-3</v>
      </c>
      <c r="E887">
        <f t="shared" si="13"/>
        <v>0</v>
      </c>
    </row>
    <row r="888" spans="1:5" x14ac:dyDescent="0.25">
      <c r="A888" s="13">
        <v>41555</v>
      </c>
      <c r="B888" t="s">
        <v>31</v>
      </c>
      <c r="C888">
        <v>425.24181829999998</v>
      </c>
      <c r="D888">
        <v>-1.3941870401248835E-2</v>
      </c>
      <c r="E888">
        <f t="shared" si="13"/>
        <v>0</v>
      </c>
    </row>
    <row r="889" spans="1:5" x14ac:dyDescent="0.25">
      <c r="A889" s="13">
        <v>41556</v>
      </c>
      <c r="B889" t="s">
        <v>31</v>
      </c>
      <c r="C889">
        <v>426.33273179999998</v>
      </c>
      <c r="D889">
        <v>2.5653956244500176E-3</v>
      </c>
      <c r="E889">
        <f t="shared" si="13"/>
        <v>1</v>
      </c>
    </row>
    <row r="890" spans="1:5" x14ac:dyDescent="0.25">
      <c r="A890" s="13">
        <v>41557</v>
      </c>
      <c r="B890" t="s">
        <v>31</v>
      </c>
      <c r="C890">
        <v>432.49964319999998</v>
      </c>
      <c r="D890">
        <v>1.4465019783873823E-2</v>
      </c>
      <c r="E890">
        <f t="shared" si="13"/>
        <v>1</v>
      </c>
    </row>
    <row r="891" spans="1:5" x14ac:dyDescent="0.25">
      <c r="A891" s="13">
        <v>41558</v>
      </c>
      <c r="B891" t="s">
        <v>31</v>
      </c>
      <c r="C891">
        <v>434.36762700000003</v>
      </c>
      <c r="D891">
        <v>4.3190412509455101E-3</v>
      </c>
      <c r="E891">
        <f t="shared" si="13"/>
        <v>1</v>
      </c>
    </row>
    <row r="892" spans="1:5" x14ac:dyDescent="0.25">
      <c r="A892" s="13">
        <v>41561</v>
      </c>
      <c r="B892" t="s">
        <v>31</v>
      </c>
      <c r="C892">
        <v>436.41993789999998</v>
      </c>
      <c r="D892">
        <v>4.7248247162765544E-3</v>
      </c>
      <c r="E892">
        <f t="shared" si="13"/>
        <v>1</v>
      </c>
    </row>
    <row r="893" spans="1:5" x14ac:dyDescent="0.25">
      <c r="A893" s="13">
        <v>41562</v>
      </c>
      <c r="B893" t="s">
        <v>31</v>
      </c>
      <c r="C893">
        <v>439.35893829999998</v>
      </c>
      <c r="D893">
        <v>6.7343403560848891E-3</v>
      </c>
      <c r="E893">
        <f t="shared" si="13"/>
        <v>1</v>
      </c>
    </row>
    <row r="894" spans="1:5" x14ac:dyDescent="0.25">
      <c r="A894" s="13">
        <v>41563</v>
      </c>
      <c r="B894" t="s">
        <v>31</v>
      </c>
      <c r="C894">
        <v>447.33902399999999</v>
      </c>
      <c r="D894">
        <v>1.8163021175527039E-2</v>
      </c>
      <c r="E894">
        <f t="shared" si="13"/>
        <v>1</v>
      </c>
    </row>
    <row r="895" spans="1:5" x14ac:dyDescent="0.25">
      <c r="A895" s="13">
        <v>41564</v>
      </c>
      <c r="B895" t="s">
        <v>31</v>
      </c>
      <c r="C895">
        <v>442.73626330000002</v>
      </c>
      <c r="D895">
        <v>-1.0289200031875501E-2</v>
      </c>
      <c r="E895">
        <f t="shared" si="13"/>
        <v>0</v>
      </c>
    </row>
    <row r="896" spans="1:5" x14ac:dyDescent="0.25">
      <c r="A896" s="13">
        <v>41565</v>
      </c>
      <c r="B896" t="s">
        <v>31</v>
      </c>
      <c r="C896">
        <v>503.81742259999999</v>
      </c>
      <c r="D896">
        <v>0.13796285591047486</v>
      </c>
      <c r="E896">
        <f t="shared" si="13"/>
        <v>1</v>
      </c>
    </row>
    <row r="897" spans="1:5" x14ac:dyDescent="0.25">
      <c r="A897" s="13">
        <v>41568</v>
      </c>
      <c r="B897" t="s">
        <v>31</v>
      </c>
      <c r="C897">
        <v>499.77755999999999</v>
      </c>
      <c r="D897">
        <v>-8.0185051544106045E-3</v>
      </c>
      <c r="E897">
        <f t="shared" si="13"/>
        <v>0</v>
      </c>
    </row>
    <row r="898" spans="1:5" x14ac:dyDescent="0.25">
      <c r="A898" s="13">
        <v>41569</v>
      </c>
      <c r="B898" t="s">
        <v>31</v>
      </c>
      <c r="C898">
        <v>501.62067209999998</v>
      </c>
      <c r="D898">
        <v>3.6878648573177575E-3</v>
      </c>
      <c r="E898">
        <f t="shared" si="13"/>
        <v>1</v>
      </c>
    </row>
    <row r="899" spans="1:5" x14ac:dyDescent="0.25">
      <c r="A899" s="13">
        <v>41570</v>
      </c>
      <c r="B899" t="s">
        <v>31</v>
      </c>
      <c r="C899">
        <v>513.78011700000002</v>
      </c>
      <c r="D899">
        <v>2.4240318583951925E-2</v>
      </c>
      <c r="E899">
        <f t="shared" ref="E899:E962" si="14">IF(D899&gt;0,1,0)</f>
        <v>1</v>
      </c>
    </row>
    <row r="900" spans="1:5" x14ac:dyDescent="0.25">
      <c r="A900" s="13">
        <v>41571</v>
      </c>
      <c r="B900" t="s">
        <v>31</v>
      </c>
      <c r="C900">
        <v>510.86104440000003</v>
      </c>
      <c r="D900">
        <v>-5.6815600748519879E-3</v>
      </c>
      <c r="E900">
        <f t="shared" si="14"/>
        <v>0</v>
      </c>
    </row>
    <row r="901" spans="1:5" x14ac:dyDescent="0.25">
      <c r="A901" s="13">
        <v>41572</v>
      </c>
      <c r="B901" t="s">
        <v>31</v>
      </c>
      <c r="C901">
        <v>505.70536559999999</v>
      </c>
      <c r="D901">
        <v>-1.0092135339963781E-2</v>
      </c>
      <c r="E901">
        <f t="shared" si="14"/>
        <v>0</v>
      </c>
    </row>
    <row r="902" spans="1:5" x14ac:dyDescent="0.25">
      <c r="A902" s="13">
        <v>41575</v>
      </c>
      <c r="B902" t="s">
        <v>31</v>
      </c>
      <c r="C902">
        <v>505.60572509999997</v>
      </c>
      <c r="D902">
        <v>-1.9703271267801359E-4</v>
      </c>
      <c r="E902">
        <f t="shared" si="14"/>
        <v>0</v>
      </c>
    </row>
    <row r="903" spans="1:5" x14ac:dyDescent="0.25">
      <c r="A903" s="13">
        <v>41576</v>
      </c>
      <c r="B903" t="s">
        <v>31</v>
      </c>
      <c r="C903">
        <v>516.18606590000002</v>
      </c>
      <c r="D903">
        <v>2.092607000822122E-2</v>
      </c>
      <c r="E903">
        <f t="shared" si="14"/>
        <v>1</v>
      </c>
    </row>
    <row r="904" spans="1:5" x14ac:dyDescent="0.25">
      <c r="A904" s="13">
        <v>41577</v>
      </c>
      <c r="B904" t="s">
        <v>31</v>
      </c>
      <c r="C904">
        <v>513.28695200000004</v>
      </c>
      <c r="D904">
        <v>-5.6164125526039221E-3</v>
      </c>
      <c r="E904">
        <f t="shared" si="14"/>
        <v>0</v>
      </c>
    </row>
    <row r="905" spans="1:5" x14ac:dyDescent="0.25">
      <c r="A905" s="13">
        <v>41578</v>
      </c>
      <c r="B905" t="s">
        <v>31</v>
      </c>
      <c r="C905">
        <v>513.3666637</v>
      </c>
      <c r="D905">
        <v>1.5529656401613856E-4</v>
      </c>
      <c r="E905">
        <f t="shared" si="14"/>
        <v>1</v>
      </c>
    </row>
    <row r="906" spans="1:5" x14ac:dyDescent="0.25">
      <c r="A906" s="13">
        <v>41579</v>
      </c>
      <c r="B906" t="s">
        <v>31</v>
      </c>
      <c r="C906">
        <v>511.6032639</v>
      </c>
      <c r="D906">
        <v>-3.4349713853458752E-3</v>
      </c>
      <c r="E906">
        <f t="shared" si="14"/>
        <v>0</v>
      </c>
    </row>
    <row r="907" spans="1:5" x14ac:dyDescent="0.25">
      <c r="A907" s="13">
        <v>41582</v>
      </c>
      <c r="B907" t="s">
        <v>31</v>
      </c>
      <c r="C907">
        <v>511.14000629999998</v>
      </c>
      <c r="D907">
        <v>-9.055016507685254E-4</v>
      </c>
      <c r="E907">
        <f t="shared" si="14"/>
        <v>0</v>
      </c>
    </row>
    <row r="908" spans="1:5" x14ac:dyDescent="0.25">
      <c r="A908" s="13">
        <v>41583</v>
      </c>
      <c r="B908" t="s">
        <v>31</v>
      </c>
      <c r="C908">
        <v>508.85356439999998</v>
      </c>
      <c r="D908">
        <v>-4.4732203932752457E-3</v>
      </c>
      <c r="E908">
        <f t="shared" si="14"/>
        <v>0</v>
      </c>
    </row>
    <row r="909" spans="1:5" x14ac:dyDescent="0.25">
      <c r="A909" s="13">
        <v>41584</v>
      </c>
      <c r="B909" t="s">
        <v>31</v>
      </c>
      <c r="C909">
        <v>509.46626689999999</v>
      </c>
      <c r="D909">
        <v>1.2040841272724645E-3</v>
      </c>
      <c r="E909">
        <f t="shared" si="14"/>
        <v>1</v>
      </c>
    </row>
    <row r="910" spans="1:5" x14ac:dyDescent="0.25">
      <c r="A910" s="13">
        <v>41585</v>
      </c>
      <c r="B910" t="s">
        <v>31</v>
      </c>
      <c r="C910">
        <v>502.09387839999999</v>
      </c>
      <c r="D910">
        <v>-1.4470807939570784E-2</v>
      </c>
      <c r="E910">
        <f t="shared" si="14"/>
        <v>0</v>
      </c>
    </row>
    <row r="911" spans="1:5" x14ac:dyDescent="0.25">
      <c r="A911" s="13">
        <v>41586</v>
      </c>
      <c r="B911" t="s">
        <v>31</v>
      </c>
      <c r="C911">
        <v>506.11881840000001</v>
      </c>
      <c r="D911">
        <v>8.0163096447742888E-3</v>
      </c>
      <c r="E911">
        <f t="shared" si="14"/>
        <v>1</v>
      </c>
    </row>
    <row r="912" spans="1:5" x14ac:dyDescent="0.25">
      <c r="A912" s="13">
        <v>41589</v>
      </c>
      <c r="B912" t="s">
        <v>31</v>
      </c>
      <c r="C912">
        <v>503.40897460000002</v>
      </c>
      <c r="D912">
        <v>-5.3541652700578313E-3</v>
      </c>
      <c r="E912">
        <f t="shared" si="14"/>
        <v>0</v>
      </c>
    </row>
    <row r="913" spans="1:5" x14ac:dyDescent="0.25">
      <c r="A913" s="13">
        <v>41590</v>
      </c>
      <c r="B913" t="s">
        <v>31</v>
      </c>
      <c r="C913">
        <v>504.00174920000001</v>
      </c>
      <c r="D913">
        <v>1.1775209221707161E-3</v>
      </c>
      <c r="E913">
        <f t="shared" si="14"/>
        <v>1</v>
      </c>
    </row>
    <row r="914" spans="1:5" x14ac:dyDescent="0.25">
      <c r="A914" s="13">
        <v>41591</v>
      </c>
      <c r="B914" t="s">
        <v>31</v>
      </c>
      <c r="C914">
        <v>514.30813290000003</v>
      </c>
      <c r="D914">
        <v>2.0449103036565441E-2</v>
      </c>
      <c r="E914">
        <f t="shared" si="14"/>
        <v>1</v>
      </c>
    </row>
    <row r="915" spans="1:5" x14ac:dyDescent="0.25">
      <c r="A915" s="13">
        <v>41592</v>
      </c>
      <c r="B915" t="s">
        <v>31</v>
      </c>
      <c r="C915">
        <v>515.68295220000005</v>
      </c>
      <c r="D915">
        <v>2.6731432230089336E-3</v>
      </c>
      <c r="E915">
        <f t="shared" si="14"/>
        <v>1</v>
      </c>
    </row>
    <row r="916" spans="1:5" x14ac:dyDescent="0.25">
      <c r="A916" s="13">
        <v>41593</v>
      </c>
      <c r="B916" t="s">
        <v>31</v>
      </c>
      <c r="C916">
        <v>514.85110269999996</v>
      </c>
      <c r="D916">
        <v>-1.6131025787283759E-3</v>
      </c>
      <c r="E916">
        <f t="shared" si="14"/>
        <v>0</v>
      </c>
    </row>
    <row r="917" spans="1:5" x14ac:dyDescent="0.25">
      <c r="A917" s="13">
        <v>41596</v>
      </c>
      <c r="B917" t="s">
        <v>31</v>
      </c>
      <c r="C917">
        <v>513.84981919999996</v>
      </c>
      <c r="D917">
        <v>-1.9448020888933604E-3</v>
      </c>
      <c r="E917">
        <f t="shared" si="14"/>
        <v>0</v>
      </c>
    </row>
    <row r="918" spans="1:5" x14ac:dyDescent="0.25">
      <c r="A918" s="13">
        <v>41597</v>
      </c>
      <c r="B918" t="s">
        <v>31</v>
      </c>
      <c r="C918">
        <v>510.68669740000001</v>
      </c>
      <c r="D918">
        <v>-6.1557320481780975E-3</v>
      </c>
      <c r="E918">
        <f t="shared" si="14"/>
        <v>0</v>
      </c>
    </row>
    <row r="919" spans="1:5" x14ac:dyDescent="0.25">
      <c r="A919" s="13">
        <v>41598</v>
      </c>
      <c r="B919" t="s">
        <v>31</v>
      </c>
      <c r="C919">
        <v>509.24708889999999</v>
      </c>
      <c r="D919">
        <v>-2.8189661241018182E-3</v>
      </c>
      <c r="E919">
        <f t="shared" si="14"/>
        <v>0</v>
      </c>
    </row>
    <row r="920" spans="1:5" x14ac:dyDescent="0.25">
      <c r="A920" s="13">
        <v>41599</v>
      </c>
      <c r="B920" t="s">
        <v>31</v>
      </c>
      <c r="C920">
        <v>515.10513149999997</v>
      </c>
      <c r="D920">
        <v>1.1503340377759796E-2</v>
      </c>
      <c r="E920">
        <f t="shared" si="14"/>
        <v>1</v>
      </c>
    </row>
    <row r="921" spans="1:5" x14ac:dyDescent="0.25">
      <c r="A921" s="13">
        <v>41600</v>
      </c>
      <c r="B921" t="s">
        <v>31</v>
      </c>
      <c r="C921">
        <v>514.01919190000001</v>
      </c>
      <c r="D921">
        <v>-2.1081902190289714E-3</v>
      </c>
      <c r="E921">
        <f t="shared" si="14"/>
        <v>0</v>
      </c>
    </row>
    <row r="922" spans="1:5" x14ac:dyDescent="0.25">
      <c r="A922" s="13">
        <v>41603</v>
      </c>
      <c r="B922" t="s">
        <v>31</v>
      </c>
      <c r="C922">
        <v>521.01303919999998</v>
      </c>
      <c r="D922">
        <v>1.3606198776641376E-2</v>
      </c>
      <c r="E922">
        <f t="shared" si="14"/>
        <v>1</v>
      </c>
    </row>
    <row r="923" spans="1:5" x14ac:dyDescent="0.25">
      <c r="A923" s="13">
        <v>41604</v>
      </c>
      <c r="B923" t="s">
        <v>31</v>
      </c>
      <c r="C923">
        <v>527.2297251</v>
      </c>
      <c r="D923">
        <v>1.1931919994834672E-2</v>
      </c>
      <c r="E923">
        <f t="shared" si="14"/>
        <v>1</v>
      </c>
    </row>
    <row r="924" spans="1:5" x14ac:dyDescent="0.25">
      <c r="A924" s="13">
        <v>41605</v>
      </c>
      <c r="B924" t="s">
        <v>31</v>
      </c>
      <c r="C924">
        <v>529.57097650000003</v>
      </c>
      <c r="D924">
        <v>4.440666541621896E-3</v>
      </c>
      <c r="E924">
        <f t="shared" si="14"/>
        <v>1</v>
      </c>
    </row>
    <row r="925" spans="1:5" x14ac:dyDescent="0.25">
      <c r="A925" s="13">
        <v>41607</v>
      </c>
      <c r="B925" t="s">
        <v>31</v>
      </c>
      <c r="C925">
        <v>527.81749449999995</v>
      </c>
      <c r="D925">
        <v>-3.3111368972466027E-3</v>
      </c>
      <c r="E925">
        <f t="shared" si="14"/>
        <v>0</v>
      </c>
    </row>
    <row r="926" spans="1:5" x14ac:dyDescent="0.25">
      <c r="A926" s="13">
        <v>41610</v>
      </c>
      <c r="B926" t="s">
        <v>31</v>
      </c>
      <c r="C926">
        <v>525.27207980000003</v>
      </c>
      <c r="D926">
        <v>-4.8225281020879418E-3</v>
      </c>
      <c r="E926">
        <f t="shared" si="14"/>
        <v>0</v>
      </c>
    </row>
    <row r="927" spans="1:5" x14ac:dyDescent="0.25">
      <c r="A927" s="13">
        <v>41611</v>
      </c>
      <c r="B927" t="s">
        <v>31</v>
      </c>
      <c r="C927">
        <v>524.6643517</v>
      </c>
      <c r="D927">
        <v>-1.1569777328188646E-3</v>
      </c>
      <c r="E927">
        <f t="shared" si="14"/>
        <v>0</v>
      </c>
    </row>
    <row r="928" spans="1:5" x14ac:dyDescent="0.25">
      <c r="A928" s="13">
        <v>41612</v>
      </c>
      <c r="B928" t="s">
        <v>31</v>
      </c>
      <c r="C928">
        <v>527.1151615</v>
      </c>
      <c r="D928">
        <v>4.6711955787714921E-3</v>
      </c>
      <c r="E928">
        <f t="shared" si="14"/>
        <v>1</v>
      </c>
    </row>
    <row r="929" spans="1:5" x14ac:dyDescent="0.25">
      <c r="A929" s="13">
        <v>41613</v>
      </c>
      <c r="B929" t="s">
        <v>31</v>
      </c>
      <c r="C929">
        <v>526.69670389999999</v>
      </c>
      <c r="D929">
        <v>-7.9386371435274938E-4</v>
      </c>
      <c r="E929">
        <f t="shared" si="14"/>
        <v>0</v>
      </c>
    </row>
    <row r="930" spans="1:5" x14ac:dyDescent="0.25">
      <c r="A930" s="13">
        <v>41614</v>
      </c>
      <c r="B930" t="s">
        <v>31</v>
      </c>
      <c r="C930">
        <v>532.9383527</v>
      </c>
      <c r="D930">
        <v>1.1850556029272319E-2</v>
      </c>
      <c r="E930">
        <f t="shared" si="14"/>
        <v>1</v>
      </c>
    </row>
    <row r="931" spans="1:5" x14ac:dyDescent="0.25">
      <c r="A931" s="13">
        <v>41617</v>
      </c>
      <c r="B931" t="s">
        <v>31</v>
      </c>
      <c r="C931">
        <v>537.05792750000001</v>
      </c>
      <c r="D931">
        <v>7.7299274468223267E-3</v>
      </c>
      <c r="E931">
        <f t="shared" si="14"/>
        <v>1</v>
      </c>
    </row>
    <row r="932" spans="1:5" x14ac:dyDescent="0.25">
      <c r="A932" s="13">
        <v>41618</v>
      </c>
      <c r="B932" t="s">
        <v>31</v>
      </c>
      <c r="C932">
        <v>540.30573600000002</v>
      </c>
      <c r="D932">
        <v>6.047408172743296E-3</v>
      </c>
      <c r="E932">
        <f t="shared" si="14"/>
        <v>1</v>
      </c>
    </row>
    <row r="933" spans="1:5" x14ac:dyDescent="0.25">
      <c r="A933" s="13">
        <v>41619</v>
      </c>
      <c r="B933" t="s">
        <v>31</v>
      </c>
      <c r="C933">
        <v>536.63446529999999</v>
      </c>
      <c r="D933">
        <v>-6.7948023783335199E-3</v>
      </c>
      <c r="E933">
        <f t="shared" si="14"/>
        <v>0</v>
      </c>
    </row>
    <row r="934" spans="1:5" x14ac:dyDescent="0.25">
      <c r="A934" s="13">
        <v>41620</v>
      </c>
      <c r="B934" t="s">
        <v>31</v>
      </c>
      <c r="C934">
        <v>532.98315279999997</v>
      </c>
      <c r="D934">
        <v>-6.8040961512950693E-3</v>
      </c>
      <c r="E934">
        <f t="shared" si="14"/>
        <v>0</v>
      </c>
    </row>
    <row r="935" spans="1:5" x14ac:dyDescent="0.25">
      <c r="A935" s="13">
        <v>41621</v>
      </c>
      <c r="B935" t="s">
        <v>31</v>
      </c>
      <c r="C935">
        <v>528.41527380000002</v>
      </c>
      <c r="D935">
        <v>-8.5704003513109583E-3</v>
      </c>
      <c r="E935">
        <f t="shared" si="14"/>
        <v>0</v>
      </c>
    </row>
    <row r="936" spans="1:5" x14ac:dyDescent="0.25">
      <c r="A936" s="13">
        <v>41624</v>
      </c>
      <c r="B936" t="s">
        <v>31</v>
      </c>
      <c r="C936">
        <v>534.48754989999998</v>
      </c>
      <c r="D936">
        <v>1.1491484824676546E-2</v>
      </c>
      <c r="E936">
        <f t="shared" si="14"/>
        <v>1</v>
      </c>
    </row>
    <row r="937" spans="1:5" x14ac:dyDescent="0.25">
      <c r="A937" s="13">
        <v>41625</v>
      </c>
      <c r="B937" t="s">
        <v>31</v>
      </c>
      <c r="C937">
        <v>532.93334800000002</v>
      </c>
      <c r="D937">
        <v>-2.907835552560134E-3</v>
      </c>
      <c r="E937">
        <f t="shared" si="14"/>
        <v>0</v>
      </c>
    </row>
    <row r="938" spans="1:5" x14ac:dyDescent="0.25">
      <c r="A938" s="13">
        <v>41626</v>
      </c>
      <c r="B938" t="s">
        <v>31</v>
      </c>
      <c r="C938">
        <v>540.35053600000003</v>
      </c>
      <c r="D938">
        <v>1.3917665366288912E-2</v>
      </c>
      <c r="E938">
        <f t="shared" si="14"/>
        <v>1</v>
      </c>
    </row>
    <row r="939" spans="1:5" x14ac:dyDescent="0.25">
      <c r="A939" s="13">
        <v>41627</v>
      </c>
      <c r="B939" t="s">
        <v>31</v>
      </c>
      <c r="C939">
        <v>541.08283719999997</v>
      </c>
      <c r="D939">
        <v>1.3552335959927664E-3</v>
      </c>
      <c r="E939">
        <f t="shared" si="14"/>
        <v>1</v>
      </c>
    </row>
    <row r="940" spans="1:5" x14ac:dyDescent="0.25">
      <c r="A940" s="13">
        <v>41628</v>
      </c>
      <c r="B940" t="s">
        <v>31</v>
      </c>
      <c r="C940">
        <v>548.25594509999996</v>
      </c>
      <c r="D940">
        <v>1.3256949595961132E-2</v>
      </c>
      <c r="E940">
        <f t="shared" si="14"/>
        <v>1</v>
      </c>
    </row>
    <row r="941" spans="1:5" x14ac:dyDescent="0.25">
      <c r="A941" s="13">
        <v>41631</v>
      </c>
      <c r="B941" t="s">
        <v>31</v>
      </c>
      <c r="C941">
        <v>555.46890919999998</v>
      </c>
      <c r="D941">
        <v>1.3156198604803881E-2</v>
      </c>
      <c r="E941">
        <f t="shared" si="14"/>
        <v>1</v>
      </c>
    </row>
    <row r="942" spans="1:5" x14ac:dyDescent="0.25">
      <c r="A942" s="13">
        <v>41632</v>
      </c>
      <c r="B942" t="s">
        <v>31</v>
      </c>
      <c r="C942">
        <v>553.84500500000001</v>
      </c>
      <c r="D942">
        <v>-2.9234835165459216E-3</v>
      </c>
      <c r="E942">
        <f t="shared" si="14"/>
        <v>0</v>
      </c>
    </row>
    <row r="943" spans="1:5" x14ac:dyDescent="0.25">
      <c r="A943" s="13">
        <v>41634</v>
      </c>
      <c r="B943" t="s">
        <v>31</v>
      </c>
      <c r="C943">
        <v>556.64450920000002</v>
      </c>
      <c r="D943">
        <v>5.0546708460428302E-3</v>
      </c>
      <c r="E943">
        <f t="shared" si="14"/>
        <v>1</v>
      </c>
    </row>
    <row r="944" spans="1:5" x14ac:dyDescent="0.25">
      <c r="A944" s="13">
        <v>41635</v>
      </c>
      <c r="B944" t="s">
        <v>31</v>
      </c>
      <c r="C944">
        <v>557.11277159999997</v>
      </c>
      <c r="D944">
        <v>8.4122342403580852E-4</v>
      </c>
      <c r="E944">
        <f t="shared" si="14"/>
        <v>1</v>
      </c>
    </row>
    <row r="945" spans="1:5" x14ac:dyDescent="0.25">
      <c r="A945" s="13">
        <v>41638</v>
      </c>
      <c r="B945" t="s">
        <v>31</v>
      </c>
      <c r="C945">
        <v>552.65945620000002</v>
      </c>
      <c r="D945">
        <v>-7.9935618550087684E-3</v>
      </c>
      <c r="E945">
        <f t="shared" si="14"/>
        <v>0</v>
      </c>
    </row>
    <row r="946" spans="1:5" x14ac:dyDescent="0.25">
      <c r="A946" s="13">
        <v>41639</v>
      </c>
      <c r="B946" t="s">
        <v>31</v>
      </c>
      <c r="C946">
        <v>558.26346950000004</v>
      </c>
      <c r="D946">
        <v>1.01400839832404E-2</v>
      </c>
      <c r="E946">
        <f t="shared" si="14"/>
        <v>1</v>
      </c>
    </row>
    <row r="947" spans="1:5" x14ac:dyDescent="0.25">
      <c r="A947" s="13">
        <v>41641</v>
      </c>
      <c r="B947" t="s">
        <v>31</v>
      </c>
      <c r="C947">
        <v>554.48264040000004</v>
      </c>
      <c r="D947">
        <v>-6.7724816445293712E-3</v>
      </c>
      <c r="E947">
        <f t="shared" si="14"/>
        <v>0</v>
      </c>
    </row>
    <row r="948" spans="1:5" x14ac:dyDescent="0.25">
      <c r="A948" s="13">
        <v>41642</v>
      </c>
      <c r="B948" t="s">
        <v>31</v>
      </c>
      <c r="C948">
        <v>550.43777260000002</v>
      </c>
      <c r="D948">
        <v>-7.2948501996060733E-3</v>
      </c>
      <c r="E948">
        <f t="shared" si="14"/>
        <v>0</v>
      </c>
    </row>
    <row r="949" spans="1:5" x14ac:dyDescent="0.25">
      <c r="A949" s="13">
        <v>41645</v>
      </c>
      <c r="B949" t="s">
        <v>31</v>
      </c>
      <c r="C949">
        <v>556.57480699999996</v>
      </c>
      <c r="D949">
        <v>1.1149370020541172E-2</v>
      </c>
      <c r="E949">
        <f t="shared" si="14"/>
        <v>1</v>
      </c>
    </row>
    <row r="950" spans="1:5" x14ac:dyDescent="0.25">
      <c r="A950" s="13">
        <v>41646</v>
      </c>
      <c r="B950" t="s">
        <v>31</v>
      </c>
      <c r="C950">
        <v>567.30456170000002</v>
      </c>
      <c r="D950">
        <v>1.9278189679181823E-2</v>
      </c>
      <c r="E950">
        <f t="shared" si="14"/>
        <v>1</v>
      </c>
    </row>
    <row r="951" spans="1:5" x14ac:dyDescent="0.25">
      <c r="A951" s="13">
        <v>41647</v>
      </c>
      <c r="B951" t="s">
        <v>31</v>
      </c>
      <c r="C951">
        <v>568.48516649999999</v>
      </c>
      <c r="D951">
        <v>2.0810775722692743E-3</v>
      </c>
      <c r="E951">
        <f t="shared" si="14"/>
        <v>1</v>
      </c>
    </row>
    <row r="952" spans="1:5" x14ac:dyDescent="0.25">
      <c r="A952" s="13">
        <v>41648</v>
      </c>
      <c r="B952" t="s">
        <v>31</v>
      </c>
      <c r="C952">
        <v>563.01066979999996</v>
      </c>
      <c r="D952">
        <v>-9.6299728165378795E-3</v>
      </c>
      <c r="E952">
        <f t="shared" si="14"/>
        <v>0</v>
      </c>
    </row>
    <row r="953" spans="1:5" x14ac:dyDescent="0.25">
      <c r="A953" s="13">
        <v>41649</v>
      </c>
      <c r="B953" t="s">
        <v>31</v>
      </c>
      <c r="C953">
        <v>562.98076289999995</v>
      </c>
      <c r="D953">
        <v>-5.3119597201667368E-5</v>
      </c>
      <c r="E953">
        <f t="shared" si="14"/>
        <v>0</v>
      </c>
    </row>
    <row r="954" spans="1:5" x14ac:dyDescent="0.25">
      <c r="A954" s="13">
        <v>41652</v>
      </c>
      <c r="B954" t="s">
        <v>31</v>
      </c>
      <c r="C954">
        <v>559.39420870000004</v>
      </c>
      <c r="D954">
        <v>-6.3706514260363223E-3</v>
      </c>
      <c r="E954">
        <f t="shared" si="14"/>
        <v>0</v>
      </c>
    </row>
    <row r="955" spans="1:5" x14ac:dyDescent="0.25">
      <c r="A955" s="13">
        <v>41653</v>
      </c>
      <c r="B955" t="s">
        <v>31</v>
      </c>
      <c r="C955">
        <v>572.554937</v>
      </c>
      <c r="D955">
        <v>2.3526751073424057E-2</v>
      </c>
      <c r="E955">
        <f t="shared" si="14"/>
        <v>1</v>
      </c>
    </row>
    <row r="956" spans="1:5" x14ac:dyDescent="0.25">
      <c r="A956" s="13">
        <v>41654</v>
      </c>
      <c r="B956" t="s">
        <v>31</v>
      </c>
      <c r="C956">
        <v>572.16638639999996</v>
      </c>
      <c r="D956">
        <v>-6.7862588354561382E-4</v>
      </c>
      <c r="E956">
        <f t="shared" si="14"/>
        <v>0</v>
      </c>
    </row>
    <row r="957" spans="1:5" x14ac:dyDescent="0.25">
      <c r="A957" s="13">
        <v>41655</v>
      </c>
      <c r="B957" t="s">
        <v>31</v>
      </c>
      <c r="C957">
        <v>575.95215940000003</v>
      </c>
      <c r="D957">
        <v>6.6165596057112808E-3</v>
      </c>
      <c r="E957">
        <f t="shared" si="14"/>
        <v>1</v>
      </c>
    </row>
    <row r="958" spans="1:5" x14ac:dyDescent="0.25">
      <c r="A958" s="13">
        <v>41656</v>
      </c>
      <c r="B958" t="s">
        <v>31</v>
      </c>
      <c r="C958">
        <v>573.11780380000005</v>
      </c>
      <c r="D958">
        <v>-4.9211649852179962E-3</v>
      </c>
      <c r="E958">
        <f t="shared" si="14"/>
        <v>0</v>
      </c>
    </row>
    <row r="959" spans="1:5" x14ac:dyDescent="0.25">
      <c r="A959" s="13">
        <v>41660</v>
      </c>
      <c r="B959" t="s">
        <v>31</v>
      </c>
      <c r="C959">
        <v>579.67824010000004</v>
      </c>
      <c r="D959">
        <v>1.1446924622654731E-2</v>
      </c>
      <c r="E959">
        <f t="shared" si="14"/>
        <v>1</v>
      </c>
    </row>
    <row r="960" spans="1:5" x14ac:dyDescent="0.25">
      <c r="A960" s="13">
        <v>41661</v>
      </c>
      <c r="B960" t="s">
        <v>31</v>
      </c>
      <c r="C960">
        <v>580.33577309999998</v>
      </c>
      <c r="D960">
        <v>1.1343068525162536E-3</v>
      </c>
      <c r="E960">
        <f t="shared" si="14"/>
        <v>1</v>
      </c>
    </row>
    <row r="961" spans="1:5" x14ac:dyDescent="0.25">
      <c r="A961" s="13">
        <v>41662</v>
      </c>
      <c r="B961" t="s">
        <v>31</v>
      </c>
      <c r="C961">
        <v>577.88496329999998</v>
      </c>
      <c r="D961">
        <v>-4.223089310707917E-3</v>
      </c>
      <c r="E961">
        <f t="shared" si="14"/>
        <v>0</v>
      </c>
    </row>
    <row r="962" spans="1:5" x14ac:dyDescent="0.25">
      <c r="A962" s="13">
        <v>41663</v>
      </c>
      <c r="B962" t="s">
        <v>31</v>
      </c>
      <c r="C962">
        <v>559.81761019999999</v>
      </c>
      <c r="D962">
        <v>-3.1264618821065571E-2</v>
      </c>
      <c r="E962">
        <f t="shared" si="14"/>
        <v>0</v>
      </c>
    </row>
    <row r="963" spans="1:5" x14ac:dyDescent="0.25">
      <c r="A963" s="13">
        <v>41666</v>
      </c>
      <c r="B963" t="s">
        <v>31</v>
      </c>
      <c r="C963">
        <v>548.55977829999995</v>
      </c>
      <c r="D963">
        <v>-2.0109820939677281E-2</v>
      </c>
      <c r="E963">
        <f t="shared" ref="E963:E1026" si="15">IF(D963&gt;0,1,0)</f>
        <v>0</v>
      </c>
    </row>
    <row r="964" spans="1:5" x14ac:dyDescent="0.25">
      <c r="A964" s="13">
        <v>41667</v>
      </c>
      <c r="B964" t="s">
        <v>31</v>
      </c>
      <c r="C964">
        <v>559.4091621</v>
      </c>
      <c r="D964">
        <v>1.9777942585624153E-2</v>
      </c>
      <c r="E964">
        <f t="shared" si="15"/>
        <v>1</v>
      </c>
    </row>
    <row r="965" spans="1:5" x14ac:dyDescent="0.25">
      <c r="A965" s="13">
        <v>41668</v>
      </c>
      <c r="B965" t="s">
        <v>31</v>
      </c>
      <c r="C965">
        <v>551.39419520000001</v>
      </c>
      <c r="D965">
        <v>-1.4327557435620308E-2</v>
      </c>
      <c r="E965">
        <f t="shared" si="15"/>
        <v>0</v>
      </c>
    </row>
    <row r="966" spans="1:5" x14ac:dyDescent="0.25">
      <c r="A966" s="13">
        <v>41669</v>
      </c>
      <c r="B966" t="s">
        <v>31</v>
      </c>
      <c r="C966">
        <v>565.57604309999999</v>
      </c>
      <c r="D966">
        <v>2.5719980412300059E-2</v>
      </c>
      <c r="E966">
        <f t="shared" si="15"/>
        <v>1</v>
      </c>
    </row>
    <row r="967" spans="1:5" x14ac:dyDescent="0.25">
      <c r="A967" s="13">
        <v>41670</v>
      </c>
      <c r="B967" t="s">
        <v>31</v>
      </c>
      <c r="C967">
        <v>588.28097700000001</v>
      </c>
      <c r="D967">
        <v>4.0144794280095653E-2</v>
      </c>
      <c r="E967">
        <f t="shared" si="15"/>
        <v>1</v>
      </c>
    </row>
    <row r="968" spans="1:5" x14ac:dyDescent="0.25">
      <c r="A968" s="13">
        <v>41673</v>
      </c>
      <c r="B968" t="s">
        <v>31</v>
      </c>
      <c r="C968">
        <v>564.59972310000001</v>
      </c>
      <c r="D968">
        <v>-4.025500539005189E-2</v>
      </c>
      <c r="E968">
        <f t="shared" si="15"/>
        <v>0</v>
      </c>
    </row>
    <row r="969" spans="1:5" x14ac:dyDescent="0.25">
      <c r="A969" s="13">
        <v>41674</v>
      </c>
      <c r="B969" t="s">
        <v>31</v>
      </c>
      <c r="C969">
        <v>566.95586719999994</v>
      </c>
      <c r="D969">
        <v>4.1731230172470379E-3</v>
      </c>
      <c r="E969">
        <f t="shared" si="15"/>
        <v>1</v>
      </c>
    </row>
    <row r="970" spans="1:5" x14ac:dyDescent="0.25">
      <c r="A970" s="13">
        <v>41675</v>
      </c>
      <c r="B970" t="s">
        <v>31</v>
      </c>
      <c r="C970">
        <v>569.46649179999997</v>
      </c>
      <c r="D970">
        <v>4.4282540233671064E-3</v>
      </c>
      <c r="E970">
        <f t="shared" si="15"/>
        <v>1</v>
      </c>
    </row>
    <row r="971" spans="1:5" x14ac:dyDescent="0.25">
      <c r="A971" s="13">
        <v>41676</v>
      </c>
      <c r="B971" t="s">
        <v>31</v>
      </c>
      <c r="C971">
        <v>577.81519979999996</v>
      </c>
      <c r="D971">
        <v>1.4660578137988267E-2</v>
      </c>
      <c r="E971">
        <f t="shared" si="15"/>
        <v>1</v>
      </c>
    </row>
    <row r="972" spans="1:5" x14ac:dyDescent="0.25">
      <c r="A972" s="13">
        <v>41677</v>
      </c>
      <c r="B972" t="s">
        <v>31</v>
      </c>
      <c r="C972">
        <v>586.52255100000002</v>
      </c>
      <c r="D972">
        <v>1.5069439507672922E-2</v>
      </c>
      <c r="E972">
        <f t="shared" si="15"/>
        <v>1</v>
      </c>
    </row>
    <row r="973" spans="1:5" x14ac:dyDescent="0.25">
      <c r="A973" s="13">
        <v>41680</v>
      </c>
      <c r="B973" t="s">
        <v>31</v>
      </c>
      <c r="C973">
        <v>584.27596519999997</v>
      </c>
      <c r="D973">
        <v>-3.8303485452856334E-3</v>
      </c>
      <c r="E973">
        <f t="shared" si="15"/>
        <v>0</v>
      </c>
    </row>
    <row r="974" spans="1:5" x14ac:dyDescent="0.25">
      <c r="A974" s="13">
        <v>41681</v>
      </c>
      <c r="B974" t="s">
        <v>31</v>
      </c>
      <c r="C974">
        <v>592.86881459999995</v>
      </c>
      <c r="D974">
        <v>1.4706833605689473E-2</v>
      </c>
      <c r="E974">
        <f t="shared" si="15"/>
        <v>1</v>
      </c>
    </row>
    <row r="975" spans="1:5" x14ac:dyDescent="0.25">
      <c r="A975" s="13">
        <v>41682</v>
      </c>
      <c r="B975" t="s">
        <v>31</v>
      </c>
      <c r="C975">
        <v>591.13028610000003</v>
      </c>
      <c r="D975">
        <v>-2.9323999798722689E-3</v>
      </c>
      <c r="E975">
        <f t="shared" si="15"/>
        <v>0</v>
      </c>
    </row>
    <row r="976" spans="1:5" x14ac:dyDescent="0.25">
      <c r="A976" s="13">
        <v>41683</v>
      </c>
      <c r="B976" t="s">
        <v>31</v>
      </c>
      <c r="C976">
        <v>597.71068060000005</v>
      </c>
      <c r="D976">
        <v>1.1131885228575111E-2</v>
      </c>
      <c r="E976">
        <f t="shared" si="15"/>
        <v>1</v>
      </c>
    </row>
    <row r="977" spans="1:5" x14ac:dyDescent="0.25">
      <c r="A977" s="13">
        <v>41684</v>
      </c>
      <c r="B977" t="s">
        <v>31</v>
      </c>
      <c r="C977">
        <v>599.15526299999999</v>
      </c>
      <c r="D977">
        <v>2.4168589367514759E-3</v>
      </c>
      <c r="E977">
        <f t="shared" si="15"/>
        <v>1</v>
      </c>
    </row>
    <row r="978" spans="1:5" x14ac:dyDescent="0.25">
      <c r="A978" s="13">
        <v>41688</v>
      </c>
      <c r="B978" t="s">
        <v>31</v>
      </c>
      <c r="C978">
        <v>603.18017259999999</v>
      </c>
      <c r="D978">
        <v>6.7176403989961386E-3</v>
      </c>
      <c r="E978">
        <f t="shared" si="15"/>
        <v>1</v>
      </c>
    </row>
    <row r="979" spans="1:5" x14ac:dyDescent="0.25">
      <c r="A979" s="13">
        <v>41689</v>
      </c>
      <c r="B979" t="s">
        <v>31</v>
      </c>
      <c r="C979">
        <v>598.92613679999999</v>
      </c>
      <c r="D979">
        <v>-7.0526784421029998E-3</v>
      </c>
      <c r="E979">
        <f t="shared" si="15"/>
        <v>0</v>
      </c>
    </row>
    <row r="980" spans="1:5" x14ac:dyDescent="0.25">
      <c r="A980" s="13">
        <v>41690</v>
      </c>
      <c r="B980" t="s">
        <v>31</v>
      </c>
      <c r="C980">
        <v>599.80779110000003</v>
      </c>
      <c r="D980">
        <v>1.4720584823875171E-3</v>
      </c>
      <c r="E980">
        <f t="shared" si="15"/>
        <v>1</v>
      </c>
    </row>
    <row r="981" spans="1:5" x14ac:dyDescent="0.25">
      <c r="A981" s="13">
        <v>41691</v>
      </c>
      <c r="B981" t="s">
        <v>31</v>
      </c>
      <c r="C981">
        <v>599.64842799999997</v>
      </c>
      <c r="D981">
        <v>-2.6569028006084849E-4</v>
      </c>
      <c r="E981">
        <f t="shared" si="15"/>
        <v>0</v>
      </c>
    </row>
    <row r="982" spans="1:5" x14ac:dyDescent="0.25">
      <c r="A982" s="13">
        <v>41694</v>
      </c>
      <c r="B982" t="s">
        <v>31</v>
      </c>
      <c r="C982">
        <v>603.99212469999998</v>
      </c>
      <c r="D982">
        <v>7.2437389930086749E-3</v>
      </c>
      <c r="E982">
        <f t="shared" si="15"/>
        <v>1</v>
      </c>
    </row>
    <row r="983" spans="1:5" x14ac:dyDescent="0.25">
      <c r="A983" s="13">
        <v>41695</v>
      </c>
      <c r="B983" t="s">
        <v>31</v>
      </c>
      <c r="C983">
        <v>607.72314889999996</v>
      </c>
      <c r="D983">
        <v>6.177272926949362E-3</v>
      </c>
      <c r="E983">
        <f t="shared" si="15"/>
        <v>1</v>
      </c>
    </row>
    <row r="984" spans="1:5" x14ac:dyDescent="0.25">
      <c r="A984" s="13">
        <v>41696</v>
      </c>
      <c r="B984" t="s">
        <v>31</v>
      </c>
      <c r="C984">
        <v>607.8078051</v>
      </c>
      <c r="D984">
        <v>1.3930060119204946E-4</v>
      </c>
      <c r="E984">
        <f t="shared" si="15"/>
        <v>1</v>
      </c>
    </row>
    <row r="985" spans="1:5" x14ac:dyDescent="0.25">
      <c r="A985" s="13">
        <v>41697</v>
      </c>
      <c r="B985" t="s">
        <v>31</v>
      </c>
      <c r="C985">
        <v>607.32965490000004</v>
      </c>
      <c r="D985">
        <v>-7.8667992741765502E-4</v>
      </c>
      <c r="E985">
        <f t="shared" si="15"/>
        <v>0</v>
      </c>
    </row>
    <row r="986" spans="1:5" x14ac:dyDescent="0.25">
      <c r="A986" s="13">
        <v>41698</v>
      </c>
      <c r="B986" t="s">
        <v>31</v>
      </c>
      <c r="C986">
        <v>605.55627489999995</v>
      </c>
      <c r="D986">
        <v>-2.9199628005849299E-3</v>
      </c>
      <c r="E986">
        <f t="shared" si="15"/>
        <v>0</v>
      </c>
    </row>
    <row r="987" spans="1:5" x14ac:dyDescent="0.25">
      <c r="A987" s="13">
        <v>41701</v>
      </c>
      <c r="B987" t="s">
        <v>31</v>
      </c>
      <c r="C987">
        <v>599.10045339999999</v>
      </c>
      <c r="D987">
        <v>-1.066097696876489E-2</v>
      </c>
      <c r="E987">
        <f t="shared" si="15"/>
        <v>0</v>
      </c>
    </row>
    <row r="988" spans="1:5" x14ac:dyDescent="0.25">
      <c r="A988" s="13">
        <v>41702</v>
      </c>
      <c r="B988" t="s">
        <v>31</v>
      </c>
      <c r="C988">
        <v>605.18762219999996</v>
      </c>
      <c r="D988">
        <v>1.0160514427011824E-2</v>
      </c>
      <c r="E988">
        <f t="shared" si="15"/>
        <v>1</v>
      </c>
    </row>
    <row r="989" spans="1:5" x14ac:dyDescent="0.25">
      <c r="A989" s="13">
        <v>41703</v>
      </c>
      <c r="B989" t="s">
        <v>31</v>
      </c>
      <c r="C989">
        <v>606.85638730000005</v>
      </c>
      <c r="D989">
        <v>2.7574342877894065E-3</v>
      </c>
      <c r="E989">
        <f t="shared" si="15"/>
        <v>1</v>
      </c>
    </row>
    <row r="990" spans="1:5" x14ac:dyDescent="0.25">
      <c r="A990" s="13">
        <v>41704</v>
      </c>
      <c r="B990" t="s">
        <v>31</v>
      </c>
      <c r="C990">
        <v>607.5288736</v>
      </c>
      <c r="D990">
        <v>1.1081473542562392E-3</v>
      </c>
      <c r="E990">
        <f t="shared" si="15"/>
        <v>1</v>
      </c>
    </row>
    <row r="991" spans="1:5" x14ac:dyDescent="0.25">
      <c r="A991" s="13">
        <v>41705</v>
      </c>
      <c r="B991" t="s">
        <v>31</v>
      </c>
      <c r="C991">
        <v>605.12786870000002</v>
      </c>
      <c r="D991">
        <v>-3.9520836034877549E-3</v>
      </c>
      <c r="E991">
        <f t="shared" si="15"/>
        <v>0</v>
      </c>
    </row>
    <row r="992" spans="1:5" x14ac:dyDescent="0.25">
      <c r="A992" s="13">
        <v>41708</v>
      </c>
      <c r="B992" t="s">
        <v>31</v>
      </c>
      <c r="C992">
        <v>603.52386190000004</v>
      </c>
      <c r="D992">
        <v>-2.6506906770726868E-3</v>
      </c>
      <c r="E992">
        <f t="shared" si="15"/>
        <v>0</v>
      </c>
    </row>
    <row r="993" spans="1:5" x14ac:dyDescent="0.25">
      <c r="A993" s="13">
        <v>41709</v>
      </c>
      <c r="B993" t="s">
        <v>31</v>
      </c>
      <c r="C993">
        <v>597.75548070000002</v>
      </c>
      <c r="D993">
        <v>-9.5578345184896829E-3</v>
      </c>
      <c r="E993">
        <f t="shared" si="15"/>
        <v>0</v>
      </c>
    </row>
    <row r="994" spans="1:5" x14ac:dyDescent="0.25">
      <c r="A994" s="13">
        <v>41710</v>
      </c>
      <c r="B994" t="s">
        <v>31</v>
      </c>
      <c r="C994">
        <v>601.39684399999999</v>
      </c>
      <c r="D994">
        <v>6.0917271653213589E-3</v>
      </c>
      <c r="E994">
        <f t="shared" si="15"/>
        <v>1</v>
      </c>
    </row>
    <row r="995" spans="1:5" x14ac:dyDescent="0.25">
      <c r="A995" s="13">
        <v>41711</v>
      </c>
      <c r="B995" t="s">
        <v>31</v>
      </c>
      <c r="C995">
        <v>592.31089139999995</v>
      </c>
      <c r="D995">
        <v>-1.510808161141608E-2</v>
      </c>
      <c r="E995">
        <f t="shared" si="15"/>
        <v>0</v>
      </c>
    </row>
    <row r="996" spans="1:5" x14ac:dyDescent="0.25">
      <c r="A996" s="13">
        <v>41712</v>
      </c>
      <c r="B996" t="s">
        <v>31</v>
      </c>
      <c r="C996">
        <v>584.21126770000001</v>
      </c>
      <c r="D996">
        <v>-1.3674615506149901E-2</v>
      </c>
      <c r="E996">
        <f t="shared" si="15"/>
        <v>0</v>
      </c>
    </row>
    <row r="997" spans="1:5" x14ac:dyDescent="0.25">
      <c r="A997" s="13">
        <v>41715</v>
      </c>
      <c r="B997" t="s">
        <v>31</v>
      </c>
      <c r="C997">
        <v>593.8252367</v>
      </c>
      <c r="D997">
        <v>1.6456322449667216E-2</v>
      </c>
      <c r="E997">
        <f t="shared" si="15"/>
        <v>1</v>
      </c>
    </row>
    <row r="998" spans="1:5" x14ac:dyDescent="0.25">
      <c r="A998" s="13">
        <v>41716</v>
      </c>
      <c r="B998" t="s">
        <v>31</v>
      </c>
      <c r="C998">
        <v>603.36944270000004</v>
      </c>
      <c r="D998">
        <v>1.6072415603349821E-2</v>
      </c>
      <c r="E998">
        <f t="shared" si="15"/>
        <v>1</v>
      </c>
    </row>
    <row r="999" spans="1:5" x14ac:dyDescent="0.25">
      <c r="A999" s="13">
        <v>41717</v>
      </c>
      <c r="B999" t="s">
        <v>31</v>
      </c>
      <c r="C999">
        <v>597.38688879999995</v>
      </c>
      <c r="D999">
        <v>-9.9152417683416871E-3</v>
      </c>
      <c r="E999">
        <f t="shared" si="15"/>
        <v>0</v>
      </c>
    </row>
    <row r="1000" spans="1:5" x14ac:dyDescent="0.25">
      <c r="A1000" s="13">
        <v>41718</v>
      </c>
      <c r="B1000" t="s">
        <v>31</v>
      </c>
      <c r="C1000">
        <v>596.3457492</v>
      </c>
      <c r="D1000">
        <v>-1.7428229837640474E-3</v>
      </c>
      <c r="E1000">
        <f t="shared" si="15"/>
        <v>0</v>
      </c>
    </row>
    <row r="1001" spans="1:5" x14ac:dyDescent="0.25">
      <c r="A1001" s="13">
        <v>41719</v>
      </c>
      <c r="B1001" t="s">
        <v>31</v>
      </c>
      <c r="C1001">
        <v>589.31210650000003</v>
      </c>
      <c r="D1001">
        <v>-1.1794571705148638E-2</v>
      </c>
      <c r="E1001">
        <f t="shared" si="15"/>
        <v>0</v>
      </c>
    </row>
    <row r="1002" spans="1:5" x14ac:dyDescent="0.25">
      <c r="A1002" s="13">
        <v>41722</v>
      </c>
      <c r="B1002" t="s">
        <v>31</v>
      </c>
      <c r="C1002">
        <v>576.80396759999996</v>
      </c>
      <c r="D1002">
        <v>-2.1224982080017885E-2</v>
      </c>
      <c r="E1002">
        <f t="shared" si="15"/>
        <v>0</v>
      </c>
    </row>
    <row r="1003" spans="1:5" x14ac:dyDescent="0.25">
      <c r="A1003" s="13">
        <v>41723</v>
      </c>
      <c r="B1003" t="s">
        <v>31</v>
      </c>
      <c r="C1003">
        <v>577.19752300000005</v>
      </c>
      <c r="D1003">
        <v>6.8230355910614549E-4</v>
      </c>
      <c r="E1003">
        <f t="shared" si="15"/>
        <v>1</v>
      </c>
    </row>
    <row r="1004" spans="1:5" x14ac:dyDescent="0.25">
      <c r="A1004" s="13">
        <v>41724</v>
      </c>
      <c r="B1004" t="s">
        <v>31</v>
      </c>
      <c r="C1004">
        <v>563.87242670000001</v>
      </c>
      <c r="D1004">
        <v>-2.3085851496282395E-2</v>
      </c>
      <c r="E1004">
        <f t="shared" si="15"/>
        <v>0</v>
      </c>
    </row>
    <row r="1005" spans="1:5" x14ac:dyDescent="0.25">
      <c r="A1005" s="13">
        <v>41725</v>
      </c>
      <c r="B1005" t="s">
        <v>31</v>
      </c>
      <c r="C1005">
        <v>556.93349009999997</v>
      </c>
      <c r="D1005">
        <v>-1.2305862587765448E-2</v>
      </c>
      <c r="E1005">
        <f t="shared" si="15"/>
        <v>0</v>
      </c>
    </row>
    <row r="1006" spans="1:5" x14ac:dyDescent="0.25">
      <c r="A1006" s="13">
        <v>41726</v>
      </c>
      <c r="B1006" t="s">
        <v>31</v>
      </c>
      <c r="C1006">
        <v>558.45931499999995</v>
      </c>
      <c r="D1006">
        <v>2.7396896166649309E-3</v>
      </c>
      <c r="E1006">
        <f t="shared" si="15"/>
        <v>1</v>
      </c>
    </row>
    <row r="1007" spans="1:5" x14ac:dyDescent="0.25">
      <c r="A1007" s="13">
        <v>41729</v>
      </c>
      <c r="B1007" t="s">
        <v>31</v>
      </c>
      <c r="C1007">
        <v>555.4475218</v>
      </c>
      <c r="D1007">
        <v>-5.393039598596272E-3</v>
      </c>
      <c r="E1007">
        <f t="shared" si="15"/>
        <v>0</v>
      </c>
    </row>
    <row r="1008" spans="1:5" x14ac:dyDescent="0.25">
      <c r="A1008" s="13">
        <v>41730</v>
      </c>
      <c r="B1008" t="s">
        <v>31</v>
      </c>
      <c r="C1008">
        <v>565.60967659999994</v>
      </c>
      <c r="D1008">
        <v>1.8295436384463848E-2</v>
      </c>
      <c r="E1008">
        <f t="shared" si="15"/>
        <v>1</v>
      </c>
    </row>
    <row r="1009" spans="1:5" x14ac:dyDescent="0.25">
      <c r="A1009" s="13">
        <v>41731</v>
      </c>
      <c r="B1009" t="s">
        <v>31</v>
      </c>
      <c r="C1009">
        <v>565.45013070000005</v>
      </c>
      <c r="D1009">
        <v>-2.8207774124189289E-4</v>
      </c>
      <c r="E1009">
        <f t="shared" si="15"/>
        <v>0</v>
      </c>
    </row>
    <row r="1010" spans="1:5" x14ac:dyDescent="0.25">
      <c r="A1010" s="13">
        <v>41732</v>
      </c>
      <c r="B1010" t="s">
        <v>31</v>
      </c>
      <c r="C1010">
        <v>568.18262560000005</v>
      </c>
      <c r="D1010">
        <v>4.8324242079798019E-3</v>
      </c>
      <c r="E1010">
        <f t="shared" si="15"/>
        <v>1</v>
      </c>
    </row>
    <row r="1011" spans="1:5" x14ac:dyDescent="0.25">
      <c r="A1011" s="13">
        <v>41733</v>
      </c>
      <c r="B1011" t="s">
        <v>31</v>
      </c>
      <c r="C1011">
        <v>541.65534530000002</v>
      </c>
      <c r="D1011">
        <v>-4.6687946981812889E-2</v>
      </c>
      <c r="E1011">
        <f t="shared" si="15"/>
        <v>0</v>
      </c>
    </row>
    <row r="1012" spans="1:5" x14ac:dyDescent="0.25">
      <c r="A1012" s="13">
        <v>41736</v>
      </c>
      <c r="B1012" t="s">
        <v>31</v>
      </c>
      <c r="C1012">
        <v>536.67900380000003</v>
      </c>
      <c r="D1012">
        <v>-9.1872840232820607E-3</v>
      </c>
      <c r="E1012">
        <f t="shared" si="15"/>
        <v>0</v>
      </c>
    </row>
    <row r="1013" spans="1:5" x14ac:dyDescent="0.25">
      <c r="A1013" s="13">
        <v>41737</v>
      </c>
      <c r="B1013" t="s">
        <v>31</v>
      </c>
      <c r="C1013">
        <v>553.38318149999998</v>
      </c>
      <c r="D1013">
        <v>3.1125081439230318E-2</v>
      </c>
      <c r="E1013">
        <f t="shared" si="15"/>
        <v>1</v>
      </c>
    </row>
    <row r="1014" spans="1:5" x14ac:dyDescent="0.25">
      <c r="A1014" s="13">
        <v>41738</v>
      </c>
      <c r="B1014" t="s">
        <v>31</v>
      </c>
      <c r="C1014">
        <v>562.59794429999999</v>
      </c>
      <c r="D1014">
        <v>1.6651685681922102E-2</v>
      </c>
      <c r="E1014">
        <f t="shared" si="15"/>
        <v>1</v>
      </c>
    </row>
    <row r="1015" spans="1:5" x14ac:dyDescent="0.25">
      <c r="A1015" s="13">
        <v>41739</v>
      </c>
      <c r="B1015" t="s">
        <v>31</v>
      </c>
      <c r="C1015">
        <v>539.47131449999995</v>
      </c>
      <c r="D1015">
        <v>-4.110685087691679E-2</v>
      </c>
      <c r="E1015">
        <f t="shared" si="15"/>
        <v>0</v>
      </c>
    </row>
    <row r="1016" spans="1:5" x14ac:dyDescent="0.25">
      <c r="A1016" s="13">
        <v>41740</v>
      </c>
      <c r="B1016" t="s">
        <v>31</v>
      </c>
      <c r="C1016">
        <v>529.14961170000004</v>
      </c>
      <c r="D1016">
        <v>-1.9132996551570858E-2</v>
      </c>
      <c r="E1016">
        <f t="shared" si="15"/>
        <v>0</v>
      </c>
    </row>
    <row r="1017" spans="1:5" x14ac:dyDescent="0.25">
      <c r="A1017" s="13">
        <v>41743</v>
      </c>
      <c r="B1017" t="s">
        <v>31</v>
      </c>
      <c r="C1017">
        <v>531.06435480000005</v>
      </c>
      <c r="D1017">
        <v>3.6185287821501877E-3</v>
      </c>
      <c r="E1017">
        <f t="shared" si="15"/>
        <v>1</v>
      </c>
    </row>
    <row r="1018" spans="1:5" x14ac:dyDescent="0.25">
      <c r="A1018" s="13">
        <v>41744</v>
      </c>
      <c r="B1018" t="s">
        <v>31</v>
      </c>
      <c r="C1018">
        <v>534.97367380000003</v>
      </c>
      <c r="D1018">
        <v>7.361290519060093E-3</v>
      </c>
      <c r="E1018">
        <f t="shared" si="15"/>
        <v>1</v>
      </c>
    </row>
    <row r="1019" spans="1:5" x14ac:dyDescent="0.25">
      <c r="A1019" s="13">
        <v>41745</v>
      </c>
      <c r="B1019" t="s">
        <v>31</v>
      </c>
      <c r="C1019">
        <v>555.01868620000005</v>
      </c>
      <c r="D1019">
        <v>3.7469156673854975E-2</v>
      </c>
      <c r="E1019">
        <f t="shared" si="15"/>
        <v>1</v>
      </c>
    </row>
    <row r="1020" spans="1:5" x14ac:dyDescent="0.25">
      <c r="A1020" s="13">
        <v>41746</v>
      </c>
      <c r="B1020" t="s">
        <v>31</v>
      </c>
      <c r="C1020">
        <v>534.63456080000003</v>
      </c>
      <c r="D1020">
        <v>-3.6726917321581176E-2</v>
      </c>
      <c r="E1020">
        <f t="shared" si="15"/>
        <v>0</v>
      </c>
    </row>
    <row r="1021" spans="1:5" x14ac:dyDescent="0.25">
      <c r="A1021" s="13">
        <v>41750</v>
      </c>
      <c r="B1021" t="s">
        <v>31</v>
      </c>
      <c r="C1021">
        <v>527.17505489999996</v>
      </c>
      <c r="D1021">
        <v>-1.395253215362291E-2</v>
      </c>
      <c r="E1021">
        <f t="shared" si="15"/>
        <v>0</v>
      </c>
    </row>
    <row r="1022" spans="1:5" x14ac:dyDescent="0.25">
      <c r="A1022" s="13">
        <v>41751</v>
      </c>
      <c r="B1022" t="s">
        <v>31</v>
      </c>
      <c r="C1022">
        <v>533.34811769999999</v>
      </c>
      <c r="D1022">
        <v>1.1709702010029632E-2</v>
      </c>
      <c r="E1022">
        <f t="shared" si="15"/>
        <v>1</v>
      </c>
    </row>
    <row r="1023" spans="1:5" x14ac:dyDescent="0.25">
      <c r="A1023" s="13">
        <v>41752</v>
      </c>
      <c r="B1023" t="s">
        <v>31</v>
      </c>
      <c r="C1023">
        <v>525.49963179999997</v>
      </c>
      <c r="D1023">
        <v>-1.4715503138636121E-2</v>
      </c>
      <c r="E1023">
        <f t="shared" si="15"/>
        <v>0</v>
      </c>
    </row>
    <row r="1024" spans="1:5" x14ac:dyDescent="0.25">
      <c r="A1024" s="13">
        <v>41753</v>
      </c>
      <c r="B1024" t="s">
        <v>31</v>
      </c>
      <c r="C1024">
        <v>523.72447739999996</v>
      </c>
      <c r="D1024">
        <v>-3.3780316722954451E-3</v>
      </c>
      <c r="E1024">
        <f t="shared" si="15"/>
        <v>0</v>
      </c>
    </row>
    <row r="1025" spans="1:5" x14ac:dyDescent="0.25">
      <c r="A1025" s="13">
        <v>41754</v>
      </c>
      <c r="B1025" t="s">
        <v>31</v>
      </c>
      <c r="C1025">
        <v>514.76905360000001</v>
      </c>
      <c r="D1025">
        <v>-1.7099494460252496E-2</v>
      </c>
      <c r="E1025">
        <f t="shared" si="15"/>
        <v>0</v>
      </c>
    </row>
    <row r="1026" spans="1:5" x14ac:dyDescent="0.25">
      <c r="A1026" s="13">
        <v>41757</v>
      </c>
      <c r="B1026" t="s">
        <v>31</v>
      </c>
      <c r="C1026">
        <v>515.73640469999998</v>
      </c>
      <c r="D1026">
        <v>1.8791943556724089E-3</v>
      </c>
      <c r="E1026">
        <f t="shared" si="15"/>
        <v>1</v>
      </c>
    </row>
    <row r="1027" spans="1:5" x14ac:dyDescent="0.25">
      <c r="A1027" s="13">
        <v>41758</v>
      </c>
      <c r="B1027" t="s">
        <v>31</v>
      </c>
      <c r="C1027">
        <v>526.25756980000006</v>
      </c>
      <c r="D1027">
        <v>2.040027619558904E-2</v>
      </c>
      <c r="E1027">
        <f t="shared" ref="E1027:E1090" si="16">IF(D1027&gt;0,1,0)</f>
        <v>1</v>
      </c>
    </row>
    <row r="1028" spans="1:5" x14ac:dyDescent="0.25">
      <c r="A1028" s="13">
        <v>41759</v>
      </c>
      <c r="B1028" t="s">
        <v>31</v>
      </c>
      <c r="C1028">
        <v>525.22039540000003</v>
      </c>
      <c r="D1028">
        <v>-1.9708493701937613E-3</v>
      </c>
      <c r="E1028">
        <f t="shared" si="16"/>
        <v>0</v>
      </c>
    </row>
    <row r="1029" spans="1:5" x14ac:dyDescent="0.25">
      <c r="A1029" s="13">
        <v>41760</v>
      </c>
      <c r="B1029" t="s">
        <v>31</v>
      </c>
      <c r="C1029">
        <v>529.89760109999997</v>
      </c>
      <c r="D1029">
        <v>8.9052248179315452E-3</v>
      </c>
      <c r="E1029">
        <f t="shared" si="16"/>
        <v>1</v>
      </c>
    </row>
    <row r="1030" spans="1:5" x14ac:dyDescent="0.25">
      <c r="A1030" s="13">
        <v>41761</v>
      </c>
      <c r="B1030" t="s">
        <v>31</v>
      </c>
      <c r="C1030">
        <v>526.48694109999997</v>
      </c>
      <c r="D1030">
        <v>-6.4364511047415585E-3</v>
      </c>
      <c r="E1030">
        <f t="shared" si="16"/>
        <v>0</v>
      </c>
    </row>
    <row r="1031" spans="1:5" x14ac:dyDescent="0.25">
      <c r="A1031" s="13">
        <v>41764</v>
      </c>
      <c r="B1031" t="s">
        <v>31</v>
      </c>
      <c r="C1031">
        <v>526.3672507</v>
      </c>
      <c r="D1031">
        <v>-2.2733783244444083E-4</v>
      </c>
      <c r="E1031">
        <f t="shared" si="16"/>
        <v>0</v>
      </c>
    </row>
    <row r="1032" spans="1:5" x14ac:dyDescent="0.25">
      <c r="A1032" s="13">
        <v>41765</v>
      </c>
      <c r="B1032" t="s">
        <v>31</v>
      </c>
      <c r="C1032">
        <v>513.73187910000001</v>
      </c>
      <c r="D1032">
        <v>-2.4004858932991313E-2</v>
      </c>
      <c r="E1032">
        <f t="shared" si="16"/>
        <v>0</v>
      </c>
    </row>
    <row r="1033" spans="1:5" x14ac:dyDescent="0.25">
      <c r="A1033" s="13">
        <v>41766</v>
      </c>
      <c r="B1033" t="s">
        <v>31</v>
      </c>
      <c r="C1033">
        <v>508.56605289999999</v>
      </c>
      <c r="D1033">
        <v>-1.0055490831228919E-2</v>
      </c>
      <c r="E1033">
        <f t="shared" si="16"/>
        <v>0</v>
      </c>
    </row>
    <row r="1034" spans="1:5" x14ac:dyDescent="0.25">
      <c r="A1034" s="13">
        <v>41767</v>
      </c>
      <c r="B1034" t="s">
        <v>31</v>
      </c>
      <c r="C1034">
        <v>509.6031974</v>
      </c>
      <c r="D1034">
        <v>2.039350629256198E-3</v>
      </c>
      <c r="E1034">
        <f t="shared" si="16"/>
        <v>1</v>
      </c>
    </row>
    <row r="1035" spans="1:5" x14ac:dyDescent="0.25">
      <c r="A1035" s="13">
        <v>41768</v>
      </c>
      <c r="B1035" t="s">
        <v>31</v>
      </c>
      <c r="C1035">
        <v>517.31209460000002</v>
      </c>
      <c r="D1035">
        <v>1.5127254380135069E-2</v>
      </c>
      <c r="E1035">
        <f t="shared" si="16"/>
        <v>1</v>
      </c>
    </row>
    <row r="1036" spans="1:5" x14ac:dyDescent="0.25">
      <c r="A1036" s="13">
        <v>41771</v>
      </c>
      <c r="B1036" t="s">
        <v>31</v>
      </c>
      <c r="C1036">
        <v>528.47150850000003</v>
      </c>
      <c r="D1036">
        <v>2.1571917642151384E-2</v>
      </c>
      <c r="E1036">
        <f t="shared" si="16"/>
        <v>1</v>
      </c>
    </row>
    <row r="1037" spans="1:5" x14ac:dyDescent="0.25">
      <c r="A1037" s="13">
        <v>41772</v>
      </c>
      <c r="B1037" t="s">
        <v>31</v>
      </c>
      <c r="C1037">
        <v>531.63283899999999</v>
      </c>
      <c r="D1037">
        <v>5.9820263706797938E-3</v>
      </c>
      <c r="E1037">
        <f t="shared" si="16"/>
        <v>1</v>
      </c>
    </row>
    <row r="1038" spans="1:5" x14ac:dyDescent="0.25">
      <c r="A1038" s="13">
        <v>41773</v>
      </c>
      <c r="B1038" t="s">
        <v>31</v>
      </c>
      <c r="C1038">
        <v>525.21044670000003</v>
      </c>
      <c r="D1038">
        <v>-1.2080503364089501E-2</v>
      </c>
      <c r="E1038">
        <f t="shared" si="16"/>
        <v>0</v>
      </c>
    </row>
    <row r="1039" spans="1:5" x14ac:dyDescent="0.25">
      <c r="A1039" s="13">
        <v>41774</v>
      </c>
      <c r="B1039" t="s">
        <v>31</v>
      </c>
      <c r="C1039">
        <v>518.55862130000003</v>
      </c>
      <c r="D1039">
        <v>-1.2665066816158643E-2</v>
      </c>
      <c r="E1039">
        <f t="shared" si="16"/>
        <v>0</v>
      </c>
    </row>
    <row r="1040" spans="1:5" x14ac:dyDescent="0.25">
      <c r="A1040" s="13">
        <v>41775</v>
      </c>
      <c r="B1040" t="s">
        <v>31</v>
      </c>
      <c r="C1040">
        <v>519.20687950000001</v>
      </c>
      <c r="D1040">
        <v>1.2501155575714851E-3</v>
      </c>
      <c r="E1040">
        <f t="shared" si="16"/>
        <v>1</v>
      </c>
    </row>
    <row r="1041" spans="1:5" x14ac:dyDescent="0.25">
      <c r="A1041" s="13">
        <v>41778</v>
      </c>
      <c r="B1041" t="s">
        <v>31</v>
      </c>
      <c r="C1041">
        <v>527.41437480000002</v>
      </c>
      <c r="D1041">
        <v>1.5807755297664539E-2</v>
      </c>
      <c r="E1041">
        <f t="shared" si="16"/>
        <v>1</v>
      </c>
    </row>
    <row r="1042" spans="1:5" x14ac:dyDescent="0.25">
      <c r="A1042" s="13">
        <v>41779</v>
      </c>
      <c r="B1042" t="s">
        <v>31</v>
      </c>
      <c r="C1042">
        <v>528.32191020000005</v>
      </c>
      <c r="D1042">
        <v>1.7207255686653156E-3</v>
      </c>
      <c r="E1042">
        <f t="shared" si="16"/>
        <v>1</v>
      </c>
    </row>
    <row r="1043" spans="1:5" x14ac:dyDescent="0.25">
      <c r="A1043" s="13">
        <v>41780</v>
      </c>
      <c r="B1043" t="s">
        <v>31</v>
      </c>
      <c r="C1043">
        <v>537.46684979999998</v>
      </c>
      <c r="D1043">
        <v>1.730940819118798E-2</v>
      </c>
      <c r="E1043">
        <f t="shared" si="16"/>
        <v>1</v>
      </c>
    </row>
    <row r="1044" spans="1:5" x14ac:dyDescent="0.25">
      <c r="A1044" s="13">
        <v>41781</v>
      </c>
      <c r="B1044" t="s">
        <v>31</v>
      </c>
      <c r="C1044">
        <v>543.57008729999995</v>
      </c>
      <c r="D1044">
        <v>1.1355560816952881E-2</v>
      </c>
      <c r="E1044">
        <f t="shared" si="16"/>
        <v>1</v>
      </c>
    </row>
    <row r="1045" spans="1:5" x14ac:dyDescent="0.25">
      <c r="A1045" s="13">
        <v>41782</v>
      </c>
      <c r="B1045" t="s">
        <v>31</v>
      </c>
      <c r="C1045">
        <v>551.18920200000002</v>
      </c>
      <c r="D1045">
        <v>1.4016802760147051E-2</v>
      </c>
      <c r="E1045">
        <f t="shared" si="16"/>
        <v>1</v>
      </c>
    </row>
    <row r="1046" spans="1:5" x14ac:dyDescent="0.25">
      <c r="A1046" s="13">
        <v>41786</v>
      </c>
      <c r="B1046" t="s">
        <v>31</v>
      </c>
      <c r="C1046">
        <v>564.40300649999995</v>
      </c>
      <c r="D1046">
        <v>2.3973264447223253E-2</v>
      </c>
      <c r="E1046">
        <f t="shared" si="16"/>
        <v>1</v>
      </c>
    </row>
    <row r="1047" spans="1:5" x14ac:dyDescent="0.25">
      <c r="A1047" s="13">
        <v>41787</v>
      </c>
      <c r="B1047" t="s">
        <v>31</v>
      </c>
      <c r="C1047">
        <v>560.14468680000004</v>
      </c>
      <c r="D1047">
        <v>-7.5448210781278169E-3</v>
      </c>
      <c r="E1047">
        <f t="shared" si="16"/>
        <v>0</v>
      </c>
    </row>
    <row r="1048" spans="1:5" x14ac:dyDescent="0.25">
      <c r="A1048" s="13">
        <v>41788</v>
      </c>
      <c r="B1048" t="s">
        <v>31</v>
      </c>
      <c r="C1048">
        <v>558.54903760000002</v>
      </c>
      <c r="D1048">
        <v>-2.8486375709741996E-3</v>
      </c>
      <c r="E1048">
        <f t="shared" si="16"/>
        <v>0</v>
      </c>
    </row>
    <row r="1049" spans="1:5" x14ac:dyDescent="0.25">
      <c r="A1049" s="13">
        <v>41789</v>
      </c>
      <c r="B1049" t="s">
        <v>31</v>
      </c>
      <c r="C1049">
        <v>558.3595828</v>
      </c>
      <c r="D1049">
        <v>-3.3919098816115323E-4</v>
      </c>
      <c r="E1049">
        <f t="shared" si="16"/>
        <v>0</v>
      </c>
    </row>
    <row r="1050" spans="1:5" x14ac:dyDescent="0.25">
      <c r="A1050" s="13">
        <v>41792</v>
      </c>
      <c r="B1050" t="s">
        <v>31</v>
      </c>
      <c r="C1050">
        <v>552.41583030000004</v>
      </c>
      <c r="D1050">
        <v>-1.0645026400718183E-2</v>
      </c>
      <c r="E1050">
        <f t="shared" si="16"/>
        <v>0</v>
      </c>
    </row>
    <row r="1051" spans="1:5" x14ac:dyDescent="0.25">
      <c r="A1051" s="13">
        <v>41793</v>
      </c>
      <c r="B1051" t="s">
        <v>31</v>
      </c>
      <c r="C1051">
        <v>543.45039689999999</v>
      </c>
      <c r="D1051">
        <v>-1.6229501234841903E-2</v>
      </c>
      <c r="E1051">
        <f t="shared" si="16"/>
        <v>0</v>
      </c>
    </row>
    <row r="1052" spans="1:5" x14ac:dyDescent="0.25">
      <c r="A1052" s="13">
        <v>41794</v>
      </c>
      <c r="B1052" t="s">
        <v>31</v>
      </c>
      <c r="C1052">
        <v>543.17115960000001</v>
      </c>
      <c r="D1052">
        <v>-5.1382297555180312E-4</v>
      </c>
      <c r="E1052">
        <f t="shared" si="16"/>
        <v>0</v>
      </c>
    </row>
    <row r="1053" spans="1:5" x14ac:dyDescent="0.25">
      <c r="A1053" s="13">
        <v>41795</v>
      </c>
      <c r="B1053" t="s">
        <v>31</v>
      </c>
      <c r="C1053">
        <v>552.38592340000002</v>
      </c>
      <c r="D1053">
        <v>1.6964751602029038E-2</v>
      </c>
      <c r="E1053">
        <f t="shared" si="16"/>
        <v>1</v>
      </c>
    </row>
    <row r="1054" spans="1:5" x14ac:dyDescent="0.25">
      <c r="A1054" s="13">
        <v>41796</v>
      </c>
      <c r="B1054" t="s">
        <v>31</v>
      </c>
      <c r="C1054">
        <v>554.80927410000004</v>
      </c>
      <c r="D1054">
        <v>4.3870609248766179E-3</v>
      </c>
      <c r="E1054">
        <f t="shared" si="16"/>
        <v>1</v>
      </c>
    </row>
    <row r="1055" spans="1:5" x14ac:dyDescent="0.25">
      <c r="A1055" s="13">
        <v>41799</v>
      </c>
      <c r="B1055" t="s">
        <v>31</v>
      </c>
      <c r="C1055">
        <v>560.5834701</v>
      </c>
      <c r="D1055">
        <v>1.0407533308391059E-2</v>
      </c>
      <c r="E1055">
        <f t="shared" si="16"/>
        <v>1</v>
      </c>
    </row>
    <row r="1056" spans="1:5" x14ac:dyDescent="0.25">
      <c r="A1056" s="13">
        <v>41800</v>
      </c>
      <c r="B1056" t="s">
        <v>31</v>
      </c>
      <c r="C1056">
        <v>559.01772779999999</v>
      </c>
      <c r="D1056">
        <v>-2.7930582750160804E-3</v>
      </c>
      <c r="E1056">
        <f t="shared" si="16"/>
        <v>0</v>
      </c>
    </row>
    <row r="1057" spans="1:5" x14ac:dyDescent="0.25">
      <c r="A1057" s="13">
        <v>41801</v>
      </c>
      <c r="B1057" t="s">
        <v>31</v>
      </c>
      <c r="C1057">
        <v>557.31239779999999</v>
      </c>
      <c r="D1057">
        <v>-3.0505830409194301E-3</v>
      </c>
      <c r="E1057">
        <f t="shared" si="16"/>
        <v>0</v>
      </c>
    </row>
    <row r="1058" spans="1:5" x14ac:dyDescent="0.25">
      <c r="A1058" s="13">
        <v>41802</v>
      </c>
      <c r="B1058" t="s">
        <v>31</v>
      </c>
      <c r="C1058">
        <v>549.84288240000001</v>
      </c>
      <c r="D1058">
        <v>-1.3402744007644518E-2</v>
      </c>
      <c r="E1058">
        <f t="shared" si="16"/>
        <v>0</v>
      </c>
    </row>
    <row r="1059" spans="1:5" x14ac:dyDescent="0.25">
      <c r="A1059" s="13">
        <v>41803</v>
      </c>
      <c r="B1059" t="s">
        <v>31</v>
      </c>
      <c r="C1059">
        <v>550.25175879999995</v>
      </c>
      <c r="D1059">
        <v>7.43624066233739E-4</v>
      </c>
      <c r="E1059">
        <f t="shared" si="16"/>
        <v>1</v>
      </c>
    </row>
    <row r="1060" spans="1:5" x14ac:dyDescent="0.25">
      <c r="A1060" s="13">
        <v>41806</v>
      </c>
      <c r="B1060" t="s">
        <v>31</v>
      </c>
      <c r="C1060">
        <v>542.7922519</v>
      </c>
      <c r="D1060">
        <v>-1.3556534405755993E-2</v>
      </c>
      <c r="E1060">
        <f t="shared" si="16"/>
        <v>0</v>
      </c>
    </row>
    <row r="1061" spans="1:5" x14ac:dyDescent="0.25">
      <c r="A1061" s="13">
        <v>41807</v>
      </c>
      <c r="B1061" t="s">
        <v>31</v>
      </c>
      <c r="C1061">
        <v>541.52570619999995</v>
      </c>
      <c r="D1061">
        <v>-2.3333894239768727E-3</v>
      </c>
      <c r="E1061">
        <f t="shared" si="16"/>
        <v>0</v>
      </c>
    </row>
    <row r="1062" spans="1:5" x14ac:dyDescent="0.25">
      <c r="A1062" s="13">
        <v>41808</v>
      </c>
      <c r="B1062" t="s">
        <v>31</v>
      </c>
      <c r="C1062">
        <v>551.8573566</v>
      </c>
      <c r="D1062">
        <v>1.9078781084095553E-2</v>
      </c>
      <c r="E1062">
        <f t="shared" si="16"/>
        <v>1</v>
      </c>
    </row>
    <row r="1063" spans="1:5" x14ac:dyDescent="0.25">
      <c r="A1063" s="13">
        <v>41809</v>
      </c>
      <c r="B1063" t="s">
        <v>31</v>
      </c>
      <c r="C1063">
        <v>553.38318149999998</v>
      </c>
      <c r="D1063">
        <v>2.7648900241188379E-3</v>
      </c>
      <c r="E1063">
        <f t="shared" si="16"/>
        <v>1</v>
      </c>
    </row>
    <row r="1064" spans="1:5" x14ac:dyDescent="0.25">
      <c r="A1064" s="13">
        <v>41810</v>
      </c>
      <c r="B1064" t="s">
        <v>31</v>
      </c>
      <c r="C1064">
        <v>554.83918100000005</v>
      </c>
      <c r="D1064">
        <v>2.6310873706958393E-3</v>
      </c>
      <c r="E1064">
        <f t="shared" si="16"/>
        <v>1</v>
      </c>
    </row>
    <row r="1065" spans="1:5" x14ac:dyDescent="0.25">
      <c r="A1065" s="13">
        <v>41813</v>
      </c>
      <c r="B1065" t="s">
        <v>31</v>
      </c>
      <c r="C1065">
        <v>563.40574849999996</v>
      </c>
      <c r="D1065">
        <v>1.5439730634307702E-2</v>
      </c>
      <c r="E1065">
        <f t="shared" si="16"/>
        <v>1</v>
      </c>
    </row>
    <row r="1066" spans="1:5" x14ac:dyDescent="0.25">
      <c r="A1066" s="13">
        <v>41814</v>
      </c>
      <c r="B1066" t="s">
        <v>31</v>
      </c>
      <c r="C1066">
        <v>563.07664509999995</v>
      </c>
      <c r="D1066">
        <v>-5.8413213013219778E-4</v>
      </c>
      <c r="E1066">
        <f t="shared" si="16"/>
        <v>0</v>
      </c>
    </row>
    <row r="1067" spans="1:5" x14ac:dyDescent="0.25">
      <c r="A1067" s="13">
        <v>41815</v>
      </c>
      <c r="B1067" t="s">
        <v>31</v>
      </c>
      <c r="C1067">
        <v>577.06828599999994</v>
      </c>
      <c r="D1067">
        <v>2.4848554849074223E-2</v>
      </c>
      <c r="E1067">
        <f t="shared" si="16"/>
        <v>1</v>
      </c>
    </row>
    <row r="1068" spans="1:5" x14ac:dyDescent="0.25">
      <c r="A1068" s="13">
        <v>41816</v>
      </c>
      <c r="B1068" t="s">
        <v>31</v>
      </c>
      <c r="C1068">
        <v>574.42551279999998</v>
      </c>
      <c r="D1068">
        <v>-4.5796542005774876E-3</v>
      </c>
      <c r="E1068">
        <f t="shared" si="16"/>
        <v>0</v>
      </c>
    </row>
    <row r="1069" spans="1:5" x14ac:dyDescent="0.25">
      <c r="A1069" s="13">
        <v>41817</v>
      </c>
      <c r="B1069" t="s">
        <v>31</v>
      </c>
      <c r="C1069">
        <v>575.66215160000002</v>
      </c>
      <c r="D1069">
        <v>2.1528270810466932E-3</v>
      </c>
      <c r="E1069">
        <f t="shared" si="16"/>
        <v>1</v>
      </c>
    </row>
    <row r="1070" spans="1:5" x14ac:dyDescent="0.25">
      <c r="A1070" s="13">
        <v>41820</v>
      </c>
      <c r="B1070" t="s">
        <v>31</v>
      </c>
      <c r="C1070">
        <v>573.70749209999997</v>
      </c>
      <c r="D1070">
        <v>-3.3954976796151115E-3</v>
      </c>
      <c r="E1070">
        <f t="shared" si="16"/>
        <v>0</v>
      </c>
    </row>
    <row r="1071" spans="1:5" x14ac:dyDescent="0.25">
      <c r="A1071" s="13">
        <v>41821</v>
      </c>
      <c r="B1071" t="s">
        <v>31</v>
      </c>
      <c r="C1071">
        <v>581.07727629999999</v>
      </c>
      <c r="D1071">
        <v>1.2845891506529927E-2</v>
      </c>
      <c r="E1071">
        <f t="shared" si="16"/>
        <v>1</v>
      </c>
    </row>
    <row r="1072" spans="1:5" x14ac:dyDescent="0.25">
      <c r="A1072" s="13">
        <v>41822</v>
      </c>
      <c r="B1072" t="s">
        <v>31</v>
      </c>
      <c r="C1072">
        <v>580.74322949999998</v>
      </c>
      <c r="D1072">
        <v>-5.748750013544468E-4</v>
      </c>
      <c r="E1072">
        <f t="shared" si="16"/>
        <v>0</v>
      </c>
    </row>
    <row r="1073" spans="1:5" x14ac:dyDescent="0.25">
      <c r="A1073" s="13">
        <v>41823</v>
      </c>
      <c r="B1073" t="s">
        <v>31</v>
      </c>
      <c r="C1073">
        <v>583.13166799999999</v>
      </c>
      <c r="D1073">
        <v>4.1127272410155236E-3</v>
      </c>
      <c r="E1073">
        <f t="shared" si="16"/>
        <v>1</v>
      </c>
    </row>
    <row r="1074" spans="1:5" x14ac:dyDescent="0.25">
      <c r="A1074" s="13">
        <v>41827</v>
      </c>
      <c r="B1074" t="s">
        <v>31</v>
      </c>
      <c r="C1074">
        <v>580.65845119999994</v>
      </c>
      <c r="D1074">
        <v>-4.2412664852906623E-3</v>
      </c>
      <c r="E1074">
        <f t="shared" si="16"/>
        <v>0</v>
      </c>
    </row>
    <row r="1075" spans="1:5" x14ac:dyDescent="0.25">
      <c r="A1075" s="13">
        <v>41828</v>
      </c>
      <c r="B1075" t="s">
        <v>31</v>
      </c>
      <c r="C1075">
        <v>569.52894530000003</v>
      </c>
      <c r="D1075">
        <v>-1.9167043684629848E-2</v>
      </c>
      <c r="E1075">
        <f t="shared" si="16"/>
        <v>0</v>
      </c>
    </row>
    <row r="1076" spans="1:5" x14ac:dyDescent="0.25">
      <c r="A1076" s="13">
        <v>41829</v>
      </c>
      <c r="B1076" t="s">
        <v>31</v>
      </c>
      <c r="C1076">
        <v>574.50528569999994</v>
      </c>
      <c r="D1076">
        <v>8.7376426449732314E-3</v>
      </c>
      <c r="E1076">
        <f t="shared" si="16"/>
        <v>1</v>
      </c>
    </row>
    <row r="1077" spans="1:5" x14ac:dyDescent="0.25">
      <c r="A1077" s="13">
        <v>41830</v>
      </c>
      <c r="B1077" t="s">
        <v>31</v>
      </c>
      <c r="C1077">
        <v>569.53889400000003</v>
      </c>
      <c r="D1077">
        <v>-8.6446405692310879E-3</v>
      </c>
      <c r="E1077">
        <f t="shared" si="16"/>
        <v>0</v>
      </c>
    </row>
    <row r="1078" spans="1:5" x14ac:dyDescent="0.25">
      <c r="A1078" s="13">
        <v>41831</v>
      </c>
      <c r="B1078" t="s">
        <v>31</v>
      </c>
      <c r="C1078">
        <v>577.59685279999997</v>
      </c>
      <c r="D1078">
        <v>1.4148215134891062E-2</v>
      </c>
      <c r="E1078">
        <f t="shared" si="16"/>
        <v>1</v>
      </c>
    </row>
    <row r="1079" spans="1:5" x14ac:dyDescent="0.25">
      <c r="A1079" s="13">
        <v>41834</v>
      </c>
      <c r="B1079" t="s">
        <v>31</v>
      </c>
      <c r="C1079">
        <v>583.27125579999995</v>
      </c>
      <c r="D1079">
        <v>9.8241584463147902E-3</v>
      </c>
      <c r="E1079">
        <f t="shared" si="16"/>
        <v>1</v>
      </c>
    </row>
    <row r="1080" spans="1:5" x14ac:dyDescent="0.25">
      <c r="A1080" s="13">
        <v>41835</v>
      </c>
      <c r="B1080" t="s">
        <v>31</v>
      </c>
      <c r="C1080">
        <v>583.18153410000002</v>
      </c>
      <c r="D1080">
        <v>-1.5382499841665176E-4</v>
      </c>
      <c r="E1080">
        <f t="shared" si="16"/>
        <v>0</v>
      </c>
    </row>
    <row r="1081" spans="1:5" x14ac:dyDescent="0.25">
      <c r="A1081" s="13">
        <v>41836</v>
      </c>
      <c r="B1081" t="s">
        <v>31</v>
      </c>
      <c r="C1081">
        <v>581.06732769999996</v>
      </c>
      <c r="D1081">
        <v>-3.6252972297259323E-3</v>
      </c>
      <c r="E1081">
        <f t="shared" si="16"/>
        <v>0</v>
      </c>
    </row>
    <row r="1082" spans="1:5" x14ac:dyDescent="0.25">
      <c r="A1082" s="13">
        <v>41837</v>
      </c>
      <c r="B1082" t="s">
        <v>31</v>
      </c>
      <c r="C1082">
        <v>572.16170899999997</v>
      </c>
      <c r="D1082">
        <v>-1.532631121293726E-2</v>
      </c>
      <c r="E1082">
        <f t="shared" si="16"/>
        <v>0</v>
      </c>
    </row>
    <row r="1083" spans="1:5" x14ac:dyDescent="0.25">
      <c r="A1083" s="13">
        <v>41838</v>
      </c>
      <c r="B1083" t="s">
        <v>31</v>
      </c>
      <c r="C1083">
        <v>593.45336980000002</v>
      </c>
      <c r="D1083">
        <v>3.7212662897719406E-2</v>
      </c>
      <c r="E1083">
        <f t="shared" si="16"/>
        <v>1</v>
      </c>
    </row>
    <row r="1084" spans="1:5" x14ac:dyDescent="0.25">
      <c r="A1084" s="13">
        <v>41841</v>
      </c>
      <c r="B1084" t="s">
        <v>31</v>
      </c>
      <c r="C1084">
        <v>587.85867900000005</v>
      </c>
      <c r="D1084">
        <v>-9.4273469234582574E-3</v>
      </c>
      <c r="E1084">
        <f t="shared" si="16"/>
        <v>0</v>
      </c>
    </row>
    <row r="1085" spans="1:5" x14ac:dyDescent="0.25">
      <c r="A1085" s="13">
        <v>41842</v>
      </c>
      <c r="B1085" t="s">
        <v>31</v>
      </c>
      <c r="C1085">
        <v>593.11431760000005</v>
      </c>
      <c r="D1085">
        <v>8.9403096147875338E-3</v>
      </c>
      <c r="E1085">
        <f t="shared" si="16"/>
        <v>1</v>
      </c>
    </row>
    <row r="1086" spans="1:5" x14ac:dyDescent="0.25">
      <c r="A1086" s="13">
        <v>41843</v>
      </c>
      <c r="B1086" t="s">
        <v>31</v>
      </c>
      <c r="C1086">
        <v>594.35089559999994</v>
      </c>
      <c r="D1086">
        <v>2.0848898151770712E-3</v>
      </c>
      <c r="E1086">
        <f t="shared" si="16"/>
        <v>1</v>
      </c>
    </row>
    <row r="1087" spans="1:5" x14ac:dyDescent="0.25">
      <c r="A1087" s="13">
        <v>41844</v>
      </c>
      <c r="B1087" t="s">
        <v>31</v>
      </c>
      <c r="C1087">
        <v>591.7280816</v>
      </c>
      <c r="D1087">
        <v>-4.4129049344701077E-3</v>
      </c>
      <c r="E1087">
        <f t="shared" si="16"/>
        <v>0</v>
      </c>
    </row>
    <row r="1088" spans="1:5" x14ac:dyDescent="0.25">
      <c r="A1088" s="13">
        <v>41845</v>
      </c>
      <c r="B1088" t="s">
        <v>31</v>
      </c>
      <c r="C1088">
        <v>587.40994699999999</v>
      </c>
      <c r="D1088">
        <v>-7.297498182482709E-3</v>
      </c>
      <c r="E1088">
        <f t="shared" si="16"/>
        <v>0</v>
      </c>
    </row>
    <row r="1089" spans="1:5" x14ac:dyDescent="0.25">
      <c r="A1089" s="13">
        <v>41848</v>
      </c>
      <c r="B1089" t="s">
        <v>31</v>
      </c>
      <c r="C1089">
        <v>588.98563690000003</v>
      </c>
      <c r="D1089">
        <v>2.6824365301394426E-3</v>
      </c>
      <c r="E1089">
        <f t="shared" si="16"/>
        <v>1</v>
      </c>
    </row>
    <row r="1090" spans="1:5" x14ac:dyDescent="0.25">
      <c r="A1090" s="13">
        <v>41849</v>
      </c>
      <c r="B1090" t="s">
        <v>31</v>
      </c>
      <c r="C1090">
        <v>584.00923560000001</v>
      </c>
      <c r="D1090">
        <v>-8.4491046779888723E-3</v>
      </c>
      <c r="E1090">
        <f t="shared" si="16"/>
        <v>0</v>
      </c>
    </row>
    <row r="1091" spans="1:5" x14ac:dyDescent="0.25">
      <c r="A1091" s="13">
        <v>41850</v>
      </c>
      <c r="B1091" t="s">
        <v>31</v>
      </c>
      <c r="C1091">
        <v>585.81429679999997</v>
      </c>
      <c r="D1091">
        <v>3.0908093399335534E-3</v>
      </c>
      <c r="E1091">
        <f t="shared" ref="E1091:E1154" si="17">IF(D1091&gt;0,1,0)</f>
        <v>1</v>
      </c>
    </row>
    <row r="1092" spans="1:5" x14ac:dyDescent="0.25">
      <c r="A1092" s="13">
        <v>41851</v>
      </c>
      <c r="B1092" t="s">
        <v>31</v>
      </c>
      <c r="C1092">
        <v>570.03755390000003</v>
      </c>
      <c r="D1092">
        <v>-2.6931303974962906E-2</v>
      </c>
      <c r="E1092">
        <f t="shared" si="17"/>
        <v>0</v>
      </c>
    </row>
    <row r="1093" spans="1:5" x14ac:dyDescent="0.25">
      <c r="A1093" s="13">
        <v>41852</v>
      </c>
      <c r="B1093" t="s">
        <v>31</v>
      </c>
      <c r="C1093">
        <v>564.5226361</v>
      </c>
      <c r="D1093">
        <v>-9.6746569805250537E-3</v>
      </c>
      <c r="E1093">
        <f t="shared" si="17"/>
        <v>0</v>
      </c>
    </row>
    <row r="1094" spans="1:5" x14ac:dyDescent="0.25">
      <c r="A1094" s="13">
        <v>41855</v>
      </c>
      <c r="B1094" t="s">
        <v>31</v>
      </c>
      <c r="C1094">
        <v>571.58333689999995</v>
      </c>
      <c r="D1094">
        <v>1.2507382961255198E-2</v>
      </c>
      <c r="E1094">
        <f t="shared" si="17"/>
        <v>1</v>
      </c>
    </row>
    <row r="1095" spans="1:5" x14ac:dyDescent="0.25">
      <c r="A1095" s="13">
        <v>41856</v>
      </c>
      <c r="B1095" t="s">
        <v>31</v>
      </c>
      <c r="C1095">
        <v>563.52537810000001</v>
      </c>
      <c r="D1095">
        <v>-1.4097609709377679E-2</v>
      </c>
      <c r="E1095">
        <f t="shared" si="17"/>
        <v>0</v>
      </c>
    </row>
    <row r="1096" spans="1:5" x14ac:dyDescent="0.25">
      <c r="A1096" s="13">
        <v>41857</v>
      </c>
      <c r="B1096" t="s">
        <v>31</v>
      </c>
      <c r="C1096">
        <v>564.82585959999994</v>
      </c>
      <c r="D1096">
        <v>2.3077603077694686E-3</v>
      </c>
      <c r="E1096">
        <f t="shared" si="17"/>
        <v>1</v>
      </c>
    </row>
    <row r="1097" spans="1:5" x14ac:dyDescent="0.25">
      <c r="A1097" s="13">
        <v>41858</v>
      </c>
      <c r="B1097" t="s">
        <v>31</v>
      </c>
      <c r="C1097">
        <v>561.82004810000001</v>
      </c>
      <c r="D1097">
        <v>-5.3216605594662569E-3</v>
      </c>
      <c r="E1097">
        <f t="shared" si="17"/>
        <v>0</v>
      </c>
    </row>
    <row r="1098" spans="1:5" x14ac:dyDescent="0.25">
      <c r="A1098" s="13">
        <v>41859</v>
      </c>
      <c r="B1098" t="s">
        <v>31</v>
      </c>
      <c r="C1098">
        <v>567.21527549999996</v>
      </c>
      <c r="D1098">
        <v>9.6031236661024977E-3</v>
      </c>
      <c r="E1098">
        <f t="shared" si="17"/>
        <v>1</v>
      </c>
    </row>
    <row r="1099" spans="1:5" x14ac:dyDescent="0.25">
      <c r="A1099" s="13">
        <v>41862</v>
      </c>
      <c r="B1099" t="s">
        <v>31</v>
      </c>
      <c r="C1099">
        <v>566.32769829999995</v>
      </c>
      <c r="D1099">
        <v>-1.5647977731516605E-3</v>
      </c>
      <c r="E1099">
        <f t="shared" si="17"/>
        <v>0</v>
      </c>
    </row>
    <row r="1100" spans="1:5" x14ac:dyDescent="0.25">
      <c r="A1100" s="13">
        <v>41863</v>
      </c>
      <c r="B1100" t="s">
        <v>31</v>
      </c>
      <c r="C1100">
        <v>561.19180989999995</v>
      </c>
      <c r="D1100">
        <v>-9.0687572149780182E-3</v>
      </c>
      <c r="E1100">
        <f t="shared" si="17"/>
        <v>0</v>
      </c>
    </row>
    <row r="1101" spans="1:5" x14ac:dyDescent="0.25">
      <c r="A1101" s="13">
        <v>41864</v>
      </c>
      <c r="B1101" t="s">
        <v>31</v>
      </c>
      <c r="C1101">
        <v>573.20883219999996</v>
      </c>
      <c r="D1101">
        <v>2.1413395719622752E-2</v>
      </c>
      <c r="E1101">
        <f t="shared" si="17"/>
        <v>1</v>
      </c>
    </row>
    <row r="1102" spans="1:5" x14ac:dyDescent="0.25">
      <c r="A1102" s="13">
        <v>41865</v>
      </c>
      <c r="B1102" t="s">
        <v>31</v>
      </c>
      <c r="C1102">
        <v>573.0791931</v>
      </c>
      <c r="D1102">
        <v>-2.2616382148610281E-4</v>
      </c>
      <c r="E1102">
        <f t="shared" si="17"/>
        <v>0</v>
      </c>
    </row>
    <row r="1103" spans="1:5" x14ac:dyDescent="0.25">
      <c r="A1103" s="13">
        <v>41866</v>
      </c>
      <c r="B1103" t="s">
        <v>31</v>
      </c>
      <c r="C1103">
        <v>571.91244040000004</v>
      </c>
      <c r="D1103">
        <v>-2.0359362441489948E-3</v>
      </c>
      <c r="E1103">
        <f t="shared" si="17"/>
        <v>0</v>
      </c>
    </row>
    <row r="1104" spans="1:5" x14ac:dyDescent="0.25">
      <c r="A1104" s="13">
        <v>41869</v>
      </c>
      <c r="B1104" t="s">
        <v>31</v>
      </c>
      <c r="C1104">
        <v>580.56866769999999</v>
      </c>
      <c r="D1104">
        <v>1.5135581408135979E-2</v>
      </c>
      <c r="E1104">
        <f t="shared" si="17"/>
        <v>1</v>
      </c>
    </row>
    <row r="1105" spans="1:5" x14ac:dyDescent="0.25">
      <c r="A1105" s="13">
        <v>41870</v>
      </c>
      <c r="B1105" t="s">
        <v>31</v>
      </c>
      <c r="C1105">
        <v>585.25582310000004</v>
      </c>
      <c r="D1105">
        <v>8.0733867684745775E-3</v>
      </c>
      <c r="E1105">
        <f t="shared" si="17"/>
        <v>1</v>
      </c>
    </row>
    <row r="1106" spans="1:5" x14ac:dyDescent="0.25">
      <c r="A1106" s="13">
        <v>41871</v>
      </c>
      <c r="B1106" t="s">
        <v>31</v>
      </c>
      <c r="C1106">
        <v>582.89228720000006</v>
      </c>
      <c r="D1106">
        <v>-4.0384662684443962E-3</v>
      </c>
      <c r="E1106">
        <f t="shared" si="17"/>
        <v>0</v>
      </c>
    </row>
    <row r="1107" spans="1:5" x14ac:dyDescent="0.25">
      <c r="A1107" s="13">
        <v>41872</v>
      </c>
      <c r="B1107" t="s">
        <v>31</v>
      </c>
      <c r="C1107">
        <v>581.77539960000001</v>
      </c>
      <c r="D1107">
        <v>-1.9161131902519779E-3</v>
      </c>
      <c r="E1107">
        <f t="shared" si="17"/>
        <v>0</v>
      </c>
    </row>
    <row r="1108" spans="1:5" x14ac:dyDescent="0.25">
      <c r="A1108" s="13">
        <v>41873</v>
      </c>
      <c r="B1108" t="s">
        <v>31</v>
      </c>
      <c r="C1108">
        <v>580.96759550000002</v>
      </c>
      <c r="D1108">
        <v>-1.3885153971023856E-3</v>
      </c>
      <c r="E1108">
        <f t="shared" si="17"/>
        <v>0</v>
      </c>
    </row>
    <row r="1109" spans="1:5" x14ac:dyDescent="0.25">
      <c r="A1109" s="13">
        <v>41876</v>
      </c>
      <c r="B1109" t="s">
        <v>31</v>
      </c>
      <c r="C1109">
        <v>578.61406910000005</v>
      </c>
      <c r="D1109">
        <v>-4.0510459072582439E-3</v>
      </c>
      <c r="E1109">
        <f t="shared" si="17"/>
        <v>0</v>
      </c>
    </row>
    <row r="1110" spans="1:5" x14ac:dyDescent="0.25">
      <c r="A1110" s="13">
        <v>41877</v>
      </c>
      <c r="B1110" t="s">
        <v>31</v>
      </c>
      <c r="C1110">
        <v>576.280441</v>
      </c>
      <c r="D1110">
        <v>-4.0331340432663287E-3</v>
      </c>
      <c r="E1110">
        <f t="shared" si="17"/>
        <v>0</v>
      </c>
    </row>
    <row r="1111" spans="1:5" x14ac:dyDescent="0.25">
      <c r="A1111" s="13">
        <v>41878</v>
      </c>
      <c r="B1111" t="s">
        <v>31</v>
      </c>
      <c r="C1111">
        <v>569.43916179999997</v>
      </c>
      <c r="D1111">
        <v>-1.187144090493264E-2</v>
      </c>
      <c r="E1111">
        <f t="shared" si="17"/>
        <v>0</v>
      </c>
    </row>
    <row r="1112" spans="1:5" x14ac:dyDescent="0.25">
      <c r="A1112" s="13">
        <v>41879</v>
      </c>
      <c r="B1112" t="s">
        <v>31</v>
      </c>
      <c r="C1112">
        <v>567.64411010000003</v>
      </c>
      <c r="D1112">
        <v>-3.1523151557152351E-3</v>
      </c>
      <c r="E1112">
        <f t="shared" si="17"/>
        <v>0</v>
      </c>
    </row>
    <row r="1113" spans="1:5" x14ac:dyDescent="0.25">
      <c r="A1113" s="13">
        <v>41880</v>
      </c>
      <c r="B1113" t="s">
        <v>31</v>
      </c>
      <c r="C1113">
        <v>570.03755390000003</v>
      </c>
      <c r="D1113">
        <v>4.2164513951854499E-3</v>
      </c>
      <c r="E1113">
        <f t="shared" si="17"/>
        <v>1</v>
      </c>
    </row>
    <row r="1114" spans="1:5" x14ac:dyDescent="0.25">
      <c r="A1114" s="13">
        <v>41884</v>
      </c>
      <c r="B1114" t="s">
        <v>31</v>
      </c>
      <c r="C1114">
        <v>575.75187419999997</v>
      </c>
      <c r="D1114">
        <v>1.0024462881269125E-2</v>
      </c>
      <c r="E1114">
        <f t="shared" si="17"/>
        <v>1</v>
      </c>
    </row>
    <row r="1115" spans="1:5" x14ac:dyDescent="0.25">
      <c r="A1115" s="13">
        <v>41885</v>
      </c>
      <c r="B1115" t="s">
        <v>31</v>
      </c>
      <c r="C1115">
        <v>576.36021400000004</v>
      </c>
      <c r="D1115">
        <v>1.0566006421521834E-3</v>
      </c>
      <c r="E1115">
        <f t="shared" si="17"/>
        <v>1</v>
      </c>
    </row>
    <row r="1116" spans="1:5" x14ac:dyDescent="0.25">
      <c r="A1116" s="13">
        <v>41886</v>
      </c>
      <c r="B1116" t="s">
        <v>31</v>
      </c>
      <c r="C1116">
        <v>580.38916259999996</v>
      </c>
      <c r="D1116">
        <v>6.9903308766554595E-3</v>
      </c>
      <c r="E1116">
        <f t="shared" si="17"/>
        <v>1</v>
      </c>
    </row>
    <row r="1117" spans="1:5" x14ac:dyDescent="0.25">
      <c r="A1117" s="13">
        <v>41887</v>
      </c>
      <c r="B1117" t="s">
        <v>31</v>
      </c>
      <c r="C1117">
        <v>584.47798769999997</v>
      </c>
      <c r="D1117">
        <v>7.0449714837594879E-3</v>
      </c>
      <c r="E1117">
        <f t="shared" si="17"/>
        <v>1</v>
      </c>
    </row>
    <row r="1118" spans="1:5" x14ac:dyDescent="0.25">
      <c r="A1118" s="13">
        <v>41890</v>
      </c>
      <c r="B1118" t="s">
        <v>31</v>
      </c>
      <c r="C1118">
        <v>588.10800849999998</v>
      </c>
      <c r="D1118">
        <v>6.2107057517848396E-3</v>
      </c>
      <c r="E1118">
        <f t="shared" si="17"/>
        <v>1</v>
      </c>
    </row>
    <row r="1119" spans="1:5" x14ac:dyDescent="0.25">
      <c r="A1119" s="13">
        <v>41891</v>
      </c>
      <c r="B1119" t="s">
        <v>31</v>
      </c>
      <c r="C1119">
        <v>579.42181240000002</v>
      </c>
      <c r="D1119">
        <v>-1.4769729326003511E-2</v>
      </c>
      <c r="E1119">
        <f t="shared" si="17"/>
        <v>0</v>
      </c>
    </row>
    <row r="1120" spans="1:5" x14ac:dyDescent="0.25">
      <c r="A1120" s="13">
        <v>41892</v>
      </c>
      <c r="B1120" t="s">
        <v>31</v>
      </c>
      <c r="C1120">
        <v>581.50611100000003</v>
      </c>
      <c r="D1120">
        <v>3.5972042394585291E-3</v>
      </c>
      <c r="E1120">
        <f t="shared" si="17"/>
        <v>1</v>
      </c>
    </row>
    <row r="1121" spans="1:5" x14ac:dyDescent="0.25">
      <c r="A1121" s="13">
        <v>41893</v>
      </c>
      <c r="B1121" t="s">
        <v>31</v>
      </c>
      <c r="C1121">
        <v>579.76092540000002</v>
      </c>
      <c r="D1121">
        <v>-3.0011474806324046E-3</v>
      </c>
      <c r="E1121">
        <f t="shared" si="17"/>
        <v>0</v>
      </c>
    </row>
    <row r="1122" spans="1:5" x14ac:dyDescent="0.25">
      <c r="A1122" s="13">
        <v>41894</v>
      </c>
      <c r="B1122" t="s">
        <v>31</v>
      </c>
      <c r="C1122">
        <v>574.04654419999997</v>
      </c>
      <c r="D1122">
        <v>-9.8564441818107529E-3</v>
      </c>
      <c r="E1122">
        <f t="shared" si="17"/>
        <v>0</v>
      </c>
    </row>
    <row r="1123" spans="1:5" x14ac:dyDescent="0.25">
      <c r="A1123" s="13">
        <v>41897</v>
      </c>
      <c r="B1123" t="s">
        <v>31</v>
      </c>
      <c r="C1123">
        <v>571.5334709</v>
      </c>
      <c r="D1123">
        <v>-4.3778214944264482E-3</v>
      </c>
      <c r="E1123">
        <f t="shared" si="17"/>
        <v>0</v>
      </c>
    </row>
    <row r="1124" spans="1:5" x14ac:dyDescent="0.25">
      <c r="A1124" s="13">
        <v>41898</v>
      </c>
      <c r="B1124" t="s">
        <v>31</v>
      </c>
      <c r="C1124">
        <v>578.36473960000001</v>
      </c>
      <c r="D1124">
        <v>1.195252605108621E-2</v>
      </c>
      <c r="E1124">
        <f t="shared" si="17"/>
        <v>1</v>
      </c>
    </row>
    <row r="1125" spans="1:5" x14ac:dyDescent="0.25">
      <c r="A1125" s="13">
        <v>41899</v>
      </c>
      <c r="B1125" t="s">
        <v>31</v>
      </c>
      <c r="C1125">
        <v>583.1715246</v>
      </c>
      <c r="D1125">
        <v>8.3109924773843158E-3</v>
      </c>
      <c r="E1125">
        <f t="shared" si="17"/>
        <v>1</v>
      </c>
    </row>
    <row r="1126" spans="1:5" x14ac:dyDescent="0.25">
      <c r="A1126" s="13">
        <v>41900</v>
      </c>
      <c r="B1126" t="s">
        <v>31</v>
      </c>
      <c r="C1126">
        <v>587.65927650000003</v>
      </c>
      <c r="D1126">
        <v>7.6954235772712654E-3</v>
      </c>
      <c r="E1126">
        <f t="shared" si="17"/>
        <v>1</v>
      </c>
    </row>
    <row r="1127" spans="1:5" x14ac:dyDescent="0.25">
      <c r="A1127" s="13">
        <v>41901</v>
      </c>
      <c r="B1127" t="s">
        <v>31</v>
      </c>
      <c r="C1127">
        <v>594.45062780000001</v>
      </c>
      <c r="D1127">
        <v>1.155661379234596E-2</v>
      </c>
      <c r="E1127">
        <f t="shared" si="17"/>
        <v>1</v>
      </c>
    </row>
    <row r="1128" spans="1:5" x14ac:dyDescent="0.25">
      <c r="A1128" s="13">
        <v>41904</v>
      </c>
      <c r="B1128" t="s">
        <v>31</v>
      </c>
      <c r="C1128">
        <v>585.76443180000001</v>
      </c>
      <c r="D1128">
        <v>-1.4612140342330382E-2</v>
      </c>
      <c r="E1128">
        <f t="shared" si="17"/>
        <v>0</v>
      </c>
    </row>
    <row r="1129" spans="1:5" x14ac:dyDescent="0.25">
      <c r="A1129" s="13">
        <v>41905</v>
      </c>
      <c r="B1129" t="s">
        <v>31</v>
      </c>
      <c r="C1129">
        <v>579.54150279999999</v>
      </c>
      <c r="D1129">
        <v>-1.062360338417534E-2</v>
      </c>
      <c r="E1129">
        <f t="shared" si="17"/>
        <v>0</v>
      </c>
    </row>
    <row r="1130" spans="1:5" x14ac:dyDescent="0.25">
      <c r="A1130" s="13">
        <v>41906</v>
      </c>
      <c r="B1130" t="s">
        <v>31</v>
      </c>
      <c r="C1130">
        <v>586.38272019999999</v>
      </c>
      <c r="D1130">
        <v>1.180453404449433E-2</v>
      </c>
      <c r="E1130">
        <f t="shared" si="17"/>
        <v>1</v>
      </c>
    </row>
    <row r="1131" spans="1:5" x14ac:dyDescent="0.25">
      <c r="A1131" s="13">
        <v>41907</v>
      </c>
      <c r="B1131" t="s">
        <v>31</v>
      </c>
      <c r="C1131">
        <v>573.48806950000005</v>
      </c>
      <c r="D1131">
        <v>-2.1990161469290781E-2</v>
      </c>
      <c r="E1131">
        <f t="shared" si="17"/>
        <v>0</v>
      </c>
    </row>
    <row r="1132" spans="1:5" x14ac:dyDescent="0.25">
      <c r="A1132" s="13">
        <v>41908</v>
      </c>
      <c r="B1132" t="s">
        <v>31</v>
      </c>
      <c r="C1132">
        <v>575.52250300000003</v>
      </c>
      <c r="D1132">
        <v>3.5474731004843107E-3</v>
      </c>
      <c r="E1132">
        <f t="shared" si="17"/>
        <v>1</v>
      </c>
    </row>
    <row r="1133" spans="1:5" x14ac:dyDescent="0.25">
      <c r="A1133" s="13">
        <v>41911</v>
      </c>
      <c r="B1133" t="s">
        <v>31</v>
      </c>
      <c r="C1133">
        <v>574.7845231</v>
      </c>
      <c r="D1133">
        <v>-1.2822780971259995E-3</v>
      </c>
      <c r="E1133">
        <f t="shared" si="17"/>
        <v>0</v>
      </c>
    </row>
    <row r="1134" spans="1:5" x14ac:dyDescent="0.25">
      <c r="A1134" s="13">
        <v>41912</v>
      </c>
      <c r="B1134" t="s">
        <v>31</v>
      </c>
      <c r="C1134">
        <v>575.78178109999999</v>
      </c>
      <c r="D1134">
        <v>1.7350119217223181E-3</v>
      </c>
      <c r="E1134">
        <f t="shared" si="17"/>
        <v>1</v>
      </c>
    </row>
    <row r="1135" spans="1:5" x14ac:dyDescent="0.25">
      <c r="A1135" s="13">
        <v>41913</v>
      </c>
      <c r="B1135" t="s">
        <v>31</v>
      </c>
      <c r="C1135">
        <v>566.71667639999998</v>
      </c>
      <c r="D1135">
        <v>-1.5743993640579657E-2</v>
      </c>
      <c r="E1135">
        <f t="shared" si="17"/>
        <v>0</v>
      </c>
    </row>
    <row r="1136" spans="1:5" x14ac:dyDescent="0.25">
      <c r="A1136" s="13">
        <v>41914</v>
      </c>
      <c r="B1136" t="s">
        <v>31</v>
      </c>
      <c r="C1136">
        <v>568.52167770000005</v>
      </c>
      <c r="D1136">
        <v>3.1850153262933389E-3</v>
      </c>
      <c r="E1136">
        <f t="shared" si="17"/>
        <v>1</v>
      </c>
    </row>
    <row r="1137" spans="1:5" x14ac:dyDescent="0.25">
      <c r="A1137" s="13">
        <v>41915</v>
      </c>
      <c r="B1137" t="s">
        <v>31</v>
      </c>
      <c r="C1137">
        <v>573.70749209999997</v>
      </c>
      <c r="D1137">
        <v>9.1215772474666501E-3</v>
      </c>
      <c r="E1137">
        <f t="shared" si="17"/>
        <v>1</v>
      </c>
    </row>
    <row r="1138" spans="1:5" x14ac:dyDescent="0.25">
      <c r="A1138" s="13">
        <v>41918</v>
      </c>
      <c r="B1138" t="s">
        <v>31</v>
      </c>
      <c r="C1138">
        <v>575.77183239999999</v>
      </c>
      <c r="D1138">
        <v>3.5982453226184319E-3</v>
      </c>
      <c r="E1138">
        <f t="shared" si="17"/>
        <v>1</v>
      </c>
    </row>
    <row r="1139" spans="1:5" x14ac:dyDescent="0.25">
      <c r="A1139" s="13">
        <v>41919</v>
      </c>
      <c r="B1139" t="s">
        <v>31</v>
      </c>
      <c r="C1139">
        <v>562.19901660000005</v>
      </c>
      <c r="D1139">
        <v>-2.3573254258417164E-2</v>
      </c>
      <c r="E1139">
        <f t="shared" si="17"/>
        <v>0</v>
      </c>
    </row>
    <row r="1140" spans="1:5" x14ac:dyDescent="0.25">
      <c r="A1140" s="13">
        <v>41920</v>
      </c>
      <c r="B1140" t="s">
        <v>31</v>
      </c>
      <c r="C1140">
        <v>570.93507969999996</v>
      </c>
      <c r="D1140">
        <v>1.5539093527471515E-2</v>
      </c>
      <c r="E1140">
        <f t="shared" si="17"/>
        <v>1</v>
      </c>
    </row>
    <row r="1141" spans="1:5" x14ac:dyDescent="0.25">
      <c r="A1141" s="13">
        <v>41921</v>
      </c>
      <c r="B1141" t="s">
        <v>31</v>
      </c>
      <c r="C1141">
        <v>559.34683129999996</v>
      </c>
      <c r="D1141">
        <v>-2.0296963371192911E-2</v>
      </c>
      <c r="E1141">
        <f t="shared" si="17"/>
        <v>0</v>
      </c>
    </row>
    <row r="1142" spans="1:5" x14ac:dyDescent="0.25">
      <c r="A1142" s="13">
        <v>41922</v>
      </c>
      <c r="B1142" t="s">
        <v>31</v>
      </c>
      <c r="C1142">
        <v>543.00166490000004</v>
      </c>
      <c r="D1142">
        <v>-2.9221880746175821E-2</v>
      </c>
      <c r="E1142">
        <f t="shared" si="17"/>
        <v>0</v>
      </c>
    </row>
    <row r="1143" spans="1:5" x14ac:dyDescent="0.25">
      <c r="A1143" s="13">
        <v>41925</v>
      </c>
      <c r="B1143" t="s">
        <v>31</v>
      </c>
      <c r="C1143">
        <v>531.75246760000005</v>
      </c>
      <c r="D1143">
        <v>-2.0716690255584536E-2</v>
      </c>
      <c r="E1143">
        <f t="shared" si="17"/>
        <v>0</v>
      </c>
    </row>
    <row r="1144" spans="1:5" x14ac:dyDescent="0.25">
      <c r="A1144" s="13">
        <v>41926</v>
      </c>
      <c r="B1144" t="s">
        <v>31</v>
      </c>
      <c r="C1144">
        <v>536.4695309</v>
      </c>
      <c r="D1144">
        <v>8.8707877958513759E-3</v>
      </c>
      <c r="E1144">
        <f t="shared" si="17"/>
        <v>1</v>
      </c>
    </row>
    <row r="1145" spans="1:5" x14ac:dyDescent="0.25">
      <c r="A1145" s="13">
        <v>41927</v>
      </c>
      <c r="B1145" t="s">
        <v>31</v>
      </c>
      <c r="C1145">
        <v>528.58118930000001</v>
      </c>
      <c r="D1145">
        <v>-1.470417450692163E-2</v>
      </c>
      <c r="E1145">
        <f t="shared" si="17"/>
        <v>0</v>
      </c>
    </row>
    <row r="1146" spans="1:5" x14ac:dyDescent="0.25">
      <c r="A1146" s="13">
        <v>41928</v>
      </c>
      <c r="B1146" t="s">
        <v>31</v>
      </c>
      <c r="C1146">
        <v>523.07628109999996</v>
      </c>
      <c r="D1146">
        <v>-1.0414498872519884E-2</v>
      </c>
      <c r="E1146">
        <f t="shared" si="17"/>
        <v>0</v>
      </c>
    </row>
    <row r="1147" spans="1:5" x14ac:dyDescent="0.25">
      <c r="A1147" s="13">
        <v>41929</v>
      </c>
      <c r="B1147" t="s">
        <v>31</v>
      </c>
      <c r="C1147">
        <v>509.77272399999998</v>
      </c>
      <c r="D1147">
        <v>-2.5433302140986713E-2</v>
      </c>
      <c r="E1147">
        <f t="shared" si="17"/>
        <v>0</v>
      </c>
    </row>
    <row r="1148" spans="1:5" x14ac:dyDescent="0.25">
      <c r="A1148" s="13">
        <v>41932</v>
      </c>
      <c r="B1148" t="s">
        <v>31</v>
      </c>
      <c r="C1148">
        <v>519.41629160000002</v>
      </c>
      <c r="D1148">
        <v>1.8917386407673042E-2</v>
      </c>
      <c r="E1148">
        <f t="shared" si="17"/>
        <v>1</v>
      </c>
    </row>
    <row r="1149" spans="1:5" x14ac:dyDescent="0.25">
      <c r="A1149" s="13">
        <v>41933</v>
      </c>
      <c r="B1149" t="s">
        <v>31</v>
      </c>
      <c r="C1149">
        <v>525.10070499999995</v>
      </c>
      <c r="D1149">
        <v>1.0943848877919882E-2</v>
      </c>
      <c r="E1149">
        <f t="shared" si="17"/>
        <v>1</v>
      </c>
    </row>
    <row r="1150" spans="1:5" x14ac:dyDescent="0.25">
      <c r="A1150" s="13">
        <v>41934</v>
      </c>
      <c r="B1150" t="s">
        <v>31</v>
      </c>
      <c r="C1150">
        <v>531.25386949999995</v>
      </c>
      <c r="D1150">
        <v>1.1718065585152759E-2</v>
      </c>
      <c r="E1150">
        <f t="shared" si="17"/>
        <v>1</v>
      </c>
    </row>
    <row r="1151" spans="1:5" x14ac:dyDescent="0.25">
      <c r="A1151" s="13">
        <v>41935</v>
      </c>
      <c r="B1151" t="s">
        <v>31</v>
      </c>
      <c r="C1151">
        <v>542.49305630000003</v>
      </c>
      <c r="D1151">
        <v>2.1155962234360892E-2</v>
      </c>
      <c r="E1151">
        <f t="shared" si="17"/>
        <v>1</v>
      </c>
    </row>
    <row r="1152" spans="1:5" x14ac:dyDescent="0.25">
      <c r="A1152" s="13">
        <v>41936</v>
      </c>
      <c r="B1152" t="s">
        <v>31</v>
      </c>
      <c r="C1152">
        <v>538.30449999999996</v>
      </c>
      <c r="D1152">
        <v>-7.7209399297524239E-3</v>
      </c>
      <c r="E1152">
        <f t="shared" si="17"/>
        <v>0</v>
      </c>
    </row>
    <row r="1153" spans="1:5" x14ac:dyDescent="0.25">
      <c r="A1153" s="13">
        <v>41939</v>
      </c>
      <c r="B1153" t="s">
        <v>31</v>
      </c>
      <c r="C1153">
        <v>539.29180929999995</v>
      </c>
      <c r="D1153">
        <v>1.8341093191678315E-3</v>
      </c>
      <c r="E1153">
        <f t="shared" si="17"/>
        <v>1</v>
      </c>
    </row>
    <row r="1154" spans="1:5" x14ac:dyDescent="0.25">
      <c r="A1154" s="13">
        <v>41940</v>
      </c>
      <c r="B1154" t="s">
        <v>31</v>
      </c>
      <c r="C1154">
        <v>547.39957249999998</v>
      </c>
      <c r="D1154">
        <v>1.5034092971899282E-2</v>
      </c>
      <c r="E1154">
        <f t="shared" si="17"/>
        <v>1</v>
      </c>
    </row>
    <row r="1155" spans="1:5" x14ac:dyDescent="0.25">
      <c r="A1155" s="13">
        <v>41941</v>
      </c>
      <c r="B1155" t="s">
        <v>31</v>
      </c>
      <c r="C1155">
        <v>547.82840710000005</v>
      </c>
      <c r="D1155">
        <v>7.834032424278714E-4</v>
      </c>
      <c r="E1155">
        <f t="shared" ref="E1155:E1197" si="18">IF(D1155&gt;0,1,0)</f>
        <v>1</v>
      </c>
    </row>
    <row r="1156" spans="1:5" x14ac:dyDescent="0.25">
      <c r="A1156" s="13">
        <v>41942</v>
      </c>
      <c r="B1156" t="s">
        <v>31</v>
      </c>
      <c r="C1156">
        <v>548.80576780000001</v>
      </c>
      <c r="D1156">
        <v>1.7840635632127011E-3</v>
      </c>
      <c r="E1156">
        <f t="shared" si="18"/>
        <v>1</v>
      </c>
    </row>
    <row r="1157" spans="1:5" x14ac:dyDescent="0.25">
      <c r="A1157" s="13">
        <v>41943</v>
      </c>
      <c r="B1157" t="s">
        <v>31</v>
      </c>
      <c r="C1157">
        <v>557.55177960000003</v>
      </c>
      <c r="D1157">
        <v>1.593644293328067E-2</v>
      </c>
      <c r="E1157">
        <f t="shared" si="18"/>
        <v>1</v>
      </c>
    </row>
    <row r="1158" spans="1:5" x14ac:dyDescent="0.25">
      <c r="A1158" s="13">
        <v>41946</v>
      </c>
      <c r="B1158" t="s">
        <v>31</v>
      </c>
      <c r="C1158">
        <v>553.70233519999999</v>
      </c>
      <c r="D1158">
        <v>-6.9041917555383581E-3</v>
      </c>
      <c r="E1158">
        <f t="shared" si="18"/>
        <v>0</v>
      </c>
    </row>
    <row r="1159" spans="1:5" x14ac:dyDescent="0.25">
      <c r="A1159" s="13">
        <v>41947</v>
      </c>
      <c r="B1159" t="s">
        <v>31</v>
      </c>
      <c r="C1159">
        <v>552.59533550000003</v>
      </c>
      <c r="D1159">
        <v>-1.9992686135233972E-3</v>
      </c>
      <c r="E1159">
        <f t="shared" si="18"/>
        <v>0</v>
      </c>
    </row>
    <row r="1160" spans="1:5" x14ac:dyDescent="0.25">
      <c r="A1160" s="13">
        <v>41948</v>
      </c>
      <c r="B1160" t="s">
        <v>31</v>
      </c>
      <c r="C1160">
        <v>544.42775759999995</v>
      </c>
      <c r="D1160">
        <v>-1.4780396024533737E-2</v>
      </c>
      <c r="E1160">
        <f t="shared" si="18"/>
        <v>0</v>
      </c>
    </row>
    <row r="1161" spans="1:5" x14ac:dyDescent="0.25">
      <c r="A1161" s="13">
        <v>41949</v>
      </c>
      <c r="B1161" t="s">
        <v>31</v>
      </c>
      <c r="C1161">
        <v>540.55835500000001</v>
      </c>
      <c r="D1161">
        <v>-7.1072838333178234E-3</v>
      </c>
      <c r="E1161">
        <f t="shared" si="18"/>
        <v>0</v>
      </c>
    </row>
    <row r="1162" spans="1:5" x14ac:dyDescent="0.25">
      <c r="A1162" s="13">
        <v>41950</v>
      </c>
      <c r="B1162" t="s">
        <v>31</v>
      </c>
      <c r="C1162">
        <v>539.5311901</v>
      </c>
      <c r="D1162">
        <v>-1.9001924408327264E-3</v>
      </c>
      <c r="E1162">
        <f t="shared" si="18"/>
        <v>0</v>
      </c>
    </row>
    <row r="1163" spans="1:5" x14ac:dyDescent="0.25">
      <c r="A1163" s="13">
        <v>41953</v>
      </c>
      <c r="B1163" t="s">
        <v>31</v>
      </c>
      <c r="C1163">
        <v>545.99343799999997</v>
      </c>
      <c r="D1163">
        <v>1.197752422580467E-2</v>
      </c>
      <c r="E1163">
        <f t="shared" si="18"/>
        <v>1</v>
      </c>
    </row>
    <row r="1164" spans="1:5" x14ac:dyDescent="0.25">
      <c r="A1164" s="13">
        <v>41954</v>
      </c>
      <c r="B1164" t="s">
        <v>31</v>
      </c>
      <c r="C1164">
        <v>548.78580959999999</v>
      </c>
      <c r="D1164">
        <v>5.1142951648441848E-3</v>
      </c>
      <c r="E1164">
        <f t="shared" si="18"/>
        <v>1</v>
      </c>
    </row>
    <row r="1165" spans="1:5" x14ac:dyDescent="0.25">
      <c r="A1165" s="13">
        <v>41955</v>
      </c>
      <c r="B1165" t="s">
        <v>31</v>
      </c>
      <c r="C1165">
        <v>545.81393279999998</v>
      </c>
      <c r="D1165">
        <v>-5.4153674311770983E-3</v>
      </c>
      <c r="E1165">
        <f t="shared" si="18"/>
        <v>0</v>
      </c>
    </row>
    <row r="1166" spans="1:5" x14ac:dyDescent="0.25">
      <c r="A1166" s="13">
        <v>41956</v>
      </c>
      <c r="B1166" t="s">
        <v>31</v>
      </c>
      <c r="C1166">
        <v>543.88924210000005</v>
      </c>
      <c r="D1166">
        <v>-3.5262762350648513E-3</v>
      </c>
      <c r="E1166">
        <f t="shared" si="18"/>
        <v>0</v>
      </c>
    </row>
    <row r="1167" spans="1:5" x14ac:dyDescent="0.25">
      <c r="A1167" s="13">
        <v>41957</v>
      </c>
      <c r="B1167" t="s">
        <v>31</v>
      </c>
      <c r="C1167">
        <v>542.91188139999997</v>
      </c>
      <c r="D1167">
        <v>-1.796984798276946E-3</v>
      </c>
      <c r="E1167">
        <f t="shared" si="18"/>
        <v>0</v>
      </c>
    </row>
    <row r="1168" spans="1:5" x14ac:dyDescent="0.25">
      <c r="A1168" s="13">
        <v>41960</v>
      </c>
      <c r="B1168" t="s">
        <v>31</v>
      </c>
      <c r="C1168">
        <v>535.04343719999997</v>
      </c>
      <c r="D1168">
        <v>-1.4493041080091529E-2</v>
      </c>
      <c r="E1168">
        <f t="shared" si="18"/>
        <v>0</v>
      </c>
    </row>
    <row r="1169" spans="1:5" x14ac:dyDescent="0.25">
      <c r="A1169" s="13">
        <v>41961</v>
      </c>
      <c r="B1169" t="s">
        <v>31</v>
      </c>
      <c r="C1169">
        <v>533.56753930000002</v>
      </c>
      <c r="D1169">
        <v>-2.7584637010475976E-3</v>
      </c>
      <c r="E1169">
        <f t="shared" si="18"/>
        <v>0</v>
      </c>
    </row>
    <row r="1170" spans="1:5" x14ac:dyDescent="0.25">
      <c r="A1170" s="13">
        <v>41962</v>
      </c>
      <c r="B1170" t="s">
        <v>31</v>
      </c>
      <c r="C1170">
        <v>535.52213900000004</v>
      </c>
      <c r="D1170">
        <v>3.6632657649382505E-3</v>
      </c>
      <c r="E1170">
        <f t="shared" si="18"/>
        <v>1</v>
      </c>
    </row>
    <row r="1171" spans="1:5" x14ac:dyDescent="0.25">
      <c r="A1171" s="13">
        <v>41963</v>
      </c>
      <c r="B1171" t="s">
        <v>31</v>
      </c>
      <c r="C1171">
        <v>533.36807590000001</v>
      </c>
      <c r="D1171">
        <v>-4.0223605022612352E-3</v>
      </c>
      <c r="E1171">
        <f t="shared" si="18"/>
        <v>0</v>
      </c>
    </row>
    <row r="1172" spans="1:5" x14ac:dyDescent="0.25">
      <c r="A1172" s="13">
        <v>41964</v>
      </c>
      <c r="B1172" t="s">
        <v>31</v>
      </c>
      <c r="C1172">
        <v>536.03074660000004</v>
      </c>
      <c r="D1172">
        <v>4.9921823601966064E-3</v>
      </c>
      <c r="E1172">
        <f t="shared" si="18"/>
        <v>1</v>
      </c>
    </row>
    <row r="1173" spans="1:5" x14ac:dyDescent="0.25">
      <c r="A1173" s="13">
        <v>41967</v>
      </c>
      <c r="B1173" t="s">
        <v>31</v>
      </c>
      <c r="C1173">
        <v>537.79595219999999</v>
      </c>
      <c r="D1173">
        <v>3.2931051272646616E-3</v>
      </c>
      <c r="E1173">
        <f t="shared" si="18"/>
        <v>1</v>
      </c>
    </row>
    <row r="1174" spans="1:5" x14ac:dyDescent="0.25">
      <c r="A1174" s="13">
        <v>41968</v>
      </c>
      <c r="B1174" t="s">
        <v>31</v>
      </c>
      <c r="C1174">
        <v>539.60095360000003</v>
      </c>
      <c r="D1174">
        <v>3.3562941346363395E-3</v>
      </c>
      <c r="E1174">
        <f t="shared" si="18"/>
        <v>1</v>
      </c>
    </row>
    <row r="1175" spans="1:5" x14ac:dyDescent="0.25">
      <c r="A1175" s="13">
        <v>41969</v>
      </c>
      <c r="B1175" t="s">
        <v>31</v>
      </c>
      <c r="C1175">
        <v>538.89294240000004</v>
      </c>
      <c r="D1175">
        <v>-1.3121014617866189E-3</v>
      </c>
      <c r="E1175">
        <f t="shared" si="18"/>
        <v>0</v>
      </c>
    </row>
    <row r="1176" spans="1:5" x14ac:dyDescent="0.25">
      <c r="A1176" s="13">
        <v>41971</v>
      </c>
      <c r="B1176" t="s">
        <v>31</v>
      </c>
      <c r="C1176">
        <v>540.34894299999996</v>
      </c>
      <c r="D1176">
        <v>2.7018364603468292E-3</v>
      </c>
      <c r="E1176">
        <f t="shared" si="18"/>
        <v>1</v>
      </c>
    </row>
    <row r="1177" spans="1:5" x14ac:dyDescent="0.25">
      <c r="A1177" s="13">
        <v>41974</v>
      </c>
      <c r="B1177" t="s">
        <v>31</v>
      </c>
      <c r="C1177">
        <v>532.34084919999998</v>
      </c>
      <c r="D1177">
        <v>-1.482022664010274E-2</v>
      </c>
      <c r="E1177">
        <f t="shared" si="18"/>
        <v>0</v>
      </c>
    </row>
    <row r="1178" spans="1:5" x14ac:dyDescent="0.25">
      <c r="A1178" s="13">
        <v>41975</v>
      </c>
      <c r="B1178" t="s">
        <v>31</v>
      </c>
      <c r="C1178">
        <v>532.29098409999995</v>
      </c>
      <c r="D1178">
        <v>-9.3671376290127562E-5</v>
      </c>
      <c r="E1178">
        <f t="shared" si="18"/>
        <v>0</v>
      </c>
    </row>
    <row r="1179" spans="1:5" x14ac:dyDescent="0.25">
      <c r="A1179" s="13">
        <v>41976</v>
      </c>
      <c r="B1179" t="s">
        <v>31</v>
      </c>
      <c r="C1179">
        <v>529.86763240000005</v>
      </c>
      <c r="D1179">
        <v>-4.5526822215433693E-3</v>
      </c>
      <c r="E1179">
        <f t="shared" si="18"/>
        <v>0</v>
      </c>
    </row>
    <row r="1180" spans="1:5" x14ac:dyDescent="0.25">
      <c r="A1180" s="13">
        <v>41977</v>
      </c>
      <c r="B1180" t="s">
        <v>31</v>
      </c>
      <c r="C1180">
        <v>535.84129270000005</v>
      </c>
      <c r="D1180">
        <v>1.127387282167569E-2</v>
      </c>
      <c r="E1180">
        <f t="shared" si="18"/>
        <v>1</v>
      </c>
    </row>
    <row r="1181" spans="1:5" x14ac:dyDescent="0.25">
      <c r="A1181" s="13">
        <v>41978</v>
      </c>
      <c r="B1181" t="s">
        <v>31</v>
      </c>
      <c r="C1181">
        <v>523.82420960000002</v>
      </c>
      <c r="D1181">
        <v>-2.2426571568324394E-2</v>
      </c>
      <c r="E1181">
        <f t="shared" si="18"/>
        <v>0</v>
      </c>
    </row>
    <row r="1182" spans="1:5" x14ac:dyDescent="0.25">
      <c r="A1182" s="13">
        <v>41981</v>
      </c>
      <c r="B1182" t="s">
        <v>31</v>
      </c>
      <c r="C1182">
        <v>525.53948830000002</v>
      </c>
      <c r="D1182">
        <v>3.2745311663044951E-3</v>
      </c>
      <c r="E1182">
        <f t="shared" si="18"/>
        <v>1</v>
      </c>
    </row>
    <row r="1183" spans="1:5" x14ac:dyDescent="0.25">
      <c r="A1183" s="13">
        <v>41982</v>
      </c>
      <c r="B1183" t="s">
        <v>31</v>
      </c>
      <c r="C1183">
        <v>531.91207540000005</v>
      </c>
      <c r="D1183">
        <v>1.2125800709312795E-2</v>
      </c>
      <c r="E1183">
        <f t="shared" si="18"/>
        <v>1</v>
      </c>
    </row>
    <row r="1184" spans="1:5" x14ac:dyDescent="0.25">
      <c r="A1184" s="13">
        <v>41983</v>
      </c>
      <c r="B1184" t="s">
        <v>31</v>
      </c>
      <c r="C1184">
        <v>524.62200329999996</v>
      </c>
      <c r="D1184">
        <v>-1.3705408162651533E-2</v>
      </c>
      <c r="E1184">
        <f t="shared" si="18"/>
        <v>0</v>
      </c>
    </row>
    <row r="1185" spans="1:5" x14ac:dyDescent="0.25">
      <c r="A1185" s="13">
        <v>41984</v>
      </c>
      <c r="B1185" t="s">
        <v>31</v>
      </c>
      <c r="C1185">
        <v>526.89581750000002</v>
      </c>
      <c r="D1185">
        <v>4.3341952600104428E-3</v>
      </c>
      <c r="E1185">
        <f t="shared" si="18"/>
        <v>1</v>
      </c>
    </row>
    <row r="1186" spans="1:5" x14ac:dyDescent="0.25">
      <c r="A1186" s="13">
        <v>41985</v>
      </c>
      <c r="B1186" t="s">
        <v>31</v>
      </c>
      <c r="C1186">
        <v>517.24227029999997</v>
      </c>
      <c r="D1186">
        <v>-1.8321548358087081E-2</v>
      </c>
      <c r="E1186">
        <f t="shared" si="18"/>
        <v>0</v>
      </c>
    </row>
    <row r="1187" spans="1:5" x14ac:dyDescent="0.25">
      <c r="A1187" s="13">
        <v>41988</v>
      </c>
      <c r="B1187" t="s">
        <v>31</v>
      </c>
      <c r="C1187">
        <v>512.39556900000002</v>
      </c>
      <c r="D1187">
        <v>-9.3702730389549904E-3</v>
      </c>
      <c r="E1187">
        <f t="shared" si="18"/>
        <v>0</v>
      </c>
    </row>
    <row r="1188" spans="1:5" x14ac:dyDescent="0.25">
      <c r="A1188" s="13">
        <v>41989</v>
      </c>
      <c r="B1188" t="s">
        <v>31</v>
      </c>
      <c r="C1188">
        <v>494.0358665</v>
      </c>
      <c r="D1188">
        <v>-3.5831110982928904E-2</v>
      </c>
      <c r="E1188">
        <f t="shared" si="18"/>
        <v>0</v>
      </c>
    </row>
    <row r="1189" spans="1:5" x14ac:dyDescent="0.25">
      <c r="A1189" s="13">
        <v>41990</v>
      </c>
      <c r="B1189" t="s">
        <v>31</v>
      </c>
      <c r="C1189">
        <v>503.50990849999999</v>
      </c>
      <c r="D1189">
        <v>1.9176830352660268E-2</v>
      </c>
      <c r="E1189">
        <f t="shared" si="18"/>
        <v>1</v>
      </c>
    </row>
    <row r="1190" spans="1:5" x14ac:dyDescent="0.25">
      <c r="A1190" s="13">
        <v>41991</v>
      </c>
      <c r="B1190" t="s">
        <v>31</v>
      </c>
      <c r="C1190">
        <v>509.7029296</v>
      </c>
      <c r="D1190">
        <v>1.2299700552963477E-2</v>
      </c>
      <c r="E1190">
        <f t="shared" si="18"/>
        <v>1</v>
      </c>
    </row>
    <row r="1191" spans="1:5" x14ac:dyDescent="0.25">
      <c r="A1191" s="13">
        <v>41992</v>
      </c>
      <c r="B1191" t="s">
        <v>31</v>
      </c>
      <c r="C1191">
        <v>514.93854920000001</v>
      </c>
      <c r="D1191">
        <v>1.0271904075789262E-2</v>
      </c>
      <c r="E1191">
        <f t="shared" si="18"/>
        <v>1</v>
      </c>
    </row>
    <row r="1192" spans="1:5" x14ac:dyDescent="0.25">
      <c r="A1192" s="13">
        <v>41995</v>
      </c>
      <c r="B1192" t="s">
        <v>31</v>
      </c>
      <c r="C1192">
        <v>523.43529139999998</v>
      </c>
      <c r="D1192">
        <v>1.6500497415080639E-2</v>
      </c>
      <c r="E1192">
        <f t="shared" si="18"/>
        <v>1</v>
      </c>
    </row>
    <row r="1193" spans="1:5" x14ac:dyDescent="0.25">
      <c r="A1193" s="13">
        <v>41996</v>
      </c>
      <c r="B1193" t="s">
        <v>31</v>
      </c>
      <c r="C1193">
        <v>529.13966310000001</v>
      </c>
      <c r="D1193">
        <v>1.0897950126256939E-2</v>
      </c>
      <c r="E1193">
        <f t="shared" si="18"/>
        <v>1</v>
      </c>
    </row>
    <row r="1194" spans="1:5" x14ac:dyDescent="0.25">
      <c r="A1194" s="13">
        <v>41997</v>
      </c>
      <c r="B1194" t="s">
        <v>31</v>
      </c>
      <c r="C1194">
        <v>527.32465219999995</v>
      </c>
      <c r="D1194">
        <v>-3.4301168983755792E-3</v>
      </c>
      <c r="E1194">
        <f t="shared" si="18"/>
        <v>0</v>
      </c>
    </row>
    <row r="1195" spans="1:5" x14ac:dyDescent="0.25">
      <c r="A1195" s="13">
        <v>41999</v>
      </c>
      <c r="B1195" t="s">
        <v>31</v>
      </c>
      <c r="C1195">
        <v>532.5702205</v>
      </c>
      <c r="D1195">
        <v>9.9475119892755703E-3</v>
      </c>
      <c r="E1195">
        <f t="shared" si="18"/>
        <v>1</v>
      </c>
    </row>
    <row r="1196" spans="1:5" x14ac:dyDescent="0.25">
      <c r="A1196" s="13">
        <v>42002</v>
      </c>
      <c r="B1196" t="s">
        <v>31</v>
      </c>
      <c r="C1196">
        <v>528.88038489999997</v>
      </c>
      <c r="D1196">
        <v>-6.9283550937861982E-3</v>
      </c>
      <c r="E1196">
        <f t="shared" si="18"/>
        <v>0</v>
      </c>
    </row>
    <row r="1197" spans="1:5" x14ac:dyDescent="0.25">
      <c r="A1197" s="13">
        <v>42003</v>
      </c>
      <c r="B1197" t="s">
        <v>31</v>
      </c>
      <c r="C1197">
        <v>528.97010660000001</v>
      </c>
      <c r="D1197">
        <v>1.6964459745838489E-4</v>
      </c>
      <c r="E1197">
        <f t="shared" si="18"/>
        <v>1</v>
      </c>
    </row>
    <row r="1198" spans="1:5" x14ac:dyDescent="0.25">
      <c r="A1198" s="13">
        <v>42004</v>
      </c>
      <c r="B1198" t="s">
        <v>31</v>
      </c>
      <c r="C1198">
        <v>524.96111629999996</v>
      </c>
      <c r="D1198">
        <v>-7.5788598447805722E-3</v>
      </c>
    </row>
    <row r="1199" spans="1:5" x14ac:dyDescent="0.25">
      <c r="A1199" s="13">
        <v>42006</v>
      </c>
      <c r="B1199" t="s">
        <v>31</v>
      </c>
      <c r="C1199">
        <v>523.37547659999996</v>
      </c>
      <c r="D1199">
        <v>-3.0204898053703966E-3</v>
      </c>
    </row>
    <row r="1200" spans="1:5" x14ac:dyDescent="0.25">
      <c r="A1200" s="13">
        <v>42009</v>
      </c>
      <c r="B1200" t="s">
        <v>31</v>
      </c>
      <c r="C1200">
        <v>512.46533239999997</v>
      </c>
      <c r="D1200">
        <v>-2.0845730623214265E-2</v>
      </c>
    </row>
    <row r="1201" spans="1:4" x14ac:dyDescent="0.25">
      <c r="A1201" s="13">
        <v>42010</v>
      </c>
      <c r="B1201" t="s">
        <v>31</v>
      </c>
      <c r="C1201">
        <v>500.58789789999997</v>
      </c>
      <c r="D1201">
        <v>-2.3177049741833433E-2</v>
      </c>
    </row>
    <row r="1202" spans="1:4" x14ac:dyDescent="0.25">
      <c r="A1202" s="13">
        <v>42011</v>
      </c>
      <c r="B1202" t="s">
        <v>31</v>
      </c>
      <c r="C1202">
        <v>499.73025860000001</v>
      </c>
      <c r="D1202">
        <v>-1.7132641512066504E-3</v>
      </c>
    </row>
    <row r="1203" spans="1:4" x14ac:dyDescent="0.25">
      <c r="A1203" s="13">
        <v>42012</v>
      </c>
      <c r="B1203" t="s">
        <v>31</v>
      </c>
      <c r="C1203">
        <v>501.3059495</v>
      </c>
      <c r="D1203">
        <v>3.1530828339558781E-3</v>
      </c>
    </row>
    <row r="1204" spans="1:4" x14ac:dyDescent="0.25">
      <c r="A1204" s="13">
        <v>42013</v>
      </c>
      <c r="B1204" t="s">
        <v>31</v>
      </c>
      <c r="C1204">
        <v>494.81373289999999</v>
      </c>
      <c r="D1204">
        <v>-1.2950607521166058E-2</v>
      </c>
    </row>
    <row r="1205" spans="1:4" x14ac:dyDescent="0.25">
      <c r="A1205" s="13">
        <v>42016</v>
      </c>
      <c r="B1205" t="s">
        <v>31</v>
      </c>
      <c r="C1205">
        <v>491.20363939999999</v>
      </c>
      <c r="D1205">
        <v>-7.2958635946540618E-3</v>
      </c>
    </row>
    <row r="1206" spans="1:4" x14ac:dyDescent="0.25">
      <c r="A1206" s="13">
        <v>42017</v>
      </c>
      <c r="B1206" t="s">
        <v>31</v>
      </c>
      <c r="C1206">
        <v>494.8237125</v>
      </c>
      <c r="D1206">
        <v>7.3698010552647464E-3</v>
      </c>
    </row>
    <row r="1207" spans="1:4" x14ac:dyDescent="0.25">
      <c r="A1207" s="13">
        <v>42018</v>
      </c>
      <c r="B1207" t="s">
        <v>31</v>
      </c>
      <c r="C1207">
        <v>499.50088729999999</v>
      </c>
      <c r="D1207">
        <v>9.4522042534490591E-3</v>
      </c>
    </row>
    <row r="1208" spans="1:4" x14ac:dyDescent="0.25">
      <c r="A1208" s="13">
        <v>42019</v>
      </c>
      <c r="B1208" t="s">
        <v>31</v>
      </c>
      <c r="C1208">
        <v>500.41837240000001</v>
      </c>
      <c r="D1208">
        <v>1.8368037441522933E-3</v>
      </c>
    </row>
    <row r="1209" spans="1:4" x14ac:dyDescent="0.25">
      <c r="A1209" s="13">
        <v>42020</v>
      </c>
      <c r="B1209" t="s">
        <v>31</v>
      </c>
      <c r="C1209">
        <v>506.69116739999998</v>
      </c>
      <c r="D1209">
        <v>1.2535101319153696E-2</v>
      </c>
    </row>
    <row r="1210" spans="1:4" x14ac:dyDescent="0.25">
      <c r="A1210" s="13">
        <v>42024</v>
      </c>
      <c r="B1210" t="s">
        <v>31</v>
      </c>
      <c r="C1210">
        <v>505.5144042</v>
      </c>
      <c r="D1210">
        <v>-2.322446641488396E-3</v>
      </c>
    </row>
    <row r="1211" spans="1:4" x14ac:dyDescent="0.25">
      <c r="A1211" s="13">
        <v>42025</v>
      </c>
      <c r="B1211" t="s">
        <v>31</v>
      </c>
      <c r="C1211">
        <v>516.62398189999999</v>
      </c>
      <c r="D1211">
        <v>2.1976777729175501E-2</v>
      </c>
    </row>
    <row r="1212" spans="1:4" x14ac:dyDescent="0.25">
      <c r="A1212" s="13">
        <v>42026</v>
      </c>
      <c r="B1212" t="s">
        <v>31</v>
      </c>
      <c r="C1212">
        <v>532.92923080000003</v>
      </c>
      <c r="D1212">
        <v>3.1561153704158018E-2</v>
      </c>
    </row>
    <row r="1213" spans="1:4" x14ac:dyDescent="0.25">
      <c r="A1213" s="13">
        <v>42027</v>
      </c>
      <c r="B1213" t="s">
        <v>31</v>
      </c>
      <c r="C1213">
        <v>538.47405649999996</v>
      </c>
      <c r="D1213">
        <v>1.0404431544646986E-2</v>
      </c>
    </row>
    <row r="1214" spans="1:4" x14ac:dyDescent="0.25">
      <c r="A1214" s="13">
        <v>42030</v>
      </c>
      <c r="B1214" t="s">
        <v>31</v>
      </c>
      <c r="C1214">
        <v>533.74704550000001</v>
      </c>
      <c r="D1214">
        <v>-8.7785306328865831E-3</v>
      </c>
    </row>
    <row r="1215" spans="1:4" x14ac:dyDescent="0.25">
      <c r="A1215" s="13">
        <v>42031</v>
      </c>
      <c r="B1215" t="s">
        <v>31</v>
      </c>
      <c r="C1215">
        <v>517.21236350000004</v>
      </c>
      <c r="D1215">
        <v>-3.09784984093181E-2</v>
      </c>
    </row>
    <row r="1216" spans="1:4" x14ac:dyDescent="0.25">
      <c r="A1216" s="13">
        <v>42032</v>
      </c>
      <c r="B1216" t="s">
        <v>31</v>
      </c>
      <c r="C1216">
        <v>508.60594040000001</v>
      </c>
      <c r="D1216">
        <v>-1.6640018118979194E-2</v>
      </c>
    </row>
    <row r="1217" spans="1:4" x14ac:dyDescent="0.25">
      <c r="A1217" s="13">
        <v>42033</v>
      </c>
      <c r="B1217" t="s">
        <v>31</v>
      </c>
      <c r="C1217">
        <v>509.26411539999998</v>
      </c>
      <c r="D1217">
        <v>1.2940765093745199E-3</v>
      </c>
    </row>
    <row r="1218" spans="1:4" x14ac:dyDescent="0.25">
      <c r="A1218" s="13">
        <v>42034</v>
      </c>
      <c r="B1218" t="s">
        <v>31</v>
      </c>
      <c r="C1218">
        <v>533.05893170000002</v>
      </c>
      <c r="D1218">
        <v>4.6723921007688629E-2</v>
      </c>
    </row>
    <row r="1219" spans="1:4" x14ac:dyDescent="0.25">
      <c r="A1219" s="13">
        <v>42037</v>
      </c>
      <c r="B1219" t="s">
        <v>31</v>
      </c>
      <c r="C1219">
        <v>527.03540529999998</v>
      </c>
      <c r="D1219">
        <v>-1.1299925846454117E-2</v>
      </c>
    </row>
    <row r="1220" spans="1:4" x14ac:dyDescent="0.25">
      <c r="A1220" s="13">
        <v>42038</v>
      </c>
      <c r="B1220" t="s">
        <v>31</v>
      </c>
      <c r="C1220">
        <v>527.79334340000003</v>
      </c>
      <c r="D1220">
        <v>1.4381160969036966E-3</v>
      </c>
    </row>
    <row r="1221" spans="1:4" x14ac:dyDescent="0.25">
      <c r="A1221" s="13">
        <v>42039</v>
      </c>
      <c r="B1221" t="s">
        <v>31</v>
      </c>
      <c r="C1221">
        <v>521.33103459999995</v>
      </c>
      <c r="D1221">
        <v>-1.2244013458696634E-2</v>
      </c>
    </row>
    <row r="1222" spans="1:4" x14ac:dyDescent="0.25">
      <c r="A1222" s="13">
        <v>42040</v>
      </c>
      <c r="B1222" t="s">
        <v>31</v>
      </c>
      <c r="C1222">
        <v>526.13787950000005</v>
      </c>
      <c r="D1222">
        <v>9.220331384430791E-3</v>
      </c>
    </row>
    <row r="1223" spans="1:4" x14ac:dyDescent="0.25">
      <c r="A1223" s="13">
        <v>42041</v>
      </c>
      <c r="B1223" t="s">
        <v>31</v>
      </c>
      <c r="C1223">
        <v>529.54853949999995</v>
      </c>
      <c r="D1223">
        <v>6.4824452541625277E-3</v>
      </c>
    </row>
    <row r="1224" spans="1:4" x14ac:dyDescent="0.25">
      <c r="A1224" s="13">
        <v>42044</v>
      </c>
      <c r="B1224" t="s">
        <v>31</v>
      </c>
      <c r="C1224">
        <v>526.38720990000002</v>
      </c>
      <c r="D1224">
        <v>-5.9698580284724967E-3</v>
      </c>
    </row>
    <row r="1225" spans="1:4" x14ac:dyDescent="0.25">
      <c r="A1225" s="13">
        <v>42045</v>
      </c>
      <c r="B1225" t="s">
        <v>31</v>
      </c>
      <c r="C1225">
        <v>535.47227290000001</v>
      </c>
      <c r="D1225">
        <v>1.7259277636563208E-2</v>
      </c>
    </row>
    <row r="1226" spans="1:4" x14ac:dyDescent="0.25">
      <c r="A1226" s="13">
        <v>42046</v>
      </c>
      <c r="B1226" t="s">
        <v>31</v>
      </c>
      <c r="C1226">
        <v>534.50492169999995</v>
      </c>
      <c r="D1226">
        <v>-1.8065383568062199E-3</v>
      </c>
    </row>
    <row r="1227" spans="1:4" x14ac:dyDescent="0.25">
      <c r="A1227" s="13">
        <v>42047</v>
      </c>
      <c r="B1227" t="s">
        <v>31</v>
      </c>
      <c r="C1227">
        <v>541.44593220000002</v>
      </c>
      <c r="D1227">
        <v>1.2985868264643985E-2</v>
      </c>
    </row>
    <row r="1228" spans="1:4" x14ac:dyDescent="0.25">
      <c r="A1228" s="13">
        <v>42048</v>
      </c>
      <c r="B1228" t="s">
        <v>31</v>
      </c>
      <c r="C1228">
        <v>547.50931419999995</v>
      </c>
      <c r="D1228">
        <v>1.1198499498118464E-2</v>
      </c>
    </row>
    <row r="1229" spans="1:4" x14ac:dyDescent="0.25">
      <c r="A1229" s="13">
        <v>42052</v>
      </c>
      <c r="B1229" t="s">
        <v>31</v>
      </c>
      <c r="C1229">
        <v>541.35614969999995</v>
      </c>
      <c r="D1229">
        <v>-1.1238465429562194E-2</v>
      </c>
    </row>
    <row r="1230" spans="1:4" x14ac:dyDescent="0.25">
      <c r="A1230" s="13">
        <v>42053</v>
      </c>
      <c r="B1230" t="s">
        <v>31</v>
      </c>
      <c r="C1230">
        <v>538.22472600000003</v>
      </c>
      <c r="D1230">
        <v>-5.7844058883144145E-3</v>
      </c>
    </row>
    <row r="1231" spans="1:4" x14ac:dyDescent="0.25">
      <c r="A1231" s="13">
        <v>42054</v>
      </c>
      <c r="B1231" t="s">
        <v>31</v>
      </c>
      <c r="C1231">
        <v>541.38605659999996</v>
      </c>
      <c r="D1231">
        <v>5.8736257315683549E-3</v>
      </c>
    </row>
    <row r="1232" spans="1:4" x14ac:dyDescent="0.25">
      <c r="A1232" s="13">
        <v>42055</v>
      </c>
      <c r="B1232" t="s">
        <v>31</v>
      </c>
      <c r="C1232">
        <v>537.47679849999997</v>
      </c>
      <c r="D1232">
        <v>-7.2208326245984944E-3</v>
      </c>
    </row>
    <row r="1233" spans="1:4" x14ac:dyDescent="0.25">
      <c r="A1233" s="13">
        <v>42058</v>
      </c>
      <c r="B1233" t="s">
        <v>31</v>
      </c>
      <c r="C1233">
        <v>530.45601399999998</v>
      </c>
      <c r="D1233">
        <v>-1.3062488501073388E-2</v>
      </c>
    </row>
    <row r="1234" spans="1:4" x14ac:dyDescent="0.25">
      <c r="A1234" s="13">
        <v>42059</v>
      </c>
      <c r="B1234" t="s">
        <v>31</v>
      </c>
      <c r="C1234">
        <v>534.62461210000004</v>
      </c>
      <c r="D1234">
        <v>7.8585179354759838E-3</v>
      </c>
    </row>
    <row r="1235" spans="1:4" x14ac:dyDescent="0.25">
      <c r="A1235" s="13">
        <v>42060</v>
      </c>
      <c r="B1235" t="s">
        <v>31</v>
      </c>
      <c r="C1235">
        <v>542.38337539999998</v>
      </c>
      <c r="D1235">
        <v>1.4512544174731579E-2</v>
      </c>
    </row>
    <row r="1236" spans="1:4" x14ac:dyDescent="0.25">
      <c r="A1236" s="13">
        <v>42061</v>
      </c>
      <c r="B1236" t="s">
        <v>31</v>
      </c>
      <c r="C1236">
        <v>553.96161440000003</v>
      </c>
      <c r="D1236">
        <v>2.1346965126763484E-2</v>
      </c>
    </row>
    <row r="1237" spans="1:4" x14ac:dyDescent="0.25">
      <c r="A1237" s="13">
        <v>42062</v>
      </c>
      <c r="B1237" t="s">
        <v>31</v>
      </c>
      <c r="C1237">
        <v>556.87361450000003</v>
      </c>
      <c r="D1237">
        <v>5.2566820954806914E-3</v>
      </c>
    </row>
    <row r="1238" spans="1:4" x14ac:dyDescent="0.25">
      <c r="A1238" s="13">
        <v>42065</v>
      </c>
      <c r="B1238" t="s">
        <v>31</v>
      </c>
      <c r="C1238">
        <v>569.7782747</v>
      </c>
      <c r="D1238">
        <v>2.3173409305065951E-2</v>
      </c>
    </row>
    <row r="1239" spans="1:4" x14ac:dyDescent="0.25">
      <c r="A1239" s="13">
        <v>42066</v>
      </c>
      <c r="B1239" t="s">
        <v>31</v>
      </c>
      <c r="C1239">
        <v>572.07198640000001</v>
      </c>
      <c r="D1239">
        <v>4.0256215476233148E-3</v>
      </c>
    </row>
    <row r="1240" spans="1:4" x14ac:dyDescent="0.25">
      <c r="A1240" s="13">
        <v>42067</v>
      </c>
      <c r="B1240" t="s">
        <v>31</v>
      </c>
      <c r="C1240">
        <v>571.80269869999995</v>
      </c>
      <c r="D1240">
        <v>-4.7072345159682172E-4</v>
      </c>
    </row>
    <row r="1241" spans="1:4" x14ac:dyDescent="0.25">
      <c r="A1241" s="13">
        <v>42068</v>
      </c>
      <c r="B1241" t="s">
        <v>31</v>
      </c>
      <c r="C1241">
        <v>573.7573582</v>
      </c>
      <c r="D1241">
        <v>3.4184160103545302E-3</v>
      </c>
    </row>
    <row r="1242" spans="1:4" x14ac:dyDescent="0.25">
      <c r="A1242" s="13">
        <v>42069</v>
      </c>
      <c r="B1242" t="s">
        <v>31</v>
      </c>
      <c r="C1242">
        <v>566.13323920000005</v>
      </c>
      <c r="D1242">
        <v>-1.3288054420632522E-2</v>
      </c>
    </row>
    <row r="1243" spans="1:4" x14ac:dyDescent="0.25">
      <c r="A1243" s="13">
        <v>42072</v>
      </c>
      <c r="B1243" t="s">
        <v>31</v>
      </c>
      <c r="C1243">
        <v>567.29504840000004</v>
      </c>
      <c r="D1243">
        <v>2.0521833369857578E-3</v>
      </c>
    </row>
    <row r="1244" spans="1:4" x14ac:dyDescent="0.25">
      <c r="A1244" s="13">
        <v>42073</v>
      </c>
      <c r="B1244" t="s">
        <v>31</v>
      </c>
      <c r="C1244">
        <v>553.49292319999995</v>
      </c>
      <c r="D1244">
        <v>-2.4329712094134481E-2</v>
      </c>
    </row>
    <row r="1245" spans="1:4" x14ac:dyDescent="0.25">
      <c r="A1245" s="13">
        <v>42074</v>
      </c>
      <c r="B1245" t="s">
        <v>31</v>
      </c>
      <c r="C1245">
        <v>549.67338670000004</v>
      </c>
      <c r="D1245">
        <v>-6.9007865139764091E-3</v>
      </c>
    </row>
    <row r="1246" spans="1:4" x14ac:dyDescent="0.25">
      <c r="A1246" s="13">
        <v>42075</v>
      </c>
      <c r="B1246" t="s">
        <v>31</v>
      </c>
      <c r="C1246">
        <v>553.99152130000004</v>
      </c>
      <c r="D1246">
        <v>7.8558189362671893E-3</v>
      </c>
    </row>
    <row r="1247" spans="1:4" x14ac:dyDescent="0.25">
      <c r="A1247" s="13">
        <v>42076</v>
      </c>
      <c r="B1247" t="s">
        <v>31</v>
      </c>
      <c r="C1247">
        <v>545.82394339999996</v>
      </c>
      <c r="D1247">
        <v>-1.4743146033776799E-2</v>
      </c>
    </row>
    <row r="1248" spans="1:4" x14ac:dyDescent="0.25">
      <c r="A1248" s="13">
        <v>42079</v>
      </c>
      <c r="B1248" t="s">
        <v>31</v>
      </c>
      <c r="C1248">
        <v>552.99426329999994</v>
      </c>
      <c r="D1248">
        <v>1.3136689928505474E-2</v>
      </c>
    </row>
    <row r="1249" spans="1:4" x14ac:dyDescent="0.25">
      <c r="A1249" s="13">
        <v>42080</v>
      </c>
      <c r="B1249" t="s">
        <v>31</v>
      </c>
      <c r="C1249">
        <v>549.33427380000001</v>
      </c>
      <c r="D1249">
        <v>-6.6184945177530929E-3</v>
      </c>
    </row>
    <row r="1250" spans="1:4" x14ac:dyDescent="0.25">
      <c r="A1250" s="13">
        <v>42081</v>
      </c>
      <c r="B1250" t="s">
        <v>31</v>
      </c>
      <c r="C1250">
        <v>557.97060469999997</v>
      </c>
      <c r="D1250">
        <v>1.5721449237562579E-2</v>
      </c>
    </row>
    <row r="1251" spans="1:4" x14ac:dyDescent="0.25">
      <c r="A1251" s="13">
        <v>42082</v>
      </c>
      <c r="B1251" t="s">
        <v>31</v>
      </c>
      <c r="C1251">
        <v>556.46473809999998</v>
      </c>
      <c r="D1251">
        <v>-2.6988278366557594E-3</v>
      </c>
    </row>
    <row r="1252" spans="1:4" x14ac:dyDescent="0.25">
      <c r="A1252" s="13">
        <v>42083</v>
      </c>
      <c r="B1252" t="s">
        <v>31</v>
      </c>
      <c r="C1252">
        <v>558.82827399999996</v>
      </c>
      <c r="D1252">
        <v>4.2474136062422563E-3</v>
      </c>
    </row>
    <row r="1253" spans="1:4" x14ac:dyDescent="0.25">
      <c r="A1253" s="13">
        <v>42086</v>
      </c>
      <c r="B1253" t="s">
        <v>31</v>
      </c>
      <c r="C1253">
        <v>557.28249089999997</v>
      </c>
      <c r="D1253">
        <v>-2.7661146937600911E-3</v>
      </c>
    </row>
    <row r="1254" spans="1:4" x14ac:dyDescent="0.25">
      <c r="A1254" s="13">
        <v>42087</v>
      </c>
      <c r="B1254" t="s">
        <v>31</v>
      </c>
      <c r="C1254">
        <v>568.63141940000003</v>
      </c>
      <c r="D1254">
        <v>2.0364767753014767E-2</v>
      </c>
    </row>
    <row r="1255" spans="1:4" x14ac:dyDescent="0.25">
      <c r="A1255" s="13">
        <v>42088</v>
      </c>
      <c r="B1255" t="s">
        <v>31</v>
      </c>
      <c r="C1255">
        <v>557.25758829999995</v>
      </c>
      <c r="D1255">
        <v>-2.0002115099445827E-2</v>
      </c>
    </row>
    <row r="1256" spans="1:4" x14ac:dyDescent="0.25">
      <c r="A1256" s="13">
        <v>42089</v>
      </c>
      <c r="B1256" t="s">
        <v>31</v>
      </c>
      <c r="C1256">
        <v>553.65246909999996</v>
      </c>
      <c r="D1256">
        <v>-6.4693945415762455E-3</v>
      </c>
    </row>
    <row r="1257" spans="1:4" x14ac:dyDescent="0.25">
      <c r="A1257" s="13">
        <v>42090</v>
      </c>
      <c r="B1257" t="s">
        <v>31</v>
      </c>
      <c r="C1257">
        <v>546.84115959999997</v>
      </c>
      <c r="D1257">
        <v>-1.2302499998008254E-2</v>
      </c>
    </row>
    <row r="1258" spans="1:4" x14ac:dyDescent="0.25">
      <c r="A1258" s="13">
        <v>42093</v>
      </c>
      <c r="B1258" t="s">
        <v>31</v>
      </c>
      <c r="C1258">
        <v>550.52104650000001</v>
      </c>
      <c r="D1258">
        <v>6.7293524552756168E-3</v>
      </c>
    </row>
    <row r="1259" spans="1:4" x14ac:dyDescent="0.25">
      <c r="A1259" s="13">
        <v>42094</v>
      </c>
      <c r="B1259" t="s">
        <v>31</v>
      </c>
      <c r="C1259">
        <v>546.50204659999997</v>
      </c>
      <c r="D1259">
        <v>-7.3003564996312331E-3</v>
      </c>
    </row>
    <row r="1260" spans="1:4" x14ac:dyDescent="0.25">
      <c r="A1260" s="13">
        <v>42095</v>
      </c>
      <c r="B1260" t="s">
        <v>31</v>
      </c>
      <c r="C1260">
        <v>541.0769123</v>
      </c>
      <c r="D1260">
        <v>-9.9270155230923862E-3</v>
      </c>
    </row>
    <row r="1261" spans="1:4" x14ac:dyDescent="0.25">
      <c r="A1261" s="13">
        <v>42096</v>
      </c>
      <c r="B1261" t="s">
        <v>31</v>
      </c>
      <c r="C1261">
        <v>534.0661384</v>
      </c>
      <c r="D1261">
        <v>-1.2957074568564986E-2</v>
      </c>
    </row>
    <row r="1262" spans="1:4" x14ac:dyDescent="0.25">
      <c r="A1262" s="13">
        <v>42100</v>
      </c>
      <c r="B1262" t="s">
        <v>31</v>
      </c>
      <c r="C1262">
        <v>535.29777200000001</v>
      </c>
      <c r="D1262">
        <v>2.3061443357743627E-3</v>
      </c>
    </row>
    <row r="1263" spans="1:4" x14ac:dyDescent="0.25">
      <c r="A1263" s="13">
        <v>42101</v>
      </c>
      <c r="B1263" t="s">
        <v>31</v>
      </c>
      <c r="C1263">
        <v>535.55204590000005</v>
      </c>
      <c r="D1263">
        <v>4.7501393299298478E-4</v>
      </c>
    </row>
    <row r="1264" spans="1:4" x14ac:dyDescent="0.25">
      <c r="A1264" s="13">
        <v>42102</v>
      </c>
      <c r="B1264" t="s">
        <v>31</v>
      </c>
      <c r="C1264">
        <v>540.12952040000005</v>
      </c>
      <c r="D1264">
        <v>8.5472075684212001E-3</v>
      </c>
    </row>
    <row r="1265" spans="1:4" x14ac:dyDescent="0.25">
      <c r="A1265" s="13">
        <v>42103</v>
      </c>
      <c r="B1265" t="s">
        <v>31</v>
      </c>
      <c r="C1265">
        <v>539.30181889999994</v>
      </c>
      <c r="D1265">
        <v>-1.5324130023242066E-3</v>
      </c>
    </row>
    <row r="1266" spans="1:4" x14ac:dyDescent="0.25">
      <c r="A1266" s="13">
        <v>42104</v>
      </c>
      <c r="B1266" t="s">
        <v>31</v>
      </c>
      <c r="C1266">
        <v>538.53387129999999</v>
      </c>
      <c r="D1266">
        <v>-1.4239662709951695E-3</v>
      </c>
    </row>
    <row r="1267" spans="1:4" x14ac:dyDescent="0.25">
      <c r="A1267" s="13">
        <v>42107</v>
      </c>
      <c r="B1267" t="s">
        <v>31</v>
      </c>
      <c r="C1267">
        <v>537.69622100000004</v>
      </c>
      <c r="D1267">
        <v>-1.5554273271203289E-3</v>
      </c>
    </row>
    <row r="1268" spans="1:4" x14ac:dyDescent="0.25">
      <c r="A1268" s="13">
        <v>42108</v>
      </c>
      <c r="B1268" t="s">
        <v>31</v>
      </c>
      <c r="C1268">
        <v>528.94019969999999</v>
      </c>
      <c r="D1268">
        <v>-1.6284327391618447E-2</v>
      </c>
    </row>
    <row r="1269" spans="1:4" x14ac:dyDescent="0.25">
      <c r="A1269" s="13">
        <v>42109</v>
      </c>
      <c r="B1269" t="s">
        <v>31</v>
      </c>
      <c r="C1269">
        <v>531.07436429999996</v>
      </c>
      <c r="D1269">
        <v>4.0347937275526657E-3</v>
      </c>
    </row>
    <row r="1270" spans="1:4" x14ac:dyDescent="0.25">
      <c r="A1270" s="13">
        <v>42110</v>
      </c>
      <c r="B1270" t="s">
        <v>31</v>
      </c>
      <c r="C1270">
        <v>532.34084919999998</v>
      </c>
      <c r="D1270">
        <v>2.3847599981019485E-3</v>
      </c>
    </row>
    <row r="1271" spans="1:4" x14ac:dyDescent="0.25">
      <c r="A1271" s="13">
        <v>42111</v>
      </c>
      <c r="B1271" t="s">
        <v>31</v>
      </c>
      <c r="C1271">
        <v>522.61753950000002</v>
      </c>
      <c r="D1271">
        <v>-1.8265195531419587E-2</v>
      </c>
    </row>
    <row r="1272" spans="1:4" x14ac:dyDescent="0.25">
      <c r="A1272" s="13">
        <v>42114</v>
      </c>
      <c r="B1272" t="s">
        <v>31</v>
      </c>
      <c r="C1272">
        <v>533.91654010000002</v>
      </c>
      <c r="D1272">
        <v>2.1620017978749795E-2</v>
      </c>
    </row>
    <row r="1273" spans="1:4" x14ac:dyDescent="0.25">
      <c r="A1273" s="13">
        <v>42115</v>
      </c>
      <c r="B1273" t="s">
        <v>31</v>
      </c>
      <c r="C1273">
        <v>532.51040569999998</v>
      </c>
      <c r="D1273">
        <v>-2.6336221008187444E-3</v>
      </c>
    </row>
    <row r="1274" spans="1:4" x14ac:dyDescent="0.25">
      <c r="A1274" s="13">
        <v>42116</v>
      </c>
      <c r="B1274" t="s">
        <v>31</v>
      </c>
      <c r="C1274">
        <v>537.89067910000006</v>
      </c>
      <c r="D1274">
        <v>1.0103602375483245E-2</v>
      </c>
    </row>
    <row r="1275" spans="1:4" x14ac:dyDescent="0.25">
      <c r="A1275" s="13">
        <v>42117</v>
      </c>
      <c r="B1275" t="s">
        <v>31</v>
      </c>
      <c r="C1275">
        <v>545.50478859999998</v>
      </c>
      <c r="D1275">
        <v>1.415549626689927E-2</v>
      </c>
    </row>
    <row r="1276" spans="1:4" x14ac:dyDescent="0.25">
      <c r="A1276" s="13">
        <v>42118</v>
      </c>
      <c r="B1276" t="s">
        <v>31</v>
      </c>
      <c r="C1276">
        <v>563.51542940000002</v>
      </c>
      <c r="D1276">
        <v>3.3016466906226505E-2</v>
      </c>
    </row>
    <row r="1277" spans="1:4" x14ac:dyDescent="0.25">
      <c r="A1277" s="13">
        <v>42121</v>
      </c>
      <c r="B1277" t="s">
        <v>31</v>
      </c>
      <c r="C1277">
        <v>555.36999500000002</v>
      </c>
      <c r="D1277">
        <v>-1.4454678567848323E-2</v>
      </c>
    </row>
    <row r="1278" spans="1:4" x14ac:dyDescent="0.25">
      <c r="A1278" s="13">
        <v>42122</v>
      </c>
      <c r="B1278" t="s">
        <v>31</v>
      </c>
      <c r="C1278">
        <v>553.67999299999997</v>
      </c>
      <c r="D1278">
        <v>-3.0430199960659321E-3</v>
      </c>
    </row>
    <row r="1279" spans="1:4" x14ac:dyDescent="0.25">
      <c r="A1279" s="13">
        <v>42123</v>
      </c>
      <c r="B1279" t="s">
        <v>31</v>
      </c>
      <c r="C1279">
        <v>549.080017</v>
      </c>
      <c r="D1279">
        <v>-8.3080047286446801E-3</v>
      </c>
    </row>
    <row r="1280" spans="1:4" x14ac:dyDescent="0.25">
      <c r="A1280" s="13">
        <v>42124</v>
      </c>
      <c r="B1280" t="s">
        <v>31</v>
      </c>
      <c r="C1280">
        <v>537.34002699999996</v>
      </c>
      <c r="D1280">
        <v>-2.1381200620163909E-2</v>
      </c>
    </row>
    <row r="1281" spans="1:4" x14ac:dyDescent="0.25">
      <c r="A1281" s="13">
        <v>42125</v>
      </c>
      <c r="B1281" t="s">
        <v>31</v>
      </c>
      <c r="C1281">
        <v>537.90002400000003</v>
      </c>
      <c r="D1281">
        <v>1.0421650572478569E-3</v>
      </c>
    </row>
    <row r="1282" spans="1:4" x14ac:dyDescent="0.25">
      <c r="A1282" s="13">
        <v>42128</v>
      </c>
      <c r="B1282" t="s">
        <v>31</v>
      </c>
      <c r="C1282">
        <v>540.78002900000001</v>
      </c>
      <c r="D1282">
        <v>5.3541641039227539E-3</v>
      </c>
    </row>
    <row r="1283" spans="1:4" x14ac:dyDescent="0.25">
      <c r="A1283" s="13">
        <v>42129</v>
      </c>
      <c r="B1283" t="s">
        <v>31</v>
      </c>
      <c r="C1283">
        <v>530.79998799999998</v>
      </c>
      <c r="D1283">
        <v>-1.8454899339487296E-2</v>
      </c>
    </row>
    <row r="1284" spans="1:4" x14ac:dyDescent="0.25">
      <c r="A1284" s="13">
        <v>42130</v>
      </c>
      <c r="B1284" t="s">
        <v>31</v>
      </c>
      <c r="C1284">
        <v>524.21997099999999</v>
      </c>
      <c r="D1284">
        <v>-1.2396415125766724E-2</v>
      </c>
    </row>
    <row r="1285" spans="1:4" x14ac:dyDescent="0.25">
      <c r="A1285" s="13">
        <v>42131</v>
      </c>
      <c r="B1285" t="s">
        <v>31</v>
      </c>
      <c r="C1285">
        <v>530.70001200000002</v>
      </c>
      <c r="D1285">
        <v>1.2361301282815873E-2</v>
      </c>
    </row>
    <row r="1286" spans="1:4" x14ac:dyDescent="0.25">
      <c r="A1286" s="13">
        <v>42132</v>
      </c>
      <c r="B1286" t="s">
        <v>31</v>
      </c>
      <c r="C1286">
        <v>538.21997099999999</v>
      </c>
      <c r="D1286">
        <v>1.416988662137042E-2</v>
      </c>
    </row>
    <row r="1287" spans="1:4" x14ac:dyDescent="0.25">
      <c r="A1287" s="13">
        <v>42135</v>
      </c>
      <c r="B1287" t="s">
        <v>31</v>
      </c>
      <c r="C1287">
        <v>535.70001200000002</v>
      </c>
      <c r="D1287">
        <v>-4.6820243316463284E-3</v>
      </c>
    </row>
    <row r="1288" spans="1:4" x14ac:dyDescent="0.25">
      <c r="A1288" s="13">
        <v>42136</v>
      </c>
      <c r="B1288" t="s">
        <v>31</v>
      </c>
      <c r="C1288">
        <v>529.03997800000002</v>
      </c>
      <c r="D1288">
        <v>-1.243239471870683E-2</v>
      </c>
    </row>
    <row r="1289" spans="1:4" x14ac:dyDescent="0.25">
      <c r="A1289" s="13">
        <v>42137</v>
      </c>
      <c r="B1289" t="s">
        <v>31</v>
      </c>
      <c r="C1289">
        <v>529.61999500000002</v>
      </c>
      <c r="D1289">
        <v>1.0963575988958141E-3</v>
      </c>
    </row>
    <row r="1290" spans="1:4" x14ac:dyDescent="0.25">
      <c r="A1290" s="13">
        <v>42138</v>
      </c>
      <c r="B1290" t="s">
        <v>31</v>
      </c>
      <c r="C1290">
        <v>538.40002400000003</v>
      </c>
      <c r="D1290">
        <v>1.6577978707167151E-2</v>
      </c>
    </row>
    <row r="1291" spans="1:4" x14ac:dyDescent="0.25">
      <c r="A1291" s="13">
        <v>42139</v>
      </c>
      <c r="B1291" t="s">
        <v>31</v>
      </c>
      <c r="C1291">
        <v>533.84997599999997</v>
      </c>
      <c r="D1291">
        <v>-8.4510546009932686E-3</v>
      </c>
    </row>
    <row r="1292" spans="1:4" x14ac:dyDescent="0.25">
      <c r="A1292" s="13">
        <v>42142</v>
      </c>
      <c r="B1292" t="s">
        <v>31</v>
      </c>
      <c r="C1292">
        <v>532.29998799999998</v>
      </c>
      <c r="D1292">
        <v>-2.9034149474232995E-3</v>
      </c>
    </row>
    <row r="1293" spans="1:4" x14ac:dyDescent="0.25">
      <c r="A1293" s="13">
        <v>42143</v>
      </c>
      <c r="B1293" t="s">
        <v>31</v>
      </c>
      <c r="C1293">
        <v>537.35998500000005</v>
      </c>
      <c r="D1293">
        <v>9.5059122939527008E-3</v>
      </c>
    </row>
    <row r="1294" spans="1:4" x14ac:dyDescent="0.25">
      <c r="A1294" s="13">
        <v>42144</v>
      </c>
      <c r="B1294" t="s">
        <v>31</v>
      </c>
      <c r="C1294">
        <v>539.27002000000005</v>
      </c>
      <c r="D1294">
        <v>3.5544794054584994E-3</v>
      </c>
    </row>
    <row r="1295" spans="1:4" x14ac:dyDescent="0.25">
      <c r="A1295" s="13">
        <v>42145</v>
      </c>
      <c r="B1295" t="s">
        <v>31</v>
      </c>
      <c r="C1295">
        <v>542.51000999999997</v>
      </c>
      <c r="D1295">
        <v>6.0081033245644733E-3</v>
      </c>
    </row>
    <row r="1296" spans="1:4" x14ac:dyDescent="0.25">
      <c r="A1296" s="13">
        <v>42146</v>
      </c>
      <c r="B1296" t="s">
        <v>31</v>
      </c>
      <c r="C1296">
        <v>540.10998500000005</v>
      </c>
      <c r="D1296">
        <v>-4.4239275879903728E-3</v>
      </c>
    </row>
    <row r="1297" spans="1:4" x14ac:dyDescent="0.25">
      <c r="A1297" s="13">
        <v>42150</v>
      </c>
      <c r="B1297" t="s">
        <v>31</v>
      </c>
      <c r="C1297">
        <v>532.32000700000003</v>
      </c>
      <c r="D1297">
        <v>-1.4422947577982681E-2</v>
      </c>
    </row>
    <row r="1298" spans="1:4" x14ac:dyDescent="0.25">
      <c r="A1298" s="13">
        <v>42151</v>
      </c>
      <c r="B1298" t="s">
        <v>31</v>
      </c>
      <c r="C1298">
        <v>539.78997800000002</v>
      </c>
      <c r="D1298">
        <v>1.403285787077313E-2</v>
      </c>
    </row>
    <row r="1299" spans="1:4" x14ac:dyDescent="0.25">
      <c r="A1299" s="13">
        <v>42152</v>
      </c>
      <c r="B1299" t="s">
        <v>31</v>
      </c>
      <c r="C1299">
        <v>539.78002900000001</v>
      </c>
      <c r="D1299">
        <v>-1.8431242530425607E-5</v>
      </c>
    </row>
    <row r="1300" spans="1:4" x14ac:dyDescent="0.25">
      <c r="A1300" s="13">
        <v>42153</v>
      </c>
      <c r="B1300" t="s">
        <v>31</v>
      </c>
      <c r="C1300">
        <v>532.10998500000005</v>
      </c>
      <c r="D1300">
        <v>-1.4209573507581452E-2</v>
      </c>
    </row>
    <row r="1301" spans="1:4" x14ac:dyDescent="0.25">
      <c r="A1301" s="13">
        <v>42156</v>
      </c>
      <c r="B1301" t="s">
        <v>31</v>
      </c>
      <c r="C1301">
        <v>533.98999000000003</v>
      </c>
      <c r="D1301">
        <v>3.5331135535823233E-3</v>
      </c>
    </row>
    <row r="1302" spans="1:4" x14ac:dyDescent="0.25">
      <c r="A1302" s="13">
        <v>42157</v>
      </c>
      <c r="B1302" t="s">
        <v>31</v>
      </c>
      <c r="C1302">
        <v>539.17999299999997</v>
      </c>
      <c r="D1302">
        <v>9.7192889327382126E-3</v>
      </c>
    </row>
    <row r="1303" spans="1:4" x14ac:dyDescent="0.25">
      <c r="A1303" s="13">
        <v>42158</v>
      </c>
      <c r="B1303" t="s">
        <v>31</v>
      </c>
      <c r="C1303">
        <v>540.30999799999995</v>
      </c>
      <c r="D1303">
        <v>2.095784366390685E-3</v>
      </c>
    </row>
    <row r="1304" spans="1:4" x14ac:dyDescent="0.25">
      <c r="A1304" s="13">
        <v>42159</v>
      </c>
      <c r="B1304" t="s">
        <v>31</v>
      </c>
      <c r="C1304">
        <v>536.70001200000002</v>
      </c>
      <c r="D1304">
        <v>-6.6813237092827604E-3</v>
      </c>
    </row>
    <row r="1305" spans="1:4" x14ac:dyDescent="0.25">
      <c r="A1305" s="13">
        <v>42160</v>
      </c>
      <c r="B1305" t="s">
        <v>31</v>
      </c>
      <c r="C1305">
        <v>533.330017</v>
      </c>
      <c r="D1305">
        <v>-6.2791036419802548E-3</v>
      </c>
    </row>
    <row r="1306" spans="1:4" x14ac:dyDescent="0.25">
      <c r="A1306" s="13">
        <v>42163</v>
      </c>
      <c r="B1306" t="s">
        <v>31</v>
      </c>
      <c r="C1306">
        <v>526.830017</v>
      </c>
      <c r="D1306">
        <v>-1.2187575783869642E-2</v>
      </c>
    </row>
    <row r="1307" spans="1:4" x14ac:dyDescent="0.25">
      <c r="A1307" s="13">
        <v>42164</v>
      </c>
      <c r="B1307" t="s">
        <v>31</v>
      </c>
      <c r="C1307">
        <v>526.69000200000005</v>
      </c>
      <c r="D1307">
        <v>-2.6576883526352457E-4</v>
      </c>
    </row>
    <row r="1308" spans="1:4" x14ac:dyDescent="0.25">
      <c r="A1308" s="13">
        <v>42165</v>
      </c>
      <c r="B1308" t="s">
        <v>31</v>
      </c>
      <c r="C1308">
        <v>536.69000200000005</v>
      </c>
      <c r="D1308">
        <v>1.8986500525977279E-2</v>
      </c>
    </row>
    <row r="1309" spans="1:4" x14ac:dyDescent="0.25">
      <c r="A1309" s="13">
        <v>42166</v>
      </c>
      <c r="B1309" t="s">
        <v>31</v>
      </c>
      <c r="C1309">
        <v>534.60998500000005</v>
      </c>
      <c r="D1309">
        <v>-3.875639554023258E-3</v>
      </c>
    </row>
    <row r="1310" spans="1:4" x14ac:dyDescent="0.25">
      <c r="A1310" s="13">
        <v>42167</v>
      </c>
      <c r="B1310" t="s">
        <v>31</v>
      </c>
      <c r="C1310">
        <v>532.330017</v>
      </c>
      <c r="D1310">
        <v>-4.2647314191112118E-3</v>
      </c>
    </row>
    <row r="1311" spans="1:4" x14ac:dyDescent="0.25">
      <c r="A1311" s="13">
        <v>42170</v>
      </c>
      <c r="B1311" t="s">
        <v>31</v>
      </c>
      <c r="C1311">
        <v>527.20001200000002</v>
      </c>
      <c r="D1311">
        <v>-9.6368884642474839E-3</v>
      </c>
    </row>
    <row r="1312" spans="1:4" x14ac:dyDescent="0.25">
      <c r="A1312" s="13">
        <v>42171</v>
      </c>
      <c r="B1312" t="s">
        <v>31</v>
      </c>
      <c r="C1312">
        <v>528.15002400000003</v>
      </c>
      <c r="D1312">
        <v>1.8019954066312849E-3</v>
      </c>
    </row>
    <row r="1313" spans="1:4" x14ac:dyDescent="0.25">
      <c r="A1313" s="13">
        <v>42172</v>
      </c>
      <c r="B1313" t="s">
        <v>31</v>
      </c>
      <c r="C1313">
        <v>529.26000999999997</v>
      </c>
      <c r="D1313">
        <v>2.1016490572003388E-3</v>
      </c>
    </row>
    <row r="1314" spans="1:4" x14ac:dyDescent="0.25">
      <c r="A1314" s="13">
        <v>42173</v>
      </c>
      <c r="B1314" t="s">
        <v>31</v>
      </c>
      <c r="C1314">
        <v>536.72997999999995</v>
      </c>
      <c r="D1314">
        <v>1.4113989076937727E-2</v>
      </c>
    </row>
    <row r="1315" spans="1:4" x14ac:dyDescent="0.25">
      <c r="A1315" s="13">
        <v>42174</v>
      </c>
      <c r="B1315" t="s">
        <v>31</v>
      </c>
      <c r="C1315">
        <v>536.69000200000005</v>
      </c>
      <c r="D1315">
        <v>-7.4484380395367644E-5</v>
      </c>
    </row>
    <row r="1316" spans="1:4" x14ac:dyDescent="0.25">
      <c r="A1316" s="13">
        <v>42177</v>
      </c>
      <c r="B1316" t="s">
        <v>31</v>
      </c>
      <c r="C1316">
        <v>538.19000200000005</v>
      </c>
      <c r="D1316">
        <v>2.7949095276793567E-3</v>
      </c>
    </row>
    <row r="1317" spans="1:4" x14ac:dyDescent="0.25">
      <c r="A1317" s="13">
        <v>42178</v>
      </c>
      <c r="B1317" t="s">
        <v>31</v>
      </c>
      <c r="C1317">
        <v>540.47997999999995</v>
      </c>
      <c r="D1317">
        <v>4.2549619864544752E-3</v>
      </c>
    </row>
    <row r="1318" spans="1:4" x14ac:dyDescent="0.25">
      <c r="A1318" s="13">
        <v>42179</v>
      </c>
      <c r="B1318" t="s">
        <v>31</v>
      </c>
      <c r="C1318">
        <v>537.84002699999996</v>
      </c>
      <c r="D1318">
        <v>-4.8844602902775591E-3</v>
      </c>
    </row>
    <row r="1319" spans="1:4" x14ac:dyDescent="0.25">
      <c r="A1319" s="13">
        <v>42180</v>
      </c>
      <c r="B1319" t="s">
        <v>31</v>
      </c>
      <c r="C1319">
        <v>535.22997999999995</v>
      </c>
      <c r="D1319">
        <v>-4.8528314535429828E-3</v>
      </c>
    </row>
    <row r="1320" spans="1:4" x14ac:dyDescent="0.25">
      <c r="A1320" s="13">
        <v>42181</v>
      </c>
      <c r="B1320" t="s">
        <v>31</v>
      </c>
      <c r="C1320">
        <v>531.69000200000005</v>
      </c>
      <c r="D1320">
        <v>-6.6139381803685948E-3</v>
      </c>
    </row>
    <row r="1321" spans="1:4" x14ac:dyDescent="0.25">
      <c r="A1321" s="13">
        <v>42184</v>
      </c>
      <c r="B1321" t="s">
        <v>31</v>
      </c>
      <c r="C1321">
        <v>521.52002000000005</v>
      </c>
      <c r="D1321">
        <v>-1.9127653259878308E-2</v>
      </c>
    </row>
    <row r="1322" spans="1:4" x14ac:dyDescent="0.25">
      <c r="A1322" s="13">
        <v>42185</v>
      </c>
      <c r="B1322" t="s">
        <v>31</v>
      </c>
      <c r="C1322">
        <v>520.51000999999997</v>
      </c>
      <c r="D1322">
        <v>-1.9366658254079683E-3</v>
      </c>
    </row>
    <row r="1323" spans="1:4" x14ac:dyDescent="0.25">
      <c r="A1323" s="13">
        <v>42186</v>
      </c>
      <c r="B1323" t="s">
        <v>31</v>
      </c>
      <c r="C1323">
        <v>521.84002699999996</v>
      </c>
      <c r="D1323">
        <v>2.5552188708148904E-3</v>
      </c>
    </row>
    <row r="1324" spans="1:4" x14ac:dyDescent="0.25">
      <c r="A1324" s="13">
        <v>42187</v>
      </c>
      <c r="B1324" t="s">
        <v>31</v>
      </c>
      <c r="C1324">
        <v>523.40002400000003</v>
      </c>
      <c r="D1324">
        <v>2.9894161415104925E-3</v>
      </c>
    </row>
    <row r="1325" spans="1:4" x14ac:dyDescent="0.25">
      <c r="A1325" s="13">
        <v>42191</v>
      </c>
      <c r="B1325" t="s">
        <v>31</v>
      </c>
      <c r="C1325">
        <v>522.85998500000005</v>
      </c>
      <c r="D1325">
        <v>-1.0317901704948174E-3</v>
      </c>
    </row>
    <row r="1326" spans="1:4" x14ac:dyDescent="0.25">
      <c r="A1326" s="13">
        <v>42192</v>
      </c>
      <c r="B1326" t="s">
        <v>31</v>
      </c>
      <c r="C1326">
        <v>525.02002000000005</v>
      </c>
      <c r="D1326">
        <v>4.1311920245723499E-3</v>
      </c>
    </row>
    <row r="1327" spans="1:4" x14ac:dyDescent="0.25">
      <c r="A1327" s="13">
        <v>42193</v>
      </c>
      <c r="B1327" t="s">
        <v>31</v>
      </c>
      <c r="C1327">
        <v>516.830017</v>
      </c>
      <c r="D1327">
        <v>-1.5599410856751761E-2</v>
      </c>
    </row>
    <row r="1328" spans="1:4" x14ac:dyDescent="0.25">
      <c r="A1328" s="13">
        <v>42194</v>
      </c>
      <c r="B1328" t="s">
        <v>31</v>
      </c>
      <c r="C1328">
        <v>520.67999299999997</v>
      </c>
      <c r="D1328">
        <v>7.4492112945521161E-3</v>
      </c>
    </row>
    <row r="1329" spans="1:4" x14ac:dyDescent="0.25">
      <c r="A1329" s="13">
        <v>42195</v>
      </c>
      <c r="B1329" t="s">
        <v>31</v>
      </c>
      <c r="C1329">
        <v>530.13000499999998</v>
      </c>
      <c r="D1329">
        <v>1.8149366457412608E-2</v>
      </c>
    </row>
    <row r="1330" spans="1:4" x14ac:dyDescent="0.25">
      <c r="A1330" s="13">
        <v>42198</v>
      </c>
      <c r="B1330" t="s">
        <v>31</v>
      </c>
      <c r="C1330">
        <v>546.54998799999998</v>
      </c>
      <c r="D1330">
        <v>3.0973502433615296E-2</v>
      </c>
    </row>
    <row r="1331" spans="1:4" x14ac:dyDescent="0.25">
      <c r="A1331" s="13">
        <v>42199</v>
      </c>
      <c r="B1331" t="s">
        <v>31</v>
      </c>
      <c r="C1331">
        <v>561.09997599999997</v>
      </c>
      <c r="D1331">
        <v>2.6621513712301148E-2</v>
      </c>
    </row>
    <row r="1332" spans="1:4" x14ac:dyDescent="0.25">
      <c r="A1332" s="13">
        <v>42200</v>
      </c>
      <c r="B1332" t="s">
        <v>31</v>
      </c>
      <c r="C1332">
        <v>560.21997099999999</v>
      </c>
      <c r="D1332">
        <v>-1.5683568662280267E-3</v>
      </c>
    </row>
    <row r="1333" spans="1:4" x14ac:dyDescent="0.25">
      <c r="A1333" s="13">
        <v>42201</v>
      </c>
      <c r="B1333" t="s">
        <v>31</v>
      </c>
      <c r="C1333">
        <v>579.84997599999997</v>
      </c>
      <c r="D1333">
        <v>3.5039816529496726E-2</v>
      </c>
    </row>
    <row r="1334" spans="1:4" x14ac:dyDescent="0.25">
      <c r="A1334" s="13">
        <v>42202</v>
      </c>
      <c r="B1334" t="s">
        <v>31</v>
      </c>
      <c r="C1334">
        <v>672.92999299999997</v>
      </c>
      <c r="D1334">
        <v>0.16052430948104401</v>
      </c>
    </row>
    <row r="1335" spans="1:4" x14ac:dyDescent="0.25">
      <c r="A1335" s="13">
        <v>42205</v>
      </c>
      <c r="B1335" t="s">
        <v>31</v>
      </c>
      <c r="C1335">
        <v>663.02002000000005</v>
      </c>
      <c r="D1335">
        <v>-1.4726603217401713E-2</v>
      </c>
    </row>
    <row r="1336" spans="1:4" x14ac:dyDescent="0.25">
      <c r="A1336" s="13">
        <v>42206</v>
      </c>
      <c r="B1336" t="s">
        <v>31</v>
      </c>
      <c r="C1336">
        <v>662.29998799999998</v>
      </c>
      <c r="D1336">
        <v>-1.0859883235502243E-3</v>
      </c>
    </row>
    <row r="1337" spans="1:4" x14ac:dyDescent="0.25">
      <c r="A1337" s="13">
        <v>42207</v>
      </c>
      <c r="B1337" t="s">
        <v>31</v>
      </c>
      <c r="C1337">
        <v>662.09997599999997</v>
      </c>
      <c r="D1337">
        <v>-3.0199607975833764E-4</v>
      </c>
    </row>
    <row r="1338" spans="1:4" x14ac:dyDescent="0.25">
      <c r="A1338" s="13">
        <v>42208</v>
      </c>
      <c r="B1338" t="s">
        <v>31</v>
      </c>
      <c r="C1338">
        <v>644.28002900000001</v>
      </c>
      <c r="D1338">
        <v>-2.6914284316482129E-2</v>
      </c>
    </row>
    <row r="1339" spans="1:4" x14ac:dyDescent="0.25">
      <c r="A1339" s="13">
        <v>42209</v>
      </c>
      <c r="B1339" t="s">
        <v>31</v>
      </c>
      <c r="C1339">
        <v>623.55999799999995</v>
      </c>
      <c r="D1339">
        <v>-3.215997713317309E-2</v>
      </c>
    </row>
    <row r="1340" spans="1:4" x14ac:dyDescent="0.25">
      <c r="A1340" s="13">
        <v>42212</v>
      </c>
      <c r="B1340" t="s">
        <v>31</v>
      </c>
      <c r="C1340">
        <v>627.26000999999997</v>
      </c>
      <c r="D1340">
        <v>5.9336904417657266E-3</v>
      </c>
    </row>
    <row r="1341" spans="1:4" x14ac:dyDescent="0.25">
      <c r="A1341" s="13">
        <v>42213</v>
      </c>
      <c r="B1341" t="s">
        <v>31</v>
      </c>
      <c r="C1341">
        <v>628</v>
      </c>
      <c r="D1341">
        <v>1.1797181204011853E-3</v>
      </c>
    </row>
    <row r="1342" spans="1:4" x14ac:dyDescent="0.25">
      <c r="A1342" s="13">
        <v>42214</v>
      </c>
      <c r="B1342" t="s">
        <v>31</v>
      </c>
      <c r="C1342">
        <v>631.92999299999997</v>
      </c>
      <c r="D1342">
        <v>6.2579506369426774E-3</v>
      </c>
    </row>
    <row r="1343" spans="1:4" x14ac:dyDescent="0.25">
      <c r="A1343" s="13">
        <v>42215</v>
      </c>
      <c r="B1343" t="s">
        <v>31</v>
      </c>
      <c r="C1343">
        <v>632.59002699999996</v>
      </c>
      <c r="D1343">
        <v>1.0444732918382105E-3</v>
      </c>
    </row>
    <row r="1344" spans="1:4" x14ac:dyDescent="0.25">
      <c r="A1344" s="13">
        <v>42216</v>
      </c>
      <c r="B1344" t="s">
        <v>31</v>
      </c>
      <c r="C1344">
        <v>625.60998500000005</v>
      </c>
      <c r="D1344">
        <v>-1.1034068989519308E-2</v>
      </c>
    </row>
    <row r="1345" spans="1:4" x14ac:dyDescent="0.25">
      <c r="A1345" s="13">
        <v>42219</v>
      </c>
      <c r="B1345" t="s">
        <v>31</v>
      </c>
      <c r="C1345">
        <v>631.21002199999998</v>
      </c>
      <c r="D1345">
        <v>8.9513229236581893E-3</v>
      </c>
    </row>
    <row r="1346" spans="1:4" x14ac:dyDescent="0.25">
      <c r="A1346" s="13">
        <v>42220</v>
      </c>
      <c r="B1346" t="s">
        <v>31</v>
      </c>
      <c r="C1346">
        <v>629.25</v>
      </c>
      <c r="D1346">
        <v>-3.1051820023224597E-3</v>
      </c>
    </row>
    <row r="1347" spans="1:4" x14ac:dyDescent="0.25">
      <c r="A1347" s="13">
        <v>42221</v>
      </c>
      <c r="B1347" t="s">
        <v>31</v>
      </c>
      <c r="C1347">
        <v>643.78002900000001</v>
      </c>
      <c r="D1347">
        <v>2.3091027413587595E-2</v>
      </c>
    </row>
    <row r="1348" spans="1:4" x14ac:dyDescent="0.25">
      <c r="A1348" s="13">
        <v>42222</v>
      </c>
      <c r="B1348" t="s">
        <v>31</v>
      </c>
      <c r="C1348">
        <v>642.67999299999997</v>
      </c>
      <c r="D1348">
        <v>-1.708714080038698E-3</v>
      </c>
    </row>
    <row r="1349" spans="1:4" x14ac:dyDescent="0.25">
      <c r="A1349" s="13">
        <v>42223</v>
      </c>
      <c r="B1349" t="s">
        <v>31</v>
      </c>
      <c r="C1349">
        <v>635.29998799999998</v>
      </c>
      <c r="D1349">
        <v>-1.1483172154699406E-2</v>
      </c>
    </row>
    <row r="1350" spans="1:4" x14ac:dyDescent="0.25">
      <c r="A1350" s="13">
        <v>42226</v>
      </c>
      <c r="B1350" t="s">
        <v>31</v>
      </c>
      <c r="C1350">
        <v>633.72997999999995</v>
      </c>
      <c r="D1350">
        <v>-2.4712860532905001E-3</v>
      </c>
    </row>
    <row r="1351" spans="1:4" x14ac:dyDescent="0.25">
      <c r="A1351" s="13">
        <v>42227</v>
      </c>
      <c r="B1351" t="s">
        <v>31</v>
      </c>
      <c r="C1351">
        <v>660.78002900000001</v>
      </c>
      <c r="D1351">
        <v>4.2683871449477717E-2</v>
      </c>
    </row>
    <row r="1352" spans="1:4" x14ac:dyDescent="0.25">
      <c r="A1352" s="13">
        <v>42228</v>
      </c>
      <c r="B1352" t="s">
        <v>31</v>
      </c>
      <c r="C1352">
        <v>659.55999799999995</v>
      </c>
      <c r="D1352">
        <v>-1.8463496874238094E-3</v>
      </c>
    </row>
    <row r="1353" spans="1:4" x14ac:dyDescent="0.25">
      <c r="A1353" s="13">
        <v>42229</v>
      </c>
      <c r="B1353" t="s">
        <v>31</v>
      </c>
      <c r="C1353">
        <v>656.45001200000002</v>
      </c>
      <c r="D1353">
        <v>-4.7152435099617751E-3</v>
      </c>
    </row>
    <row r="1354" spans="1:4" x14ac:dyDescent="0.25">
      <c r="A1354" s="13">
        <v>42230</v>
      </c>
      <c r="B1354" t="s">
        <v>31</v>
      </c>
      <c r="C1354">
        <v>657.11999500000002</v>
      </c>
      <c r="D1354">
        <v>1.0206154128304945E-3</v>
      </c>
    </row>
    <row r="1355" spans="1:4" x14ac:dyDescent="0.25">
      <c r="A1355" s="13">
        <v>42233</v>
      </c>
      <c r="B1355" t="s">
        <v>31</v>
      </c>
      <c r="C1355">
        <v>660.86999500000002</v>
      </c>
      <c r="D1355">
        <v>5.7067202771694525E-3</v>
      </c>
    </row>
    <row r="1356" spans="1:4" x14ac:dyDescent="0.25">
      <c r="A1356" s="13">
        <v>42234</v>
      </c>
      <c r="B1356" t="s">
        <v>31</v>
      </c>
      <c r="C1356">
        <v>656.13000499999998</v>
      </c>
      <c r="D1356">
        <v>-7.1723486250877544E-3</v>
      </c>
    </row>
    <row r="1357" spans="1:4" x14ac:dyDescent="0.25">
      <c r="A1357" s="13">
        <v>42235</v>
      </c>
      <c r="B1357" t="s">
        <v>31</v>
      </c>
      <c r="C1357">
        <v>660.90002400000003</v>
      </c>
      <c r="D1357">
        <v>7.2699296841334249E-3</v>
      </c>
    </row>
    <row r="1358" spans="1:4" x14ac:dyDescent="0.25">
      <c r="A1358" s="13">
        <v>42236</v>
      </c>
      <c r="B1358" t="s">
        <v>31</v>
      </c>
      <c r="C1358">
        <v>646.830017</v>
      </c>
      <c r="D1358">
        <v>-2.128916097603295E-2</v>
      </c>
    </row>
    <row r="1359" spans="1:4" x14ac:dyDescent="0.25">
      <c r="A1359" s="13">
        <v>42237</v>
      </c>
      <c r="B1359" t="s">
        <v>31</v>
      </c>
      <c r="C1359">
        <v>612.47997999999995</v>
      </c>
      <c r="D1359">
        <v>-5.3105199352552646E-2</v>
      </c>
    </row>
    <row r="1360" spans="1:4" x14ac:dyDescent="0.25">
      <c r="A1360" s="13">
        <v>42240</v>
      </c>
      <c r="B1360" t="s">
        <v>31</v>
      </c>
      <c r="C1360">
        <v>589.60998500000005</v>
      </c>
      <c r="D1360">
        <v>-3.7339987831112254E-2</v>
      </c>
    </row>
    <row r="1361" spans="1:4" x14ac:dyDescent="0.25">
      <c r="A1361" s="13">
        <v>42241</v>
      </c>
      <c r="B1361" t="s">
        <v>31</v>
      </c>
      <c r="C1361">
        <v>582.05999799999995</v>
      </c>
      <c r="D1361">
        <v>-1.2805052818093188E-2</v>
      </c>
    </row>
    <row r="1362" spans="1:4" x14ac:dyDescent="0.25">
      <c r="A1362" s="13">
        <v>42242</v>
      </c>
      <c r="B1362" t="s">
        <v>31</v>
      </c>
      <c r="C1362">
        <v>628.61999500000002</v>
      </c>
      <c r="D1362">
        <v>7.9991748548231323E-2</v>
      </c>
    </row>
    <row r="1363" spans="1:4" x14ac:dyDescent="0.25">
      <c r="A1363" s="13">
        <v>42243</v>
      </c>
      <c r="B1363" t="s">
        <v>31</v>
      </c>
      <c r="C1363">
        <v>637.60998500000005</v>
      </c>
      <c r="D1363">
        <v>1.4301151842935012E-2</v>
      </c>
    </row>
    <row r="1364" spans="1:4" x14ac:dyDescent="0.25">
      <c r="A1364" s="13">
        <v>42244</v>
      </c>
      <c r="B1364" t="s">
        <v>31</v>
      </c>
      <c r="C1364">
        <v>630.38000499999998</v>
      </c>
      <c r="D1364">
        <v>-1.1339188798933364E-2</v>
      </c>
    </row>
    <row r="1365" spans="1:4" x14ac:dyDescent="0.25">
      <c r="A1365" s="13">
        <v>42247</v>
      </c>
      <c r="B1365" t="s">
        <v>31</v>
      </c>
      <c r="C1365">
        <v>618.25</v>
      </c>
      <c r="D1365">
        <v>-1.9242369529154035E-2</v>
      </c>
    </row>
    <row r="1366" spans="1:4" x14ac:dyDescent="0.25">
      <c r="A1366" s="13">
        <v>42248</v>
      </c>
      <c r="B1366" t="s">
        <v>31</v>
      </c>
      <c r="C1366">
        <v>597.78997800000002</v>
      </c>
      <c r="D1366">
        <v>-3.3093444399514782E-2</v>
      </c>
    </row>
    <row r="1367" spans="1:4" x14ac:dyDescent="0.25">
      <c r="A1367" s="13">
        <v>42249</v>
      </c>
      <c r="B1367" t="s">
        <v>31</v>
      </c>
      <c r="C1367">
        <v>614.34002699999996</v>
      </c>
      <c r="D1367">
        <v>2.7685390536941856E-2</v>
      </c>
    </row>
    <row r="1368" spans="1:4" x14ac:dyDescent="0.25">
      <c r="A1368" s="13">
        <v>42250</v>
      </c>
      <c r="B1368" t="s">
        <v>31</v>
      </c>
      <c r="C1368">
        <v>606.25</v>
      </c>
      <c r="D1368">
        <v>-1.3168647075636475E-2</v>
      </c>
    </row>
    <row r="1369" spans="1:4" x14ac:dyDescent="0.25">
      <c r="A1369" s="13">
        <v>42251</v>
      </c>
      <c r="B1369" t="s">
        <v>31</v>
      </c>
      <c r="C1369">
        <v>600.70001200000002</v>
      </c>
      <c r="D1369">
        <v>-9.1546193814432408E-3</v>
      </c>
    </row>
    <row r="1370" spans="1:4" x14ac:dyDescent="0.25">
      <c r="A1370" s="13">
        <v>42255</v>
      </c>
      <c r="B1370" t="s">
        <v>31</v>
      </c>
      <c r="C1370">
        <v>614.65997300000004</v>
      </c>
      <c r="D1370">
        <v>2.3239488465333968E-2</v>
      </c>
    </row>
    <row r="1371" spans="1:4" x14ac:dyDescent="0.25">
      <c r="A1371" s="13">
        <v>42256</v>
      </c>
      <c r="B1371" t="s">
        <v>31</v>
      </c>
      <c r="C1371">
        <v>612.71997099999999</v>
      </c>
      <c r="D1371">
        <v>-3.1562198373377148E-3</v>
      </c>
    </row>
    <row r="1372" spans="1:4" x14ac:dyDescent="0.25">
      <c r="A1372" s="13">
        <v>42257</v>
      </c>
      <c r="B1372" t="s">
        <v>31</v>
      </c>
      <c r="C1372">
        <v>621.34997599999997</v>
      </c>
      <c r="D1372">
        <v>1.4084745737788174E-2</v>
      </c>
    </row>
    <row r="1373" spans="1:4" x14ac:dyDescent="0.25">
      <c r="A1373" s="13">
        <v>42258</v>
      </c>
      <c r="B1373" t="s">
        <v>31</v>
      </c>
      <c r="C1373">
        <v>625.77002000000005</v>
      </c>
      <c r="D1373">
        <v>7.113614179973915E-3</v>
      </c>
    </row>
    <row r="1374" spans="1:4" x14ac:dyDescent="0.25">
      <c r="A1374" s="13">
        <v>42261</v>
      </c>
      <c r="B1374" t="s">
        <v>31</v>
      </c>
      <c r="C1374">
        <v>623.23999000000003</v>
      </c>
      <c r="D1374">
        <v>-4.0430668123091484E-3</v>
      </c>
    </row>
    <row r="1375" spans="1:4" x14ac:dyDescent="0.25">
      <c r="A1375" s="13">
        <v>42262</v>
      </c>
      <c r="B1375" t="s">
        <v>31</v>
      </c>
      <c r="C1375">
        <v>635.14001499999995</v>
      </c>
      <c r="D1375">
        <v>1.9093808470152851E-2</v>
      </c>
    </row>
    <row r="1376" spans="1:4" x14ac:dyDescent="0.25">
      <c r="A1376" s="13">
        <v>42263</v>
      </c>
      <c r="B1376" t="s">
        <v>31</v>
      </c>
      <c r="C1376">
        <v>635.97997999999995</v>
      </c>
      <c r="D1376">
        <v>1.3224879241784393E-3</v>
      </c>
    </row>
    <row r="1377" spans="1:4" x14ac:dyDescent="0.25">
      <c r="A1377" s="13">
        <v>42264</v>
      </c>
      <c r="B1377" t="s">
        <v>31</v>
      </c>
      <c r="C1377">
        <v>642.90002400000003</v>
      </c>
      <c r="D1377">
        <v>1.0880914836344457E-2</v>
      </c>
    </row>
    <row r="1378" spans="1:4" x14ac:dyDescent="0.25">
      <c r="A1378" s="13">
        <v>42265</v>
      </c>
      <c r="B1378" t="s">
        <v>31</v>
      </c>
      <c r="C1378">
        <v>629.25</v>
      </c>
      <c r="D1378">
        <v>-2.1231954410379728E-2</v>
      </c>
    </row>
    <row r="1379" spans="1:4" x14ac:dyDescent="0.25">
      <c r="A1379" s="13">
        <v>42268</v>
      </c>
      <c r="B1379" t="s">
        <v>31</v>
      </c>
      <c r="C1379">
        <v>635.44000200000005</v>
      </c>
      <c r="D1379">
        <v>9.8371108462456114E-3</v>
      </c>
    </row>
    <row r="1380" spans="1:4" x14ac:dyDescent="0.25">
      <c r="A1380" s="13">
        <v>42269</v>
      </c>
      <c r="B1380" t="s">
        <v>31</v>
      </c>
      <c r="C1380">
        <v>622.69000200000005</v>
      </c>
      <c r="D1380">
        <v>-2.0064836900211436E-2</v>
      </c>
    </row>
    <row r="1381" spans="1:4" x14ac:dyDescent="0.25">
      <c r="A1381" s="13">
        <v>42270</v>
      </c>
      <c r="B1381" t="s">
        <v>31</v>
      </c>
      <c r="C1381">
        <v>622.35998500000005</v>
      </c>
      <c r="D1381">
        <v>-5.2998602665854655E-4</v>
      </c>
    </row>
    <row r="1382" spans="1:4" x14ac:dyDescent="0.25">
      <c r="A1382" s="13">
        <v>42271</v>
      </c>
      <c r="B1382" t="s">
        <v>31</v>
      </c>
      <c r="C1382">
        <v>625.79998799999998</v>
      </c>
      <c r="D1382">
        <v>5.5273524694874343E-3</v>
      </c>
    </row>
    <row r="1383" spans="1:4" x14ac:dyDescent="0.25">
      <c r="A1383" s="13">
        <v>42272</v>
      </c>
      <c r="B1383" t="s">
        <v>31</v>
      </c>
      <c r="C1383">
        <v>611.96997099999999</v>
      </c>
      <c r="D1383">
        <v>-2.2099739957169851E-2</v>
      </c>
    </row>
    <row r="1384" spans="1:4" x14ac:dyDescent="0.25">
      <c r="A1384" s="13">
        <v>42275</v>
      </c>
      <c r="B1384" t="s">
        <v>31</v>
      </c>
      <c r="C1384">
        <v>594.89001499999995</v>
      </c>
      <c r="D1384">
        <v>-2.7909794286295253E-2</v>
      </c>
    </row>
    <row r="1385" spans="1:4" x14ac:dyDescent="0.25">
      <c r="A1385" s="13">
        <v>42276</v>
      </c>
      <c r="B1385" t="s">
        <v>31</v>
      </c>
      <c r="C1385">
        <v>594.96997099999999</v>
      </c>
      <c r="D1385">
        <v>1.3440467646796961E-4</v>
      </c>
    </row>
    <row r="1386" spans="1:4" x14ac:dyDescent="0.25">
      <c r="A1386" s="13">
        <v>42277</v>
      </c>
      <c r="B1386" t="s">
        <v>31</v>
      </c>
      <c r="C1386">
        <v>608.419983</v>
      </c>
      <c r="D1386">
        <v>2.2606203095248301E-2</v>
      </c>
    </row>
    <row r="1387" spans="1:4" x14ac:dyDescent="0.25">
      <c r="A1387" s="13">
        <v>42278</v>
      </c>
      <c r="B1387" t="s">
        <v>31</v>
      </c>
      <c r="C1387">
        <v>611.28997800000002</v>
      </c>
      <c r="D1387">
        <v>4.7171281026119338E-3</v>
      </c>
    </row>
    <row r="1388" spans="1:4" x14ac:dyDescent="0.25">
      <c r="A1388" s="13">
        <v>42279</v>
      </c>
      <c r="B1388" t="s">
        <v>31</v>
      </c>
      <c r="C1388">
        <v>626.90997300000004</v>
      </c>
      <c r="D1388">
        <v>2.5552512820683049E-2</v>
      </c>
    </row>
    <row r="1389" spans="1:4" x14ac:dyDescent="0.25">
      <c r="A1389" s="13">
        <v>42282</v>
      </c>
      <c r="B1389" t="s">
        <v>31</v>
      </c>
      <c r="C1389">
        <v>641.46997099999999</v>
      </c>
      <c r="D1389">
        <v>2.3225022135674234E-2</v>
      </c>
    </row>
    <row r="1390" spans="1:4" x14ac:dyDescent="0.25">
      <c r="A1390" s="13">
        <v>42283</v>
      </c>
      <c r="B1390" t="s">
        <v>31</v>
      </c>
      <c r="C1390">
        <v>645.44000200000005</v>
      </c>
      <c r="D1390">
        <v>6.1889584539882581E-3</v>
      </c>
    </row>
    <row r="1391" spans="1:4" x14ac:dyDescent="0.25">
      <c r="A1391" s="13">
        <v>42284</v>
      </c>
      <c r="B1391" t="s">
        <v>31</v>
      </c>
      <c r="C1391">
        <v>642.35998500000005</v>
      </c>
      <c r="D1391">
        <v>-4.7719648463933062E-3</v>
      </c>
    </row>
    <row r="1392" spans="1:4" x14ac:dyDescent="0.25">
      <c r="A1392" s="13">
        <v>42285</v>
      </c>
      <c r="B1392" t="s">
        <v>31</v>
      </c>
      <c r="C1392">
        <v>639.15997300000004</v>
      </c>
      <c r="D1392">
        <v>-4.9816490359374521E-3</v>
      </c>
    </row>
    <row r="1393" spans="1:4" x14ac:dyDescent="0.25">
      <c r="A1393" s="13">
        <v>42286</v>
      </c>
      <c r="B1393" t="s">
        <v>31</v>
      </c>
      <c r="C1393">
        <v>643.60998500000005</v>
      </c>
      <c r="D1393">
        <v>6.9622820388972606E-3</v>
      </c>
    </row>
    <row r="1394" spans="1:4" x14ac:dyDescent="0.25">
      <c r="A1394" s="13">
        <v>42289</v>
      </c>
      <c r="B1394" t="s">
        <v>31</v>
      </c>
      <c r="C1394">
        <v>646.669983</v>
      </c>
      <c r="D1394">
        <v>4.7544290351553276E-3</v>
      </c>
    </row>
    <row r="1395" spans="1:4" x14ac:dyDescent="0.25">
      <c r="A1395" s="13">
        <v>42290</v>
      </c>
      <c r="B1395" t="s">
        <v>31</v>
      </c>
      <c r="C1395">
        <v>652.29998799999998</v>
      </c>
      <c r="D1395">
        <v>8.7061486507871155E-3</v>
      </c>
    </row>
    <row r="1396" spans="1:4" x14ac:dyDescent="0.25">
      <c r="A1396" s="13">
        <v>42291</v>
      </c>
      <c r="B1396" t="s">
        <v>31</v>
      </c>
      <c r="C1396">
        <v>651.15997300000004</v>
      </c>
      <c r="D1396">
        <v>-1.7476851463623655E-3</v>
      </c>
    </row>
    <row r="1397" spans="1:4" x14ac:dyDescent="0.25">
      <c r="A1397" s="13">
        <v>42292</v>
      </c>
      <c r="B1397" t="s">
        <v>31</v>
      </c>
      <c r="C1397">
        <v>661.73999000000003</v>
      </c>
      <c r="D1397">
        <v>1.6247953557796402E-2</v>
      </c>
    </row>
    <row r="1398" spans="1:4" x14ac:dyDescent="0.25">
      <c r="A1398" s="13">
        <v>42293</v>
      </c>
      <c r="B1398" t="s">
        <v>31</v>
      </c>
      <c r="C1398">
        <v>662.20001200000002</v>
      </c>
      <c r="D1398">
        <v>6.95170319085614E-4</v>
      </c>
    </row>
    <row r="1399" spans="1:4" x14ac:dyDescent="0.25">
      <c r="A1399" s="13">
        <v>42296</v>
      </c>
      <c r="B1399" t="s">
        <v>31</v>
      </c>
      <c r="C1399">
        <v>666.09997599999997</v>
      </c>
      <c r="D1399">
        <v>5.8894049068667353E-3</v>
      </c>
    </row>
    <row r="1400" spans="1:4" x14ac:dyDescent="0.25">
      <c r="A1400" s="13">
        <v>42297</v>
      </c>
      <c r="B1400" t="s">
        <v>31</v>
      </c>
      <c r="C1400">
        <v>650.28002900000001</v>
      </c>
      <c r="D1400">
        <v>-2.3750108947609316E-2</v>
      </c>
    </row>
    <row r="1401" spans="1:4" x14ac:dyDescent="0.25">
      <c r="A1401" s="13">
        <v>42298</v>
      </c>
      <c r="B1401" t="s">
        <v>31</v>
      </c>
      <c r="C1401">
        <v>642.60998500000005</v>
      </c>
      <c r="D1401">
        <v>-1.1794986248916395E-2</v>
      </c>
    </row>
    <row r="1402" spans="1:4" x14ac:dyDescent="0.25">
      <c r="A1402" s="13">
        <v>42299</v>
      </c>
      <c r="B1402" t="s">
        <v>31</v>
      </c>
      <c r="C1402">
        <v>651.78997800000002</v>
      </c>
      <c r="D1402">
        <v>1.4285481418406576E-2</v>
      </c>
    </row>
    <row r="1403" spans="1:4" x14ac:dyDescent="0.25">
      <c r="A1403" s="13">
        <v>42300</v>
      </c>
      <c r="B1403" t="s">
        <v>31</v>
      </c>
      <c r="C1403">
        <v>702</v>
      </c>
      <c r="D1403">
        <v>7.7034050376270091E-2</v>
      </c>
    </row>
    <row r="1404" spans="1:4" x14ac:dyDescent="0.25">
      <c r="A1404" s="13">
        <v>42303</v>
      </c>
      <c r="B1404" t="s">
        <v>31</v>
      </c>
      <c r="C1404">
        <v>712.78002900000001</v>
      </c>
      <c r="D1404">
        <v>1.5356166666666615E-2</v>
      </c>
    </row>
    <row r="1405" spans="1:4" x14ac:dyDescent="0.25">
      <c r="A1405" s="13">
        <v>42304</v>
      </c>
      <c r="B1405" t="s">
        <v>31</v>
      </c>
      <c r="C1405">
        <v>708.48999000000003</v>
      </c>
      <c r="D1405">
        <v>-6.0187418634872758E-3</v>
      </c>
    </row>
    <row r="1406" spans="1:4" x14ac:dyDescent="0.25">
      <c r="A1406" s="13">
        <v>42305</v>
      </c>
      <c r="B1406" t="s">
        <v>31</v>
      </c>
      <c r="C1406">
        <v>712.95001200000002</v>
      </c>
      <c r="D1406">
        <v>6.2951094058505408E-3</v>
      </c>
    </row>
    <row r="1407" spans="1:4" x14ac:dyDescent="0.25">
      <c r="A1407" s="13">
        <v>42306</v>
      </c>
      <c r="B1407" t="s">
        <v>31</v>
      </c>
      <c r="C1407">
        <v>716.919983</v>
      </c>
      <c r="D1407">
        <v>5.5683721623949189E-3</v>
      </c>
    </row>
    <row r="1408" spans="1:4" x14ac:dyDescent="0.25">
      <c r="A1408" s="13">
        <v>42307</v>
      </c>
      <c r="B1408" t="s">
        <v>31</v>
      </c>
      <c r="C1408">
        <v>710.80999799999995</v>
      </c>
      <c r="D1408">
        <v>-8.5225480456443403E-3</v>
      </c>
    </row>
    <row r="1409" spans="1:4" x14ac:dyDescent="0.25">
      <c r="A1409" s="13">
        <v>42310</v>
      </c>
      <c r="B1409" t="s">
        <v>31</v>
      </c>
      <c r="C1409">
        <v>721.10998500000005</v>
      </c>
      <c r="D1409">
        <v>1.4490492577455383E-2</v>
      </c>
    </row>
    <row r="1410" spans="1:4" x14ac:dyDescent="0.25">
      <c r="A1410" s="13">
        <v>42311</v>
      </c>
      <c r="B1410" t="s">
        <v>31</v>
      </c>
      <c r="C1410">
        <v>722.15997300000004</v>
      </c>
      <c r="D1410">
        <v>1.4560719194589566E-3</v>
      </c>
    </row>
    <row r="1411" spans="1:4" x14ac:dyDescent="0.25">
      <c r="A1411" s="13">
        <v>42312</v>
      </c>
      <c r="B1411" t="s">
        <v>31</v>
      </c>
      <c r="C1411">
        <v>728.10998500000005</v>
      </c>
      <c r="D1411">
        <v>8.2391882996262211E-3</v>
      </c>
    </row>
    <row r="1412" spans="1:4" x14ac:dyDescent="0.25">
      <c r="A1412" s="13">
        <v>42313</v>
      </c>
      <c r="B1412" t="s">
        <v>31</v>
      </c>
      <c r="C1412">
        <v>731.25</v>
      </c>
      <c r="D1412">
        <v>4.3125558839849365E-3</v>
      </c>
    </row>
    <row r="1413" spans="1:4" x14ac:dyDescent="0.25">
      <c r="A1413" s="13">
        <v>42314</v>
      </c>
      <c r="B1413" t="s">
        <v>31</v>
      </c>
      <c r="C1413">
        <v>733.76000999999997</v>
      </c>
      <c r="D1413">
        <v>3.4324923076922698E-3</v>
      </c>
    </row>
    <row r="1414" spans="1:4" x14ac:dyDescent="0.25">
      <c r="A1414" s="13">
        <v>42317</v>
      </c>
      <c r="B1414" t="s">
        <v>31</v>
      </c>
      <c r="C1414">
        <v>724.89001499999995</v>
      </c>
      <c r="D1414">
        <v>-1.2088414303199735E-2</v>
      </c>
    </row>
    <row r="1415" spans="1:4" x14ac:dyDescent="0.25">
      <c r="A1415" s="13">
        <v>42318</v>
      </c>
      <c r="B1415" t="s">
        <v>31</v>
      </c>
      <c r="C1415">
        <v>728.32000700000003</v>
      </c>
      <c r="D1415">
        <v>4.7317412697429617E-3</v>
      </c>
    </row>
    <row r="1416" spans="1:4" x14ac:dyDescent="0.25">
      <c r="A1416" s="13">
        <v>42319</v>
      </c>
      <c r="B1416" t="s">
        <v>31</v>
      </c>
      <c r="C1416">
        <v>735.40002400000003</v>
      </c>
      <c r="D1416">
        <v>9.721025005427375E-3</v>
      </c>
    </row>
    <row r="1417" spans="1:4" x14ac:dyDescent="0.25">
      <c r="A1417" s="13">
        <v>42320</v>
      </c>
      <c r="B1417" t="s">
        <v>31</v>
      </c>
      <c r="C1417">
        <v>731.22997999999995</v>
      </c>
      <c r="D1417">
        <v>-5.6704431111088693E-3</v>
      </c>
    </row>
    <row r="1418" spans="1:4" x14ac:dyDescent="0.25">
      <c r="A1418" s="13">
        <v>42321</v>
      </c>
      <c r="B1418" t="s">
        <v>31</v>
      </c>
      <c r="C1418">
        <v>717</v>
      </c>
      <c r="D1418">
        <v>-1.946033449011475E-2</v>
      </c>
    </row>
    <row r="1419" spans="1:4" x14ac:dyDescent="0.25">
      <c r="A1419" s="13">
        <v>42324</v>
      </c>
      <c r="B1419" t="s">
        <v>31</v>
      </c>
      <c r="C1419">
        <v>728.96002199999998</v>
      </c>
      <c r="D1419">
        <v>1.6680644351464435E-2</v>
      </c>
    </row>
    <row r="1420" spans="1:4" x14ac:dyDescent="0.25">
      <c r="A1420" s="13">
        <v>42325</v>
      </c>
      <c r="B1420" t="s">
        <v>31</v>
      </c>
      <c r="C1420">
        <v>725.29998799999998</v>
      </c>
      <c r="D1420">
        <v>-5.0208981144922449E-3</v>
      </c>
    </row>
    <row r="1421" spans="1:4" x14ac:dyDescent="0.25">
      <c r="A1421" s="13">
        <v>42326</v>
      </c>
      <c r="B1421" t="s">
        <v>31</v>
      </c>
      <c r="C1421">
        <v>740</v>
      </c>
      <c r="D1421">
        <v>2.0267492407569199E-2</v>
      </c>
    </row>
    <row r="1422" spans="1:4" x14ac:dyDescent="0.25">
      <c r="A1422" s="13">
        <v>42327</v>
      </c>
      <c r="B1422" t="s">
        <v>31</v>
      </c>
      <c r="C1422">
        <v>738.40997300000004</v>
      </c>
      <c r="D1422">
        <v>-2.1486851351351088E-3</v>
      </c>
    </row>
    <row r="1423" spans="1:4" x14ac:dyDescent="0.25">
      <c r="A1423" s="13">
        <v>42328</v>
      </c>
      <c r="B1423" t="s">
        <v>31</v>
      </c>
      <c r="C1423">
        <v>756.59997599999997</v>
      </c>
      <c r="D1423">
        <v>2.4634015878872706E-2</v>
      </c>
    </row>
    <row r="1424" spans="1:4" x14ac:dyDescent="0.25">
      <c r="A1424" s="13">
        <v>42331</v>
      </c>
      <c r="B1424" t="s">
        <v>31</v>
      </c>
      <c r="C1424">
        <v>755.97997999999995</v>
      </c>
      <c r="D1424">
        <v>-8.1945019781504147E-4</v>
      </c>
    </row>
    <row r="1425" spans="1:4" x14ac:dyDescent="0.25">
      <c r="A1425" s="13">
        <v>42332</v>
      </c>
      <c r="B1425" t="s">
        <v>31</v>
      </c>
      <c r="C1425">
        <v>748.28002900000001</v>
      </c>
      <c r="D1425">
        <v>-1.0185390094589519E-2</v>
      </c>
    </row>
    <row r="1426" spans="1:4" x14ac:dyDescent="0.25">
      <c r="A1426" s="13">
        <v>42333</v>
      </c>
      <c r="B1426" t="s">
        <v>31</v>
      </c>
      <c r="C1426">
        <v>748.15002400000003</v>
      </c>
      <c r="D1426">
        <v>-1.7373843342272099E-4</v>
      </c>
    </row>
    <row r="1427" spans="1:4" x14ac:dyDescent="0.25">
      <c r="A1427" s="13">
        <v>42335</v>
      </c>
      <c r="B1427" t="s">
        <v>31</v>
      </c>
      <c r="C1427">
        <v>750.26000999999997</v>
      </c>
      <c r="D1427">
        <v>2.8202712454901135E-3</v>
      </c>
    </row>
    <row r="1428" spans="1:4" x14ac:dyDescent="0.25">
      <c r="A1428" s="13">
        <v>42338</v>
      </c>
      <c r="B1428" t="s">
        <v>31</v>
      </c>
      <c r="C1428">
        <v>742.59997599999997</v>
      </c>
      <c r="D1428">
        <v>-1.0209839119640685E-2</v>
      </c>
    </row>
    <row r="1429" spans="1:4" x14ac:dyDescent="0.25">
      <c r="A1429" s="13">
        <v>42339</v>
      </c>
      <c r="B1429" t="s">
        <v>31</v>
      </c>
      <c r="C1429">
        <v>767.03997800000002</v>
      </c>
      <c r="D1429">
        <v>3.2911396161962703E-2</v>
      </c>
    </row>
    <row r="1430" spans="1:4" x14ac:dyDescent="0.25">
      <c r="A1430" s="13">
        <v>42340</v>
      </c>
      <c r="B1430" t="s">
        <v>31</v>
      </c>
      <c r="C1430">
        <v>762.38000499999998</v>
      </c>
      <c r="D1430">
        <v>-6.0752674354087599E-3</v>
      </c>
    </row>
    <row r="1431" spans="1:4" x14ac:dyDescent="0.25">
      <c r="A1431" s="13">
        <v>42341</v>
      </c>
      <c r="B1431" t="s">
        <v>31</v>
      </c>
      <c r="C1431">
        <v>752.53997800000002</v>
      </c>
      <c r="D1431">
        <v>-1.2906984621140483E-2</v>
      </c>
    </row>
    <row r="1432" spans="1:4" x14ac:dyDescent="0.25">
      <c r="A1432" s="13">
        <v>42342</v>
      </c>
      <c r="B1432" t="s">
        <v>31</v>
      </c>
      <c r="C1432">
        <v>766.80999799999995</v>
      </c>
      <c r="D1432">
        <v>1.8962474309903055E-2</v>
      </c>
    </row>
    <row r="1433" spans="1:4" x14ac:dyDescent="0.25">
      <c r="A1433" s="13">
        <v>42345</v>
      </c>
      <c r="B1433" t="s">
        <v>31</v>
      </c>
      <c r="C1433">
        <v>763.25</v>
      </c>
      <c r="D1433">
        <v>-4.6426076984978915E-3</v>
      </c>
    </row>
    <row r="1434" spans="1:4" x14ac:dyDescent="0.25">
      <c r="A1434" s="13">
        <v>42346</v>
      </c>
      <c r="B1434" t="s">
        <v>31</v>
      </c>
      <c r="C1434">
        <v>762.36999500000002</v>
      </c>
      <c r="D1434">
        <v>-1.1529708483458689E-3</v>
      </c>
    </row>
    <row r="1435" spans="1:4" x14ac:dyDescent="0.25">
      <c r="A1435" s="13">
        <v>42347</v>
      </c>
      <c r="B1435" t="s">
        <v>31</v>
      </c>
      <c r="C1435">
        <v>751.60998500000005</v>
      </c>
      <c r="D1435">
        <v>-1.4113894920536496E-2</v>
      </c>
    </row>
    <row r="1436" spans="1:4" x14ac:dyDescent="0.25">
      <c r="A1436" s="13">
        <v>42348</v>
      </c>
      <c r="B1436" t="s">
        <v>31</v>
      </c>
      <c r="C1436">
        <v>749.46002199999998</v>
      </c>
      <c r="D1436">
        <v>-2.8604769001306929E-3</v>
      </c>
    </row>
    <row r="1437" spans="1:4" x14ac:dyDescent="0.25">
      <c r="A1437" s="13">
        <v>42349</v>
      </c>
      <c r="B1437" t="s">
        <v>31</v>
      </c>
      <c r="C1437">
        <v>738.86999500000002</v>
      </c>
      <c r="D1437">
        <v>-1.4130209336235877E-2</v>
      </c>
    </row>
    <row r="1438" spans="1:4" x14ac:dyDescent="0.25">
      <c r="A1438" s="13">
        <v>42352</v>
      </c>
      <c r="B1438" t="s">
        <v>31</v>
      </c>
      <c r="C1438">
        <v>747.77002000000005</v>
      </c>
      <c r="D1438">
        <v>1.2045454626967267E-2</v>
      </c>
    </row>
    <row r="1439" spans="1:4" x14ac:dyDescent="0.25">
      <c r="A1439" s="13">
        <v>42353</v>
      </c>
      <c r="B1439" t="s">
        <v>31</v>
      </c>
      <c r="C1439">
        <v>743.40002400000003</v>
      </c>
      <c r="D1439">
        <v>-5.8440374488402114E-3</v>
      </c>
    </row>
    <row r="1440" spans="1:4" x14ac:dyDescent="0.25">
      <c r="A1440" s="13">
        <v>42354</v>
      </c>
      <c r="B1440" t="s">
        <v>31</v>
      </c>
      <c r="C1440">
        <v>758.09002699999996</v>
      </c>
      <c r="D1440">
        <v>1.9760562988628383E-2</v>
      </c>
    </row>
    <row r="1441" spans="1:4" x14ac:dyDescent="0.25">
      <c r="A1441" s="13">
        <v>42355</v>
      </c>
      <c r="B1441" t="s">
        <v>31</v>
      </c>
      <c r="C1441">
        <v>749.42999299999997</v>
      </c>
      <c r="D1441">
        <v>-1.1423490207713827E-2</v>
      </c>
    </row>
    <row r="1442" spans="1:4" x14ac:dyDescent="0.25">
      <c r="A1442" s="13">
        <v>42356</v>
      </c>
      <c r="B1442" t="s">
        <v>31</v>
      </c>
      <c r="C1442">
        <v>739.30999799999995</v>
      </c>
      <c r="D1442">
        <v>-1.3503589520735937E-2</v>
      </c>
    </row>
    <row r="1443" spans="1:4" x14ac:dyDescent="0.25">
      <c r="A1443" s="13">
        <v>42359</v>
      </c>
      <c r="B1443" t="s">
        <v>31</v>
      </c>
      <c r="C1443">
        <v>747.77002000000005</v>
      </c>
      <c r="D1443">
        <v>1.1443132140626311E-2</v>
      </c>
    </row>
    <row r="1444" spans="1:4" x14ac:dyDescent="0.25">
      <c r="A1444" s="13">
        <v>42360</v>
      </c>
      <c r="B1444" t="s">
        <v>31</v>
      </c>
      <c r="C1444">
        <v>750</v>
      </c>
      <c r="D1444">
        <v>2.9821735832629148E-3</v>
      </c>
    </row>
    <row r="1445" spans="1:4" x14ac:dyDescent="0.25">
      <c r="A1445" s="13">
        <v>42361</v>
      </c>
      <c r="B1445" t="s">
        <v>31</v>
      </c>
      <c r="C1445">
        <v>750.30999799999995</v>
      </c>
      <c r="D1445">
        <v>4.1333066666671137E-4</v>
      </c>
    </row>
    <row r="1446" spans="1:4" x14ac:dyDescent="0.25">
      <c r="A1446" s="13">
        <v>42362</v>
      </c>
      <c r="B1446" t="s">
        <v>31</v>
      </c>
      <c r="C1446">
        <v>748.40002400000003</v>
      </c>
      <c r="D1446">
        <v>-2.5455798337901125E-3</v>
      </c>
    </row>
    <row r="1447" spans="1:4" x14ac:dyDescent="0.25">
      <c r="A1447" s="13">
        <v>42366</v>
      </c>
      <c r="B1447" t="s">
        <v>31</v>
      </c>
      <c r="C1447">
        <v>762.51000999999997</v>
      </c>
      <c r="D1447">
        <v>1.8853534937887551E-2</v>
      </c>
    </row>
    <row r="1448" spans="1:4" x14ac:dyDescent="0.25">
      <c r="A1448" s="13">
        <v>42367</v>
      </c>
      <c r="B1448" t="s">
        <v>31</v>
      </c>
      <c r="C1448">
        <v>776.59997599999997</v>
      </c>
      <c r="D1448">
        <v>1.8478401352396645E-2</v>
      </c>
    </row>
    <row r="1449" spans="1:4" x14ac:dyDescent="0.25">
      <c r="A1449" s="13">
        <v>42368</v>
      </c>
      <c r="B1449" t="s">
        <v>31</v>
      </c>
      <c r="C1449">
        <v>771</v>
      </c>
      <c r="D1449">
        <v>-7.2108887111270725E-3</v>
      </c>
    </row>
    <row r="1450" spans="1:4" x14ac:dyDescent="0.25">
      <c r="A1450" s="13">
        <v>42369</v>
      </c>
      <c r="B1450" t="s">
        <v>31</v>
      </c>
      <c r="C1450">
        <v>758.88000499999998</v>
      </c>
      <c r="D1450">
        <v>-1.5719837872892328E-2</v>
      </c>
    </row>
    <row r="1451" spans="1:4" x14ac:dyDescent="0.25">
      <c r="A1451" s="13">
        <v>42373</v>
      </c>
      <c r="B1451" t="s">
        <v>31</v>
      </c>
      <c r="C1451">
        <v>741.84002699999996</v>
      </c>
      <c r="D1451">
        <v>-2.245411380946849E-2</v>
      </c>
    </row>
    <row r="1452" spans="1:4" x14ac:dyDescent="0.25">
      <c r="A1452" s="13">
        <v>42374</v>
      </c>
      <c r="B1452" t="s">
        <v>31</v>
      </c>
      <c r="C1452">
        <v>742.580017</v>
      </c>
      <c r="D1452">
        <v>9.9750616449290064E-4</v>
      </c>
    </row>
    <row r="1453" spans="1:4" x14ac:dyDescent="0.25">
      <c r="A1453" s="13">
        <v>42375</v>
      </c>
      <c r="B1453" t="s">
        <v>31</v>
      </c>
      <c r="C1453">
        <v>743.61999500000002</v>
      </c>
      <c r="D1453">
        <v>1.4004928441266884E-3</v>
      </c>
    </row>
    <row r="1454" spans="1:4" x14ac:dyDescent="0.25">
      <c r="A1454" s="13">
        <v>42376</v>
      </c>
      <c r="B1454" t="s">
        <v>31</v>
      </c>
      <c r="C1454">
        <v>726.39001499999995</v>
      </c>
      <c r="D1454">
        <v>-2.317040977361029E-2</v>
      </c>
    </row>
    <row r="1455" spans="1:4" x14ac:dyDescent="0.25">
      <c r="A1455" s="13">
        <v>42377</v>
      </c>
      <c r="B1455" t="s">
        <v>31</v>
      </c>
      <c r="C1455">
        <v>714.46997099999999</v>
      </c>
      <c r="D1455">
        <v>-1.6409977772064988E-2</v>
      </c>
    </row>
    <row r="1456" spans="1:4" x14ac:dyDescent="0.25">
      <c r="A1456" s="13">
        <v>42380</v>
      </c>
      <c r="B1456" t="s">
        <v>31</v>
      </c>
      <c r="C1456">
        <v>716.03002900000001</v>
      </c>
      <c r="D1456">
        <v>2.1835179410221173E-3</v>
      </c>
    </row>
    <row r="1457" spans="1:4" x14ac:dyDescent="0.25">
      <c r="A1457" s="13">
        <v>42381</v>
      </c>
      <c r="B1457" t="s">
        <v>31</v>
      </c>
      <c r="C1457">
        <v>726.07000700000003</v>
      </c>
      <c r="D1457">
        <v>1.4021727571987164E-2</v>
      </c>
    </row>
    <row r="1458" spans="1:4" x14ac:dyDescent="0.25">
      <c r="A1458" s="13">
        <v>42382</v>
      </c>
      <c r="B1458" t="s">
        <v>31</v>
      </c>
      <c r="C1458">
        <v>700.55999799999995</v>
      </c>
      <c r="D1458">
        <v>-3.5134365493767139E-2</v>
      </c>
    </row>
    <row r="1459" spans="1:4" x14ac:dyDescent="0.25">
      <c r="A1459" s="13">
        <v>42383</v>
      </c>
      <c r="B1459" t="s">
        <v>31</v>
      </c>
      <c r="C1459">
        <v>714.71997099999999</v>
      </c>
      <c r="D1459">
        <v>2.0212363024473046E-2</v>
      </c>
    </row>
    <row r="1460" spans="1:4" x14ac:dyDescent="0.25">
      <c r="A1460" s="13">
        <v>42384</v>
      </c>
      <c r="B1460" t="s">
        <v>31</v>
      </c>
      <c r="C1460">
        <v>694.45001200000002</v>
      </c>
      <c r="D1460">
        <v>-2.8360700445573483E-2</v>
      </c>
    </row>
    <row r="1461" spans="1:4" x14ac:dyDescent="0.25">
      <c r="A1461" s="13">
        <v>42388</v>
      </c>
      <c r="B1461" t="s">
        <v>31</v>
      </c>
      <c r="C1461">
        <v>701.78997800000002</v>
      </c>
      <c r="D1461">
        <v>1.0569466301629138E-2</v>
      </c>
    </row>
    <row r="1462" spans="1:4" x14ac:dyDescent="0.25">
      <c r="A1462" s="13">
        <v>42389</v>
      </c>
      <c r="B1462" t="s">
        <v>31</v>
      </c>
      <c r="C1462">
        <v>698.45001200000002</v>
      </c>
      <c r="D1462">
        <v>-4.7592101692851552E-3</v>
      </c>
    </row>
    <row r="1463" spans="1:4" x14ac:dyDescent="0.25">
      <c r="A1463" s="13">
        <v>42390</v>
      </c>
      <c r="B1463" t="s">
        <v>31</v>
      </c>
      <c r="C1463">
        <v>706.59002699999996</v>
      </c>
      <c r="D1463">
        <v>1.1654398826182577E-2</v>
      </c>
    </row>
    <row r="1464" spans="1:4" x14ac:dyDescent="0.25">
      <c r="A1464" s="13">
        <v>42391</v>
      </c>
      <c r="B1464" t="s">
        <v>31</v>
      </c>
      <c r="C1464">
        <v>725.25</v>
      </c>
      <c r="D1464">
        <v>2.6408486232427419E-2</v>
      </c>
    </row>
    <row r="1465" spans="1:4" x14ac:dyDescent="0.25">
      <c r="A1465" s="13">
        <v>42394</v>
      </c>
      <c r="B1465" t="s">
        <v>31</v>
      </c>
      <c r="C1465">
        <v>711.669983</v>
      </c>
      <c r="D1465">
        <v>-1.8724601172009692E-2</v>
      </c>
    </row>
    <row r="1466" spans="1:4" x14ac:dyDescent="0.25">
      <c r="A1466" s="13">
        <v>42395</v>
      </c>
      <c r="B1466" t="s">
        <v>31</v>
      </c>
      <c r="C1466">
        <v>713.03997800000002</v>
      </c>
      <c r="D1466">
        <v>1.9250425516401659E-3</v>
      </c>
    </row>
    <row r="1467" spans="1:4" x14ac:dyDescent="0.25">
      <c r="A1467" s="13">
        <v>42396</v>
      </c>
      <c r="B1467" t="s">
        <v>31</v>
      </c>
      <c r="C1467">
        <v>699.98999000000003</v>
      </c>
      <c r="D1467">
        <v>-1.8301902281277149E-2</v>
      </c>
    </row>
    <row r="1468" spans="1:4" x14ac:dyDescent="0.25">
      <c r="A1468" s="13">
        <v>42397</v>
      </c>
      <c r="B1468" t="s">
        <v>31</v>
      </c>
      <c r="C1468">
        <v>730.96002199999998</v>
      </c>
      <c r="D1468">
        <v>4.4243535539701062E-2</v>
      </c>
    </row>
    <row r="1469" spans="1:4" x14ac:dyDescent="0.25">
      <c r="A1469" s="13">
        <v>42398</v>
      </c>
      <c r="B1469" t="s">
        <v>31</v>
      </c>
      <c r="C1469">
        <v>742.95001200000002</v>
      </c>
      <c r="D1469">
        <v>1.6403072177865408E-2</v>
      </c>
    </row>
    <row r="1470" spans="1:4" x14ac:dyDescent="0.25">
      <c r="A1470" s="13">
        <v>42401</v>
      </c>
      <c r="B1470" t="s">
        <v>31</v>
      </c>
      <c r="C1470">
        <v>752</v>
      </c>
      <c r="D1470">
        <v>1.2181153312909476E-2</v>
      </c>
    </row>
    <row r="1471" spans="1:4" x14ac:dyDescent="0.25">
      <c r="A1471" s="13">
        <v>42402</v>
      </c>
      <c r="B1471" t="s">
        <v>31</v>
      </c>
      <c r="C1471">
        <v>764.65002400000003</v>
      </c>
      <c r="D1471">
        <v>1.6821840425532031E-2</v>
      </c>
    </row>
    <row r="1472" spans="1:4" x14ac:dyDescent="0.25">
      <c r="A1472" s="13">
        <v>42403</v>
      </c>
      <c r="B1472" t="s">
        <v>31</v>
      </c>
      <c r="C1472">
        <v>726.95001200000002</v>
      </c>
      <c r="D1472">
        <v>-4.9303617101566943E-2</v>
      </c>
    </row>
    <row r="1473" spans="1:4" x14ac:dyDescent="0.25">
      <c r="A1473" s="13">
        <v>42404</v>
      </c>
      <c r="B1473" t="s">
        <v>31</v>
      </c>
      <c r="C1473">
        <v>708.01000999999997</v>
      </c>
      <c r="D1473">
        <v>-2.6054063810924122E-2</v>
      </c>
    </row>
    <row r="1474" spans="1:4" x14ac:dyDescent="0.25">
      <c r="A1474" s="13">
        <v>42405</v>
      </c>
      <c r="B1474" t="s">
        <v>31</v>
      </c>
      <c r="C1474">
        <v>683.57000700000003</v>
      </c>
      <c r="D1474">
        <v>-3.4519290200430874E-2</v>
      </c>
    </row>
    <row r="1475" spans="1:4" x14ac:dyDescent="0.25">
      <c r="A1475" s="13">
        <v>42408</v>
      </c>
      <c r="B1475" t="s">
        <v>31</v>
      </c>
      <c r="C1475">
        <v>682.73999000000003</v>
      </c>
      <c r="D1475">
        <v>-1.2142384708228038E-3</v>
      </c>
    </row>
    <row r="1476" spans="1:4" x14ac:dyDescent="0.25">
      <c r="A1476" s="13">
        <v>42409</v>
      </c>
      <c r="B1476" t="s">
        <v>31</v>
      </c>
      <c r="C1476">
        <v>678.10998500000005</v>
      </c>
      <c r="D1476">
        <v>-6.7815055040205685E-3</v>
      </c>
    </row>
    <row r="1477" spans="1:4" x14ac:dyDescent="0.25">
      <c r="A1477" s="13">
        <v>42410</v>
      </c>
      <c r="B1477" t="s">
        <v>31</v>
      </c>
      <c r="C1477">
        <v>684.11999500000002</v>
      </c>
      <c r="D1477">
        <v>8.8628837990050169E-3</v>
      </c>
    </row>
    <row r="1478" spans="1:4" x14ac:dyDescent="0.25">
      <c r="A1478" s="13">
        <v>42411</v>
      </c>
      <c r="B1478" t="s">
        <v>31</v>
      </c>
      <c r="C1478">
        <v>683.10998500000005</v>
      </c>
      <c r="D1478">
        <v>-1.4763638066155327E-3</v>
      </c>
    </row>
    <row r="1479" spans="1:4" x14ac:dyDescent="0.25">
      <c r="A1479" s="13">
        <v>42412</v>
      </c>
      <c r="B1479" t="s">
        <v>31</v>
      </c>
      <c r="C1479">
        <v>682.40002400000003</v>
      </c>
      <c r="D1479">
        <v>-1.0393070158387641E-3</v>
      </c>
    </row>
    <row r="1480" spans="1:4" x14ac:dyDescent="0.25">
      <c r="A1480" s="13">
        <v>42416</v>
      </c>
      <c r="B1480" t="s">
        <v>31</v>
      </c>
      <c r="C1480">
        <v>691</v>
      </c>
      <c r="D1480">
        <v>1.260254351925405E-2</v>
      </c>
    </row>
    <row r="1481" spans="1:4" x14ac:dyDescent="0.25">
      <c r="A1481" s="13">
        <v>42417</v>
      </c>
      <c r="B1481" t="s">
        <v>31</v>
      </c>
      <c r="C1481">
        <v>708.40002400000003</v>
      </c>
      <c r="D1481">
        <v>2.5180931982633936E-2</v>
      </c>
    </row>
    <row r="1482" spans="1:4" x14ac:dyDescent="0.25">
      <c r="A1482" s="13">
        <v>42418</v>
      </c>
      <c r="B1482" t="s">
        <v>31</v>
      </c>
      <c r="C1482">
        <v>697.34997599999997</v>
      </c>
      <c r="D1482">
        <v>-1.5598599132740976E-2</v>
      </c>
    </row>
    <row r="1483" spans="1:4" x14ac:dyDescent="0.25">
      <c r="A1483" s="13">
        <v>42419</v>
      </c>
      <c r="B1483" t="s">
        <v>31</v>
      </c>
      <c r="C1483">
        <v>700.90997300000004</v>
      </c>
      <c r="D1483">
        <v>5.1050363841986801E-3</v>
      </c>
    </row>
    <row r="1484" spans="1:4" x14ac:dyDescent="0.25">
      <c r="A1484" s="13">
        <v>42422</v>
      </c>
      <c r="B1484" t="s">
        <v>31</v>
      </c>
      <c r="C1484">
        <v>706.46002199999998</v>
      </c>
      <c r="D1484">
        <v>7.9183478817470565E-3</v>
      </c>
    </row>
    <row r="1485" spans="1:4" x14ac:dyDescent="0.25">
      <c r="A1485" s="13">
        <v>42423</v>
      </c>
      <c r="B1485" t="s">
        <v>31</v>
      </c>
      <c r="C1485">
        <v>695.84997599999997</v>
      </c>
      <c r="D1485">
        <v>-1.5018607804533346E-2</v>
      </c>
    </row>
    <row r="1486" spans="1:4" x14ac:dyDescent="0.25">
      <c r="A1486" s="13">
        <v>42424</v>
      </c>
      <c r="B1486" t="s">
        <v>31</v>
      </c>
      <c r="C1486">
        <v>699.55999799999995</v>
      </c>
      <c r="D1486">
        <v>5.3316406236392222E-3</v>
      </c>
    </row>
    <row r="1487" spans="1:4" x14ac:dyDescent="0.25">
      <c r="A1487" s="13">
        <v>42425</v>
      </c>
      <c r="B1487" t="s">
        <v>31</v>
      </c>
      <c r="C1487">
        <v>705.75</v>
      </c>
      <c r="D1487">
        <v>8.8484218904696377E-3</v>
      </c>
    </row>
    <row r="1488" spans="1:4" x14ac:dyDescent="0.25">
      <c r="A1488" s="13">
        <v>42426</v>
      </c>
      <c r="B1488" t="s">
        <v>31</v>
      </c>
      <c r="C1488">
        <v>705.07000700000003</v>
      </c>
      <c r="D1488">
        <v>-9.6350407368039903E-4</v>
      </c>
    </row>
    <row r="1489" spans="1:4" x14ac:dyDescent="0.25">
      <c r="A1489" s="13">
        <v>42429</v>
      </c>
      <c r="B1489" t="s">
        <v>31</v>
      </c>
      <c r="C1489">
        <v>697.77002000000005</v>
      </c>
      <c r="D1489">
        <v>-1.0353563373175723E-2</v>
      </c>
    </row>
    <row r="1490" spans="1:4" x14ac:dyDescent="0.25">
      <c r="A1490" s="13">
        <v>42430</v>
      </c>
      <c r="B1490" t="s">
        <v>31</v>
      </c>
      <c r="C1490">
        <v>718.80999799999995</v>
      </c>
      <c r="D1490">
        <v>3.0153169951325554E-2</v>
      </c>
    </row>
    <row r="1491" spans="1:4" x14ac:dyDescent="0.25">
      <c r="A1491" s="13">
        <v>42431</v>
      </c>
      <c r="B1491" t="s">
        <v>31</v>
      </c>
      <c r="C1491">
        <v>718.84997599999997</v>
      </c>
      <c r="D1491">
        <v>5.5616922568280103E-5</v>
      </c>
    </row>
    <row r="1492" spans="1:4" x14ac:dyDescent="0.25">
      <c r="A1492" s="13">
        <v>42432</v>
      </c>
      <c r="B1492" t="s">
        <v>31</v>
      </c>
      <c r="C1492">
        <v>712.419983</v>
      </c>
      <c r="D1492">
        <v>-8.9448330175641022E-3</v>
      </c>
    </row>
    <row r="1493" spans="1:4" x14ac:dyDescent="0.25">
      <c r="A1493" s="13">
        <v>42433</v>
      </c>
      <c r="B1493" t="s">
        <v>31</v>
      </c>
      <c r="C1493">
        <v>710.89001499999995</v>
      </c>
      <c r="D1493">
        <v>-2.1475646900825929E-3</v>
      </c>
    </row>
    <row r="1494" spans="1:4" x14ac:dyDescent="0.25">
      <c r="A1494" s="13">
        <v>42436</v>
      </c>
      <c r="B1494" t="s">
        <v>31</v>
      </c>
      <c r="C1494">
        <v>695.15997300000004</v>
      </c>
      <c r="D1494">
        <v>-2.2127251287950567E-2</v>
      </c>
    </row>
    <row r="1495" spans="1:4" x14ac:dyDescent="0.25">
      <c r="A1495" s="13">
        <v>42437</v>
      </c>
      <c r="B1495" t="s">
        <v>31</v>
      </c>
      <c r="C1495">
        <v>693.96997099999999</v>
      </c>
      <c r="D1495">
        <v>-1.7118390675811002E-3</v>
      </c>
    </row>
    <row r="1496" spans="1:4" x14ac:dyDescent="0.25">
      <c r="A1496" s="13">
        <v>42438</v>
      </c>
      <c r="B1496" t="s">
        <v>31</v>
      </c>
      <c r="C1496">
        <v>705.23999000000003</v>
      </c>
      <c r="D1496">
        <v>1.6239923153677838E-2</v>
      </c>
    </row>
    <row r="1497" spans="1:4" x14ac:dyDescent="0.25">
      <c r="A1497" s="13">
        <v>42439</v>
      </c>
      <c r="B1497" t="s">
        <v>31</v>
      </c>
      <c r="C1497">
        <v>712.82000700000003</v>
      </c>
      <c r="D1497">
        <v>1.0748138374853111E-2</v>
      </c>
    </row>
    <row r="1498" spans="1:4" x14ac:dyDescent="0.25">
      <c r="A1498" s="13">
        <v>42440</v>
      </c>
      <c r="B1498" t="s">
        <v>31</v>
      </c>
      <c r="C1498">
        <v>726.82000700000003</v>
      </c>
      <c r="D1498">
        <v>1.9640301706627117E-2</v>
      </c>
    </row>
    <row r="1499" spans="1:4" x14ac:dyDescent="0.25">
      <c r="A1499" s="13">
        <v>42443</v>
      </c>
      <c r="B1499" t="s">
        <v>31</v>
      </c>
      <c r="C1499">
        <v>730.48999000000003</v>
      </c>
      <c r="D1499">
        <v>5.0493698091060857E-3</v>
      </c>
    </row>
    <row r="1500" spans="1:4" x14ac:dyDescent="0.25">
      <c r="A1500" s="13">
        <v>42444</v>
      </c>
      <c r="B1500" t="s">
        <v>31</v>
      </c>
      <c r="C1500">
        <v>728.330017</v>
      </c>
      <c r="D1500">
        <v>-2.9568824071087851E-3</v>
      </c>
    </row>
    <row r="1501" spans="1:4" x14ac:dyDescent="0.25">
      <c r="A1501" s="13">
        <v>42445</v>
      </c>
      <c r="B1501" t="s">
        <v>31</v>
      </c>
      <c r="C1501">
        <v>736.09002699999996</v>
      </c>
      <c r="D1501">
        <v>1.0654524485979033E-2</v>
      </c>
    </row>
    <row r="1502" spans="1:4" x14ac:dyDescent="0.25">
      <c r="A1502" s="13">
        <v>42446</v>
      </c>
      <c r="B1502" t="s">
        <v>31</v>
      </c>
      <c r="C1502">
        <v>737.78002900000001</v>
      </c>
      <c r="D1502">
        <v>2.2959175345544924E-3</v>
      </c>
    </row>
    <row r="1503" spans="1:4" x14ac:dyDescent="0.25">
      <c r="A1503" s="13">
        <v>42447</v>
      </c>
      <c r="B1503" t="s">
        <v>31</v>
      </c>
      <c r="C1503">
        <v>737.59997599999997</v>
      </c>
      <c r="D1503">
        <v>-2.4404699628977067E-4</v>
      </c>
    </row>
    <row r="1504" spans="1:4" x14ac:dyDescent="0.25">
      <c r="A1504" s="13">
        <v>42450</v>
      </c>
      <c r="B1504" t="s">
        <v>31</v>
      </c>
      <c r="C1504">
        <v>742.09002699999996</v>
      </c>
      <c r="D1504">
        <v>6.0873795364657646E-3</v>
      </c>
    </row>
    <row r="1505" spans="1:4" x14ac:dyDescent="0.25">
      <c r="A1505" s="13">
        <v>42451</v>
      </c>
      <c r="B1505" t="s">
        <v>31</v>
      </c>
      <c r="C1505">
        <v>740.75</v>
      </c>
      <c r="D1505">
        <v>-1.805747215627207E-3</v>
      </c>
    </row>
    <row r="1506" spans="1:4" x14ac:dyDescent="0.25">
      <c r="A1506" s="13">
        <v>42452</v>
      </c>
      <c r="B1506" t="s">
        <v>31</v>
      </c>
      <c r="C1506">
        <v>738.05999799999995</v>
      </c>
      <c r="D1506">
        <v>-3.6314573067837141E-3</v>
      </c>
    </row>
    <row r="1507" spans="1:4" x14ac:dyDescent="0.25">
      <c r="A1507" s="13">
        <v>42453</v>
      </c>
      <c r="B1507" t="s">
        <v>31</v>
      </c>
      <c r="C1507">
        <v>735.29998799999998</v>
      </c>
      <c r="D1507">
        <v>-3.7395469304379869E-3</v>
      </c>
    </row>
    <row r="1508" spans="1:4" x14ac:dyDescent="0.25">
      <c r="A1508" s="13">
        <v>42457</v>
      </c>
      <c r="B1508" t="s">
        <v>31</v>
      </c>
      <c r="C1508">
        <v>733.53002900000001</v>
      </c>
      <c r="D1508">
        <v>-2.4071250222840179E-3</v>
      </c>
    </row>
    <row r="1509" spans="1:4" x14ac:dyDescent="0.25">
      <c r="A1509" s="13">
        <v>42458</v>
      </c>
      <c r="B1509" t="s">
        <v>31</v>
      </c>
      <c r="C1509">
        <v>744.77002000000005</v>
      </c>
      <c r="D1509">
        <v>1.5323150458234291E-2</v>
      </c>
    </row>
    <row r="1510" spans="1:4" x14ac:dyDescent="0.25">
      <c r="A1510" s="13">
        <v>42459</v>
      </c>
      <c r="B1510" t="s">
        <v>31</v>
      </c>
      <c r="C1510">
        <v>750.53002900000001</v>
      </c>
      <c r="D1510">
        <v>7.7339431573788531E-3</v>
      </c>
    </row>
    <row r="1511" spans="1:4" x14ac:dyDescent="0.25">
      <c r="A1511" s="13">
        <v>42460</v>
      </c>
      <c r="B1511" t="s">
        <v>31</v>
      </c>
      <c r="C1511">
        <v>744.95001200000002</v>
      </c>
      <c r="D1511">
        <v>-7.4347684761324473E-3</v>
      </c>
    </row>
    <row r="1512" spans="1:4" x14ac:dyDescent="0.25">
      <c r="A1512" s="13">
        <v>42461</v>
      </c>
      <c r="B1512" t="s">
        <v>31</v>
      </c>
      <c r="C1512">
        <v>749.90997300000004</v>
      </c>
      <c r="D1512">
        <v>6.6581125177564981E-3</v>
      </c>
    </row>
    <row r="1513" spans="1:4" x14ac:dyDescent="0.25">
      <c r="A1513" s="13">
        <v>42464</v>
      </c>
      <c r="B1513" t="s">
        <v>31</v>
      </c>
      <c r="C1513">
        <v>745.28997800000002</v>
      </c>
      <c r="D1513">
        <v>-6.1607328430609565E-3</v>
      </c>
    </row>
    <row r="1514" spans="1:4" x14ac:dyDescent="0.25">
      <c r="A1514" s="13">
        <v>42465</v>
      </c>
      <c r="B1514" t="s">
        <v>31</v>
      </c>
      <c r="C1514">
        <v>737.79998799999998</v>
      </c>
      <c r="D1514">
        <v>-1.0049766159608842E-2</v>
      </c>
    </row>
    <row r="1515" spans="1:4" x14ac:dyDescent="0.25">
      <c r="A1515" s="13">
        <v>42466</v>
      </c>
      <c r="B1515" t="s">
        <v>31</v>
      </c>
      <c r="C1515">
        <v>745.69000200000005</v>
      </c>
      <c r="D1515">
        <v>1.0693974150620456E-2</v>
      </c>
    </row>
    <row r="1516" spans="1:4" x14ac:dyDescent="0.25">
      <c r="A1516" s="13">
        <v>42467</v>
      </c>
      <c r="B1516" t="s">
        <v>31</v>
      </c>
      <c r="C1516">
        <v>740.28002900000001</v>
      </c>
      <c r="D1516">
        <v>-7.2549893192748183E-3</v>
      </c>
    </row>
    <row r="1517" spans="1:4" x14ac:dyDescent="0.25">
      <c r="A1517" s="13">
        <v>42468</v>
      </c>
      <c r="B1517" t="s">
        <v>31</v>
      </c>
      <c r="C1517">
        <v>739.15002400000003</v>
      </c>
      <c r="D1517">
        <v>-1.5264561459620296E-3</v>
      </c>
    </row>
    <row r="1518" spans="1:4" x14ac:dyDescent="0.25">
      <c r="A1518" s="13">
        <v>42471</v>
      </c>
      <c r="B1518" t="s">
        <v>31</v>
      </c>
      <c r="C1518">
        <v>736.09997599999997</v>
      </c>
      <c r="D1518">
        <v>-4.1264261664963886E-3</v>
      </c>
    </row>
    <row r="1519" spans="1:4" x14ac:dyDescent="0.25">
      <c r="A1519" s="13">
        <v>42472</v>
      </c>
      <c r="B1519" t="s">
        <v>31</v>
      </c>
      <c r="C1519">
        <v>743.09002699999996</v>
      </c>
      <c r="D1519">
        <v>9.4960619860147144E-3</v>
      </c>
    </row>
    <row r="1520" spans="1:4" x14ac:dyDescent="0.25">
      <c r="A1520" s="13">
        <v>42473</v>
      </c>
      <c r="B1520" t="s">
        <v>31</v>
      </c>
      <c r="C1520">
        <v>751.71997099999999</v>
      </c>
      <c r="D1520">
        <v>1.161359147133334E-2</v>
      </c>
    </row>
    <row r="1521" spans="1:4" x14ac:dyDescent="0.25">
      <c r="A1521" s="13">
        <v>42474</v>
      </c>
      <c r="B1521" t="s">
        <v>31</v>
      </c>
      <c r="C1521">
        <v>753.20001200000002</v>
      </c>
      <c r="D1521">
        <v>1.9688727945210704E-3</v>
      </c>
    </row>
    <row r="1522" spans="1:4" x14ac:dyDescent="0.25">
      <c r="A1522" s="13">
        <v>42475</v>
      </c>
      <c r="B1522" t="s">
        <v>31</v>
      </c>
      <c r="C1522">
        <v>759</v>
      </c>
      <c r="D1522">
        <v>7.7004619059937163E-3</v>
      </c>
    </row>
    <row r="1523" spans="1:4" x14ac:dyDescent="0.25">
      <c r="A1523" s="13">
        <v>42478</v>
      </c>
      <c r="B1523" t="s">
        <v>31</v>
      </c>
      <c r="C1523">
        <v>766.60998500000005</v>
      </c>
      <c r="D1523">
        <v>1.0026330698287289E-2</v>
      </c>
    </row>
    <row r="1524" spans="1:4" x14ac:dyDescent="0.25">
      <c r="A1524" s="13">
        <v>42479</v>
      </c>
      <c r="B1524" t="s">
        <v>31</v>
      </c>
      <c r="C1524">
        <v>753.92999299999997</v>
      </c>
      <c r="D1524">
        <v>-1.6540342870697278E-2</v>
      </c>
    </row>
    <row r="1525" spans="1:4" x14ac:dyDescent="0.25">
      <c r="A1525" s="13">
        <v>42480</v>
      </c>
      <c r="B1525" t="s">
        <v>31</v>
      </c>
      <c r="C1525">
        <v>752.669983</v>
      </c>
      <c r="D1525">
        <v>-1.671255967661156E-3</v>
      </c>
    </row>
    <row r="1526" spans="1:4" x14ac:dyDescent="0.25">
      <c r="A1526" s="13">
        <v>42481</v>
      </c>
      <c r="B1526" t="s">
        <v>31</v>
      </c>
      <c r="C1526">
        <v>759.14001499999995</v>
      </c>
      <c r="D1526">
        <v>8.596107385884677E-3</v>
      </c>
    </row>
    <row r="1527" spans="1:4" x14ac:dyDescent="0.25">
      <c r="A1527" s="13">
        <v>42482</v>
      </c>
      <c r="B1527" t="s">
        <v>31</v>
      </c>
      <c r="C1527">
        <v>718.77002000000005</v>
      </c>
      <c r="D1527">
        <v>-5.3178589196091752E-2</v>
      </c>
    </row>
    <row r="1528" spans="1:4" x14ac:dyDescent="0.25">
      <c r="A1528" s="13">
        <v>42485</v>
      </c>
      <c r="B1528" t="s">
        <v>31</v>
      </c>
      <c r="C1528">
        <v>723.15002400000003</v>
      </c>
      <c r="D1528">
        <v>6.0937488739443157E-3</v>
      </c>
    </row>
    <row r="1529" spans="1:4" x14ac:dyDescent="0.25">
      <c r="A1529" s="13">
        <v>42486</v>
      </c>
      <c r="B1529" t="s">
        <v>31</v>
      </c>
      <c r="C1529">
        <v>708.14001499999995</v>
      </c>
      <c r="D1529">
        <v>-2.0756424672399798E-2</v>
      </c>
    </row>
    <row r="1530" spans="1:4" x14ac:dyDescent="0.25">
      <c r="A1530" s="13">
        <v>42487</v>
      </c>
      <c r="B1530" t="s">
        <v>31</v>
      </c>
      <c r="C1530">
        <v>705.84002699999996</v>
      </c>
      <c r="D1530">
        <v>-3.2479283069464238E-3</v>
      </c>
    </row>
    <row r="1531" spans="1:4" x14ac:dyDescent="0.25">
      <c r="A1531" s="13">
        <v>42488</v>
      </c>
      <c r="B1531" t="s">
        <v>31</v>
      </c>
      <c r="C1531">
        <v>691.02002000000005</v>
      </c>
      <c r="D1531">
        <v>-2.0996268889692637E-2</v>
      </c>
    </row>
    <row r="1532" spans="1:4" x14ac:dyDescent="0.25">
      <c r="A1532" s="13">
        <v>42489</v>
      </c>
      <c r="B1532" t="s">
        <v>31</v>
      </c>
      <c r="C1532">
        <v>693.01000999999997</v>
      </c>
      <c r="D1532">
        <v>2.8797863193601447E-3</v>
      </c>
    </row>
    <row r="1533" spans="1:4" x14ac:dyDescent="0.25">
      <c r="A1533" s="13">
        <v>42492</v>
      </c>
      <c r="B1533" t="s">
        <v>31</v>
      </c>
      <c r="C1533">
        <v>698.21002199999998</v>
      </c>
      <c r="D1533">
        <v>7.503516435498625E-3</v>
      </c>
    </row>
    <row r="1534" spans="1:4" x14ac:dyDescent="0.25">
      <c r="A1534" s="13">
        <v>42493</v>
      </c>
      <c r="B1534" t="s">
        <v>31</v>
      </c>
      <c r="C1534">
        <v>692.35998500000005</v>
      </c>
      <c r="D1534">
        <v>-8.3786207812409641E-3</v>
      </c>
    </row>
    <row r="1535" spans="1:4" x14ac:dyDescent="0.25">
      <c r="A1535" s="13">
        <v>42494</v>
      </c>
      <c r="B1535" t="s">
        <v>31</v>
      </c>
      <c r="C1535">
        <v>695.70001200000002</v>
      </c>
      <c r="D1535">
        <v>4.8241190599713768E-3</v>
      </c>
    </row>
    <row r="1536" spans="1:4" x14ac:dyDescent="0.25">
      <c r="A1536" s="13">
        <v>42495</v>
      </c>
      <c r="B1536" t="s">
        <v>31</v>
      </c>
      <c r="C1536">
        <v>701.42999299999997</v>
      </c>
      <c r="D1536">
        <v>8.2362813010845581E-3</v>
      </c>
    </row>
    <row r="1537" spans="1:4" x14ac:dyDescent="0.25">
      <c r="A1537" s="13">
        <v>42496</v>
      </c>
      <c r="B1537" t="s">
        <v>31</v>
      </c>
      <c r="C1537">
        <v>711.11999500000002</v>
      </c>
      <c r="D1537">
        <v>1.3814638804588553E-2</v>
      </c>
    </row>
    <row r="1538" spans="1:4" x14ac:dyDescent="0.25">
      <c r="A1538" s="13">
        <v>42499</v>
      </c>
      <c r="B1538" t="s">
        <v>31</v>
      </c>
      <c r="C1538">
        <v>712.90002400000003</v>
      </c>
      <c r="D1538">
        <v>2.5031345096688806E-3</v>
      </c>
    </row>
    <row r="1539" spans="1:4" x14ac:dyDescent="0.25">
      <c r="A1539" s="13">
        <v>42500</v>
      </c>
      <c r="B1539" t="s">
        <v>31</v>
      </c>
      <c r="C1539">
        <v>723.17999299999997</v>
      </c>
      <c r="D1539">
        <v>1.4419930781205847E-2</v>
      </c>
    </row>
    <row r="1540" spans="1:4" x14ac:dyDescent="0.25">
      <c r="A1540" s="13">
        <v>42501</v>
      </c>
      <c r="B1540" t="s">
        <v>31</v>
      </c>
      <c r="C1540">
        <v>715.28997800000002</v>
      </c>
      <c r="D1540">
        <v>-1.0910167698734874E-2</v>
      </c>
    </row>
    <row r="1541" spans="1:4" x14ac:dyDescent="0.25">
      <c r="A1541" s="13">
        <v>42502</v>
      </c>
      <c r="B1541" t="s">
        <v>31</v>
      </c>
      <c r="C1541">
        <v>713.30999799999995</v>
      </c>
      <c r="D1541">
        <v>-2.768080164545661E-3</v>
      </c>
    </row>
    <row r="1542" spans="1:4" x14ac:dyDescent="0.25">
      <c r="A1542" s="13">
        <v>42503</v>
      </c>
      <c r="B1542" t="s">
        <v>31</v>
      </c>
      <c r="C1542">
        <v>710.830017</v>
      </c>
      <c r="D1542">
        <v>-3.4767226128238349E-3</v>
      </c>
    </row>
    <row r="1543" spans="1:4" x14ac:dyDescent="0.25">
      <c r="A1543" s="13">
        <v>42506</v>
      </c>
      <c r="B1543" t="s">
        <v>31</v>
      </c>
      <c r="C1543">
        <v>716.48999000000003</v>
      </c>
      <c r="D1543">
        <v>7.9624845105550346E-3</v>
      </c>
    </row>
    <row r="1544" spans="1:4" x14ac:dyDescent="0.25">
      <c r="A1544" s="13">
        <v>42507</v>
      </c>
      <c r="B1544" t="s">
        <v>31</v>
      </c>
      <c r="C1544">
        <v>706.22997999999995</v>
      </c>
      <c r="D1544">
        <v>-1.4319823226002226E-2</v>
      </c>
    </row>
    <row r="1545" spans="1:4" x14ac:dyDescent="0.25">
      <c r="A1545" s="13">
        <v>42508</v>
      </c>
      <c r="B1545" t="s">
        <v>31</v>
      </c>
      <c r="C1545">
        <v>706.63000499999998</v>
      </c>
      <c r="D1545">
        <v>5.6642313598764815E-4</v>
      </c>
    </row>
    <row r="1546" spans="1:4" x14ac:dyDescent="0.25">
      <c r="A1546" s="13">
        <v>42509</v>
      </c>
      <c r="B1546" t="s">
        <v>31</v>
      </c>
      <c r="C1546">
        <v>700.32000700000003</v>
      </c>
      <c r="D1546">
        <v>-8.9297057234357657E-3</v>
      </c>
    </row>
    <row r="1547" spans="1:4" x14ac:dyDescent="0.25">
      <c r="A1547" s="13">
        <v>42510</v>
      </c>
      <c r="B1547" t="s">
        <v>31</v>
      </c>
      <c r="C1547">
        <v>709.73999000000003</v>
      </c>
      <c r="D1547">
        <v>1.3450969422325709E-2</v>
      </c>
    </row>
    <row r="1548" spans="1:4" x14ac:dyDescent="0.25">
      <c r="A1548" s="13">
        <v>42513</v>
      </c>
      <c r="B1548" t="s">
        <v>31</v>
      </c>
      <c r="C1548">
        <v>704.23999000000003</v>
      </c>
      <c r="D1548">
        <v>-7.7493167603532864E-3</v>
      </c>
    </row>
    <row r="1549" spans="1:4" x14ac:dyDescent="0.25">
      <c r="A1549" s="13">
        <v>42514</v>
      </c>
      <c r="B1549" t="s">
        <v>31</v>
      </c>
      <c r="C1549">
        <v>720.09002699999996</v>
      </c>
      <c r="D1549">
        <v>2.2506584722631118E-2</v>
      </c>
    </row>
    <row r="1550" spans="1:4" x14ac:dyDescent="0.25">
      <c r="A1550" s="13">
        <v>42515</v>
      </c>
      <c r="B1550" t="s">
        <v>31</v>
      </c>
      <c r="C1550">
        <v>725.27002000000005</v>
      </c>
      <c r="D1550">
        <v>7.1935352605572156E-3</v>
      </c>
    </row>
    <row r="1551" spans="1:4" x14ac:dyDescent="0.25">
      <c r="A1551" s="13">
        <v>42516</v>
      </c>
      <c r="B1551" t="s">
        <v>31</v>
      </c>
      <c r="C1551">
        <v>724.11999500000002</v>
      </c>
      <c r="D1551">
        <v>-1.5856508173328621E-3</v>
      </c>
    </row>
    <row r="1552" spans="1:4" x14ac:dyDescent="0.25">
      <c r="A1552" s="13">
        <v>42517</v>
      </c>
      <c r="B1552" t="s">
        <v>31</v>
      </c>
      <c r="C1552">
        <v>732.65997300000004</v>
      </c>
      <c r="D1552">
        <v>1.1793595065690665E-2</v>
      </c>
    </row>
    <row r="1553" spans="1:4" x14ac:dyDescent="0.25">
      <c r="A1553" s="13">
        <v>42521</v>
      </c>
      <c r="B1553" t="s">
        <v>31</v>
      </c>
      <c r="C1553">
        <v>735.71997099999999</v>
      </c>
      <c r="D1553">
        <v>4.1765595402603051E-3</v>
      </c>
    </row>
    <row r="1554" spans="1:4" x14ac:dyDescent="0.25">
      <c r="A1554" s="13">
        <v>42522</v>
      </c>
      <c r="B1554" t="s">
        <v>31</v>
      </c>
      <c r="C1554">
        <v>734.15002400000003</v>
      </c>
      <c r="D1554">
        <v>-2.1338920538830353E-3</v>
      </c>
    </row>
    <row r="1555" spans="1:4" x14ac:dyDescent="0.25">
      <c r="A1555" s="13">
        <v>42523</v>
      </c>
      <c r="B1555" t="s">
        <v>31</v>
      </c>
      <c r="C1555">
        <v>730.40002400000003</v>
      </c>
      <c r="D1555">
        <v>-5.107947800053414E-3</v>
      </c>
    </row>
    <row r="1556" spans="1:4" x14ac:dyDescent="0.25">
      <c r="A1556" s="13">
        <v>42524</v>
      </c>
      <c r="B1556" t="s">
        <v>31</v>
      </c>
      <c r="C1556">
        <v>722.34002699999996</v>
      </c>
      <c r="D1556">
        <v>-1.1035044818125672E-2</v>
      </c>
    </row>
    <row r="1557" spans="1:4" x14ac:dyDescent="0.25">
      <c r="A1557" s="13">
        <v>42527</v>
      </c>
      <c r="B1557" t="s">
        <v>31</v>
      </c>
      <c r="C1557">
        <v>716.54998799999998</v>
      </c>
      <c r="D1557">
        <v>-8.0156696065244448E-3</v>
      </c>
    </row>
    <row r="1558" spans="1:4" x14ac:dyDescent="0.25">
      <c r="A1558" s="13">
        <v>42528</v>
      </c>
      <c r="B1558" t="s">
        <v>31</v>
      </c>
      <c r="C1558">
        <v>716.65002400000003</v>
      </c>
      <c r="D1558">
        <v>1.3960784547539795E-4</v>
      </c>
    </row>
    <row r="1559" spans="1:4" x14ac:dyDescent="0.25">
      <c r="A1559" s="13">
        <v>42529</v>
      </c>
      <c r="B1559" t="s">
        <v>31</v>
      </c>
      <c r="C1559">
        <v>728.28002900000001</v>
      </c>
      <c r="D1559">
        <v>1.6228290812141166E-2</v>
      </c>
    </row>
    <row r="1560" spans="1:4" x14ac:dyDescent="0.25">
      <c r="A1560" s="13">
        <v>42530</v>
      </c>
      <c r="B1560" t="s">
        <v>31</v>
      </c>
      <c r="C1560">
        <v>728.580017</v>
      </c>
      <c r="D1560">
        <v>4.1191298409204435E-4</v>
      </c>
    </row>
    <row r="1561" spans="1:4" x14ac:dyDescent="0.25">
      <c r="A1561" s="13">
        <v>42531</v>
      </c>
      <c r="B1561" t="s">
        <v>31</v>
      </c>
      <c r="C1561">
        <v>719.40997300000004</v>
      </c>
      <c r="D1561">
        <v>-1.2586186535500254E-2</v>
      </c>
    </row>
    <row r="1562" spans="1:4" x14ac:dyDescent="0.25">
      <c r="A1562" s="13">
        <v>42534</v>
      </c>
      <c r="B1562" t="s">
        <v>31</v>
      </c>
      <c r="C1562">
        <v>718.35998500000005</v>
      </c>
      <c r="D1562">
        <v>-1.4595127109809924E-3</v>
      </c>
    </row>
    <row r="1563" spans="1:4" x14ac:dyDescent="0.25">
      <c r="A1563" s="13">
        <v>42535</v>
      </c>
      <c r="B1563" t="s">
        <v>31</v>
      </c>
      <c r="C1563">
        <v>718.27002000000005</v>
      </c>
      <c r="D1563">
        <v>-1.2523665276265028E-4</v>
      </c>
    </row>
    <row r="1564" spans="1:4" x14ac:dyDescent="0.25">
      <c r="A1564" s="13">
        <v>42536</v>
      </c>
      <c r="B1564" t="s">
        <v>31</v>
      </c>
      <c r="C1564">
        <v>718.919983</v>
      </c>
      <c r="D1564">
        <v>9.0490063889903105E-4</v>
      </c>
    </row>
    <row r="1565" spans="1:4" x14ac:dyDescent="0.25">
      <c r="A1565" s="13">
        <v>42537</v>
      </c>
      <c r="B1565" t="s">
        <v>31</v>
      </c>
      <c r="C1565">
        <v>710.35998500000005</v>
      </c>
      <c r="D1565">
        <v>-1.1906746512010624E-2</v>
      </c>
    </row>
    <row r="1566" spans="1:4" x14ac:dyDescent="0.25">
      <c r="A1566" s="13">
        <v>42538</v>
      </c>
      <c r="B1566" t="s">
        <v>31</v>
      </c>
      <c r="C1566">
        <v>691.71997099999999</v>
      </c>
      <c r="D1566">
        <v>-2.624023649079843E-2</v>
      </c>
    </row>
    <row r="1567" spans="1:4" x14ac:dyDescent="0.25">
      <c r="A1567" s="13">
        <v>42541</v>
      </c>
      <c r="B1567" t="s">
        <v>31</v>
      </c>
      <c r="C1567">
        <v>693.71002199999998</v>
      </c>
      <c r="D1567">
        <v>2.8769604513847469E-3</v>
      </c>
    </row>
    <row r="1568" spans="1:4" x14ac:dyDescent="0.25">
      <c r="A1568" s="13">
        <v>42542</v>
      </c>
      <c r="B1568" t="s">
        <v>31</v>
      </c>
      <c r="C1568">
        <v>695.94000200000005</v>
      </c>
      <c r="D1568">
        <v>3.2145708282704799E-3</v>
      </c>
    </row>
    <row r="1569" spans="1:4" x14ac:dyDescent="0.25">
      <c r="A1569" s="13">
        <v>42543</v>
      </c>
      <c r="B1569" t="s">
        <v>31</v>
      </c>
      <c r="C1569">
        <v>697.46002199999998</v>
      </c>
      <c r="D1569">
        <v>2.1841250619760721E-3</v>
      </c>
    </row>
    <row r="1570" spans="1:4" x14ac:dyDescent="0.25">
      <c r="A1570" s="13">
        <v>42544</v>
      </c>
      <c r="B1570" t="s">
        <v>31</v>
      </c>
      <c r="C1570">
        <v>701.86999500000002</v>
      </c>
      <c r="D1570">
        <v>6.3229043398849161E-3</v>
      </c>
    </row>
    <row r="1571" spans="1:4" x14ac:dyDescent="0.25">
      <c r="A1571" s="13">
        <v>42545</v>
      </c>
      <c r="B1571" t="s">
        <v>31</v>
      </c>
      <c r="C1571">
        <v>675.21997099999999</v>
      </c>
      <c r="D1571">
        <v>-3.7970028908273834E-2</v>
      </c>
    </row>
    <row r="1572" spans="1:4" x14ac:dyDescent="0.25">
      <c r="A1572" s="13">
        <v>42548</v>
      </c>
      <c r="B1572" t="s">
        <v>31</v>
      </c>
      <c r="C1572">
        <v>668.26000999999997</v>
      </c>
      <c r="D1572">
        <v>-1.0307694231395881E-2</v>
      </c>
    </row>
    <row r="1573" spans="1:4" x14ac:dyDescent="0.25">
      <c r="A1573" s="13">
        <v>42549</v>
      </c>
      <c r="B1573" t="s">
        <v>31</v>
      </c>
      <c r="C1573">
        <v>680.03997800000002</v>
      </c>
      <c r="D1573">
        <v>1.762782124281248E-2</v>
      </c>
    </row>
    <row r="1574" spans="1:4" x14ac:dyDescent="0.25">
      <c r="A1574" s="13">
        <v>42550</v>
      </c>
      <c r="B1574" t="s">
        <v>31</v>
      </c>
      <c r="C1574">
        <v>684.10998500000005</v>
      </c>
      <c r="D1574">
        <v>5.9849525493631539E-3</v>
      </c>
    </row>
    <row r="1575" spans="1:4" x14ac:dyDescent="0.25">
      <c r="A1575" s="13">
        <v>42551</v>
      </c>
      <c r="B1575" t="s">
        <v>31</v>
      </c>
      <c r="C1575">
        <v>692.09997599999997</v>
      </c>
      <c r="D1575">
        <v>1.1679395382600433E-2</v>
      </c>
    </row>
    <row r="1576" spans="1:4" x14ac:dyDescent="0.25">
      <c r="A1576" s="13">
        <v>42552</v>
      </c>
      <c r="B1576" t="s">
        <v>31</v>
      </c>
      <c r="C1576">
        <v>699.21002199999998</v>
      </c>
      <c r="D1576">
        <v>1.0273148745203908E-2</v>
      </c>
    </row>
    <row r="1577" spans="1:4" x14ac:dyDescent="0.25">
      <c r="A1577" s="13">
        <v>42556</v>
      </c>
      <c r="B1577" t="s">
        <v>31</v>
      </c>
      <c r="C1577">
        <v>694.95001200000002</v>
      </c>
      <c r="D1577">
        <v>-6.0926043191068535E-3</v>
      </c>
    </row>
    <row r="1578" spans="1:4" x14ac:dyDescent="0.25">
      <c r="A1578" s="13">
        <v>42557</v>
      </c>
      <c r="B1578" t="s">
        <v>31</v>
      </c>
      <c r="C1578">
        <v>697.77002000000005</v>
      </c>
      <c r="D1578">
        <v>4.0578573297442855E-3</v>
      </c>
    </row>
    <row r="1579" spans="1:4" x14ac:dyDescent="0.25">
      <c r="A1579" s="13">
        <v>42558</v>
      </c>
      <c r="B1579" t="s">
        <v>31</v>
      </c>
      <c r="C1579">
        <v>695.35998500000005</v>
      </c>
      <c r="D1579">
        <v>-3.4539102152884027E-3</v>
      </c>
    </row>
    <row r="1580" spans="1:4" x14ac:dyDescent="0.25">
      <c r="A1580" s="13">
        <v>42559</v>
      </c>
      <c r="B1580" t="s">
        <v>31</v>
      </c>
      <c r="C1580">
        <v>705.63000499999998</v>
      </c>
      <c r="D1580">
        <v>1.4769357198487487E-2</v>
      </c>
    </row>
    <row r="1581" spans="1:4" x14ac:dyDescent="0.25">
      <c r="A1581" s="13">
        <v>42562</v>
      </c>
      <c r="B1581" t="s">
        <v>31</v>
      </c>
      <c r="C1581">
        <v>715.09002699999996</v>
      </c>
      <c r="D1581">
        <v>1.3406490558745432E-2</v>
      </c>
    </row>
    <row r="1582" spans="1:4" x14ac:dyDescent="0.25">
      <c r="A1582" s="13">
        <v>42563</v>
      </c>
      <c r="B1582" t="s">
        <v>31</v>
      </c>
      <c r="C1582">
        <v>720.64001499999995</v>
      </c>
      <c r="D1582">
        <v>7.7612437461667128E-3</v>
      </c>
    </row>
    <row r="1583" spans="1:4" x14ac:dyDescent="0.25">
      <c r="A1583" s="13">
        <v>42564</v>
      </c>
      <c r="B1583" t="s">
        <v>31</v>
      </c>
      <c r="C1583">
        <v>716.97997999999995</v>
      </c>
      <c r="D1583">
        <v>-5.0788672899325649E-3</v>
      </c>
    </row>
    <row r="1584" spans="1:4" x14ac:dyDescent="0.25">
      <c r="A1584" s="13">
        <v>42565</v>
      </c>
      <c r="B1584" t="s">
        <v>31</v>
      </c>
      <c r="C1584">
        <v>720.95001200000002</v>
      </c>
      <c r="D1584">
        <v>5.537158792076724E-3</v>
      </c>
    </row>
    <row r="1585" spans="1:4" x14ac:dyDescent="0.25">
      <c r="A1585" s="13">
        <v>42566</v>
      </c>
      <c r="B1585" t="s">
        <v>31</v>
      </c>
      <c r="C1585">
        <v>719.84997599999997</v>
      </c>
      <c r="D1585">
        <v>-1.5258145248495669E-3</v>
      </c>
    </row>
    <row r="1586" spans="1:4" x14ac:dyDescent="0.25">
      <c r="A1586" s="13">
        <v>42569</v>
      </c>
      <c r="B1586" t="s">
        <v>31</v>
      </c>
      <c r="C1586">
        <v>733.78002900000001</v>
      </c>
      <c r="D1586">
        <v>1.9351328005045465E-2</v>
      </c>
    </row>
    <row r="1587" spans="1:4" x14ac:dyDescent="0.25">
      <c r="A1587" s="13">
        <v>42570</v>
      </c>
      <c r="B1587" t="s">
        <v>31</v>
      </c>
      <c r="C1587">
        <v>736.96002199999998</v>
      </c>
      <c r="D1587">
        <v>4.3337142935515605E-3</v>
      </c>
    </row>
    <row r="1588" spans="1:4" x14ac:dyDescent="0.25">
      <c r="A1588" s="13">
        <v>42571</v>
      </c>
      <c r="B1588" t="s">
        <v>31</v>
      </c>
      <c r="C1588">
        <v>741.19000200000005</v>
      </c>
      <c r="D1588">
        <v>5.7397686085067789E-3</v>
      </c>
    </row>
    <row r="1589" spans="1:4" x14ac:dyDescent="0.25">
      <c r="A1589" s="13">
        <v>42572</v>
      </c>
      <c r="B1589" t="s">
        <v>31</v>
      </c>
      <c r="C1589">
        <v>738.63000499999998</v>
      </c>
      <c r="D1589">
        <v>-3.453901149627292E-3</v>
      </c>
    </row>
    <row r="1590" spans="1:4" x14ac:dyDescent="0.25">
      <c r="A1590" s="13">
        <v>42573</v>
      </c>
      <c r="B1590" t="s">
        <v>31</v>
      </c>
      <c r="C1590">
        <v>742.73999000000003</v>
      </c>
      <c r="D1590">
        <v>5.5643352858378847E-3</v>
      </c>
    </row>
    <row r="1591" spans="1:4" x14ac:dyDescent="0.25">
      <c r="A1591" s="13">
        <v>42576</v>
      </c>
      <c r="B1591" t="s">
        <v>31</v>
      </c>
      <c r="C1591">
        <v>739.77002000000005</v>
      </c>
      <c r="D1591">
        <v>-3.9986671513405625E-3</v>
      </c>
    </row>
    <row r="1592" spans="1:4" x14ac:dyDescent="0.25">
      <c r="A1592" s="13">
        <v>42577</v>
      </c>
      <c r="B1592" t="s">
        <v>31</v>
      </c>
      <c r="C1592">
        <v>738.419983</v>
      </c>
      <c r="D1592">
        <v>-1.8249414865447733E-3</v>
      </c>
    </row>
    <row r="1593" spans="1:4" x14ac:dyDescent="0.25">
      <c r="A1593" s="13">
        <v>42578</v>
      </c>
      <c r="B1593" t="s">
        <v>31</v>
      </c>
      <c r="C1593">
        <v>741.77002000000005</v>
      </c>
      <c r="D1593">
        <v>4.5367637349003065E-3</v>
      </c>
    </row>
    <row r="1594" spans="1:4" x14ac:dyDescent="0.25">
      <c r="A1594" s="13">
        <v>42579</v>
      </c>
      <c r="B1594" t="s">
        <v>31</v>
      </c>
      <c r="C1594">
        <v>745.90997300000004</v>
      </c>
      <c r="D1594">
        <v>5.5811813478252592E-3</v>
      </c>
    </row>
    <row r="1595" spans="1:4" x14ac:dyDescent="0.25">
      <c r="A1595" s="13">
        <v>42580</v>
      </c>
      <c r="B1595" t="s">
        <v>31</v>
      </c>
      <c r="C1595">
        <v>768.78997800000002</v>
      </c>
      <c r="D1595">
        <v>3.0673949710014137E-2</v>
      </c>
    </row>
    <row r="1596" spans="1:4" x14ac:dyDescent="0.25">
      <c r="A1596" s="13">
        <v>42583</v>
      </c>
      <c r="B1596" t="s">
        <v>31</v>
      </c>
      <c r="C1596">
        <v>772.88000499999998</v>
      </c>
      <c r="D1596">
        <v>5.3200836600915125E-3</v>
      </c>
    </row>
    <row r="1597" spans="1:4" x14ac:dyDescent="0.25">
      <c r="A1597" s="13">
        <v>42584</v>
      </c>
      <c r="B1597" t="s">
        <v>31</v>
      </c>
      <c r="C1597">
        <v>771.07000700000003</v>
      </c>
      <c r="D1597">
        <v>-2.3418874706170323E-3</v>
      </c>
    </row>
    <row r="1598" spans="1:4" x14ac:dyDescent="0.25">
      <c r="A1598" s="13">
        <v>42585</v>
      </c>
      <c r="B1598" t="s">
        <v>31</v>
      </c>
      <c r="C1598">
        <v>773.17999299999997</v>
      </c>
      <c r="D1598">
        <v>2.7364389495698749E-3</v>
      </c>
    </row>
    <row r="1599" spans="1:4" x14ac:dyDescent="0.25">
      <c r="A1599" s="13">
        <v>42586</v>
      </c>
      <c r="B1599" t="s">
        <v>31</v>
      </c>
      <c r="C1599">
        <v>771.60998500000005</v>
      </c>
      <c r="D1599">
        <v>-2.0305853930702167E-3</v>
      </c>
    </row>
    <row r="1600" spans="1:4" x14ac:dyDescent="0.25">
      <c r="A1600" s="13">
        <v>42587</v>
      </c>
      <c r="B1600" t="s">
        <v>31</v>
      </c>
      <c r="C1600">
        <v>782.21997099999999</v>
      </c>
      <c r="D1600">
        <v>1.3750451920344187E-2</v>
      </c>
    </row>
    <row r="1601" spans="1:4" x14ac:dyDescent="0.25">
      <c r="A1601" s="13">
        <v>42590</v>
      </c>
      <c r="B1601" t="s">
        <v>31</v>
      </c>
      <c r="C1601">
        <v>781.76000999999997</v>
      </c>
      <c r="D1601">
        <v>-5.8802001617519473E-4</v>
      </c>
    </row>
    <row r="1602" spans="1:4" x14ac:dyDescent="0.25">
      <c r="A1602" s="13">
        <v>42591</v>
      </c>
      <c r="B1602" t="s">
        <v>31</v>
      </c>
      <c r="C1602">
        <v>784.26000999999997</v>
      </c>
      <c r="D1602">
        <v>3.1979123618768313E-3</v>
      </c>
    </row>
    <row r="1603" spans="1:4" x14ac:dyDescent="0.25">
      <c r="A1603" s="13">
        <v>42592</v>
      </c>
      <c r="B1603" t="s">
        <v>31</v>
      </c>
      <c r="C1603">
        <v>784.67999299999997</v>
      </c>
      <c r="D1603">
        <v>5.3551500094983773E-4</v>
      </c>
    </row>
    <row r="1604" spans="1:4" x14ac:dyDescent="0.25">
      <c r="A1604" s="13">
        <v>42593</v>
      </c>
      <c r="B1604" t="s">
        <v>31</v>
      </c>
      <c r="C1604">
        <v>784.84997599999997</v>
      </c>
      <c r="D1604">
        <v>2.1662716204873256E-4</v>
      </c>
    </row>
    <row r="1605" spans="1:4" x14ac:dyDescent="0.25">
      <c r="A1605" s="13">
        <v>42594</v>
      </c>
      <c r="B1605" t="s">
        <v>31</v>
      </c>
      <c r="C1605">
        <v>783.21997099999999</v>
      </c>
      <c r="D1605">
        <v>-2.0768364016615637E-3</v>
      </c>
    </row>
    <row r="1606" spans="1:4" x14ac:dyDescent="0.25">
      <c r="A1606" s="13">
        <v>42597</v>
      </c>
      <c r="B1606" t="s">
        <v>31</v>
      </c>
      <c r="C1606">
        <v>782.44000200000005</v>
      </c>
      <c r="D1606">
        <v>-9.9584922356366068E-4</v>
      </c>
    </row>
    <row r="1607" spans="1:4" x14ac:dyDescent="0.25">
      <c r="A1607" s="13">
        <v>42598</v>
      </c>
      <c r="B1607" t="s">
        <v>31</v>
      </c>
      <c r="C1607">
        <v>777.14001499999995</v>
      </c>
      <c r="D1607">
        <v>-6.7736656950727614E-3</v>
      </c>
    </row>
    <row r="1608" spans="1:4" x14ac:dyDescent="0.25">
      <c r="A1608" s="13">
        <v>42599</v>
      </c>
      <c r="B1608" t="s">
        <v>31</v>
      </c>
      <c r="C1608">
        <v>779.90997300000004</v>
      </c>
      <c r="D1608">
        <v>3.5642972264142703E-3</v>
      </c>
    </row>
    <row r="1609" spans="1:4" x14ac:dyDescent="0.25">
      <c r="A1609" s="13">
        <v>42600</v>
      </c>
      <c r="B1609" t="s">
        <v>31</v>
      </c>
      <c r="C1609">
        <v>777.5</v>
      </c>
      <c r="D1609">
        <v>-3.0900656273568083E-3</v>
      </c>
    </row>
    <row r="1610" spans="1:4" x14ac:dyDescent="0.25">
      <c r="A1610" s="13">
        <v>42601</v>
      </c>
      <c r="B1610" t="s">
        <v>31</v>
      </c>
      <c r="C1610">
        <v>775.419983</v>
      </c>
      <c r="D1610">
        <v>-2.6752630225080898E-3</v>
      </c>
    </row>
    <row r="1611" spans="1:4" x14ac:dyDescent="0.25">
      <c r="A1611" s="13">
        <v>42604</v>
      </c>
      <c r="B1611" t="s">
        <v>31</v>
      </c>
      <c r="C1611">
        <v>772.15002400000003</v>
      </c>
      <c r="D1611">
        <v>-4.217016677012797E-3</v>
      </c>
    </row>
    <row r="1612" spans="1:4" x14ac:dyDescent="0.25">
      <c r="A1612" s="13">
        <v>42605</v>
      </c>
      <c r="B1612" t="s">
        <v>31</v>
      </c>
      <c r="C1612">
        <v>772.080017</v>
      </c>
      <c r="D1612">
        <v>-9.0665023407487944E-5</v>
      </c>
    </row>
    <row r="1613" spans="1:4" x14ac:dyDescent="0.25">
      <c r="A1613" s="13">
        <v>42606</v>
      </c>
      <c r="B1613" t="s">
        <v>31</v>
      </c>
      <c r="C1613">
        <v>769.64001499999995</v>
      </c>
      <c r="D1613">
        <v>-3.1602967908441748E-3</v>
      </c>
    </row>
    <row r="1614" spans="1:4" x14ac:dyDescent="0.25">
      <c r="A1614" s="13">
        <v>42607</v>
      </c>
      <c r="B1614" t="s">
        <v>31</v>
      </c>
      <c r="C1614">
        <v>769.40997300000004</v>
      </c>
      <c r="D1614">
        <v>-2.9889558172191411E-4</v>
      </c>
    </row>
    <row r="1615" spans="1:4" x14ac:dyDescent="0.25">
      <c r="A1615" s="13">
        <v>42608</v>
      </c>
      <c r="B1615" t="s">
        <v>31</v>
      </c>
      <c r="C1615">
        <v>769.53997800000002</v>
      </c>
      <c r="D1615">
        <v>1.6896713658787199E-4</v>
      </c>
    </row>
    <row r="1616" spans="1:4" x14ac:dyDescent="0.25">
      <c r="A1616" s="13">
        <v>42611</v>
      </c>
      <c r="B1616" t="s">
        <v>31</v>
      </c>
      <c r="C1616">
        <v>772.15002400000003</v>
      </c>
      <c r="D1616">
        <v>3.3916964350355627E-3</v>
      </c>
    </row>
    <row r="1617" spans="1:4" x14ac:dyDescent="0.25">
      <c r="A1617" s="13">
        <v>42612</v>
      </c>
      <c r="B1617" t="s">
        <v>31</v>
      </c>
      <c r="C1617">
        <v>769.09002699999996</v>
      </c>
      <c r="D1617">
        <v>-3.9629565562249169E-3</v>
      </c>
    </row>
    <row r="1618" spans="1:4" x14ac:dyDescent="0.25">
      <c r="A1618" s="13">
        <v>42613</v>
      </c>
      <c r="B1618" t="s">
        <v>31</v>
      </c>
      <c r="C1618">
        <v>767.04998799999998</v>
      </c>
      <c r="D1618">
        <v>-2.6525360209878057E-3</v>
      </c>
    </row>
    <row r="1619" spans="1:4" x14ac:dyDescent="0.25">
      <c r="A1619" s="13">
        <v>42614</v>
      </c>
      <c r="B1619" t="s">
        <v>31</v>
      </c>
      <c r="C1619">
        <v>768.78002900000001</v>
      </c>
      <c r="D1619">
        <v>2.2554475289295883E-3</v>
      </c>
    </row>
    <row r="1620" spans="1:4" x14ac:dyDescent="0.25">
      <c r="A1620" s="13">
        <v>42615</v>
      </c>
      <c r="B1620" t="s">
        <v>31</v>
      </c>
      <c r="C1620">
        <v>771.46002199999998</v>
      </c>
      <c r="D1620">
        <v>3.4860335842568091E-3</v>
      </c>
    </row>
    <row r="1621" spans="1:4" x14ac:dyDescent="0.25">
      <c r="A1621" s="13">
        <v>42619</v>
      </c>
      <c r="B1621" t="s">
        <v>31</v>
      </c>
      <c r="C1621">
        <v>780.080017</v>
      </c>
      <c r="D1621">
        <v>1.117361205270595E-2</v>
      </c>
    </row>
    <row r="1622" spans="1:4" x14ac:dyDescent="0.25">
      <c r="A1622" s="13">
        <v>42620</v>
      </c>
      <c r="B1622" t="s">
        <v>31</v>
      </c>
      <c r="C1622">
        <v>780.34997599999997</v>
      </c>
      <c r="D1622">
        <v>3.4606578058249404E-4</v>
      </c>
    </row>
    <row r="1623" spans="1:4" x14ac:dyDescent="0.25">
      <c r="A1623" s="13">
        <v>42621</v>
      </c>
      <c r="B1623" t="s">
        <v>31</v>
      </c>
      <c r="C1623">
        <v>775.32000700000003</v>
      </c>
      <c r="D1623">
        <v>-6.4457860635597219E-3</v>
      </c>
    </row>
    <row r="1624" spans="1:4" x14ac:dyDescent="0.25">
      <c r="A1624" s="13">
        <v>42622</v>
      </c>
      <c r="B1624" t="s">
        <v>31</v>
      </c>
      <c r="C1624">
        <v>759.65997300000004</v>
      </c>
      <c r="D1624">
        <v>-2.0198155417908592E-2</v>
      </c>
    </row>
    <row r="1625" spans="1:4" x14ac:dyDescent="0.25">
      <c r="A1625" s="13">
        <v>42625</v>
      </c>
      <c r="B1625" t="s">
        <v>31</v>
      </c>
      <c r="C1625">
        <v>769.02002000000005</v>
      </c>
      <c r="D1625">
        <v>1.2321363942654484E-2</v>
      </c>
    </row>
    <row r="1626" spans="1:4" x14ac:dyDescent="0.25">
      <c r="A1626" s="13">
        <v>42626</v>
      </c>
      <c r="B1626" t="s">
        <v>31</v>
      </c>
      <c r="C1626">
        <v>759.69000200000005</v>
      </c>
      <c r="D1626">
        <v>-1.2132347347732275E-2</v>
      </c>
    </row>
    <row r="1627" spans="1:4" x14ac:dyDescent="0.25">
      <c r="A1627" s="13">
        <v>42627</v>
      </c>
      <c r="B1627" t="s">
        <v>31</v>
      </c>
      <c r="C1627">
        <v>762.48999000000003</v>
      </c>
      <c r="D1627">
        <v>3.6856981040009895E-3</v>
      </c>
    </row>
    <row r="1628" spans="1:4" x14ac:dyDescent="0.25">
      <c r="A1628" s="13">
        <v>42628</v>
      </c>
      <c r="B1628" t="s">
        <v>31</v>
      </c>
      <c r="C1628">
        <v>771.76000999999997</v>
      </c>
      <c r="D1628">
        <v>1.2157562881579542E-2</v>
      </c>
    </row>
    <row r="1629" spans="1:4" x14ac:dyDescent="0.25">
      <c r="A1629" s="13">
        <v>42629</v>
      </c>
      <c r="B1629" t="s">
        <v>31</v>
      </c>
      <c r="C1629">
        <v>768.88000499999998</v>
      </c>
      <c r="D1629">
        <v>-3.7317365018693094E-3</v>
      </c>
    </row>
    <row r="1630" spans="1:4" x14ac:dyDescent="0.25">
      <c r="A1630" s="13">
        <v>42632</v>
      </c>
      <c r="B1630" t="s">
        <v>31</v>
      </c>
      <c r="C1630">
        <v>765.70001200000002</v>
      </c>
      <c r="D1630">
        <v>-4.1358768329525786E-3</v>
      </c>
    </row>
    <row r="1631" spans="1:4" x14ac:dyDescent="0.25">
      <c r="A1631" s="13">
        <v>42633</v>
      </c>
      <c r="B1631" t="s">
        <v>31</v>
      </c>
      <c r="C1631">
        <v>771.40997300000004</v>
      </c>
      <c r="D1631">
        <v>7.4571776289851233E-3</v>
      </c>
    </row>
    <row r="1632" spans="1:4" x14ac:dyDescent="0.25">
      <c r="A1632" s="13">
        <v>42634</v>
      </c>
      <c r="B1632" t="s">
        <v>31</v>
      </c>
      <c r="C1632">
        <v>776.21997099999999</v>
      </c>
      <c r="D1632">
        <v>6.2353329206958907E-3</v>
      </c>
    </row>
    <row r="1633" spans="1:4" x14ac:dyDescent="0.25">
      <c r="A1633" s="13">
        <v>42635</v>
      </c>
      <c r="B1633" t="s">
        <v>31</v>
      </c>
      <c r="C1633">
        <v>787.21002199999998</v>
      </c>
      <c r="D1633">
        <v>1.4158423398771269E-2</v>
      </c>
    </row>
    <row r="1634" spans="1:4" x14ac:dyDescent="0.25">
      <c r="A1634" s="13">
        <v>42636</v>
      </c>
      <c r="B1634" t="s">
        <v>31</v>
      </c>
      <c r="C1634">
        <v>786.90002400000003</v>
      </c>
      <c r="D1634">
        <v>-3.9379325889721262E-4</v>
      </c>
    </row>
    <row r="1635" spans="1:4" x14ac:dyDescent="0.25">
      <c r="A1635" s="13">
        <v>42639</v>
      </c>
      <c r="B1635" t="s">
        <v>31</v>
      </c>
      <c r="C1635">
        <v>774.21002199999998</v>
      </c>
      <c r="D1635">
        <v>-1.6126574676531003E-2</v>
      </c>
    </row>
    <row r="1636" spans="1:4" x14ac:dyDescent="0.25">
      <c r="A1636" s="13">
        <v>42640</v>
      </c>
      <c r="B1636" t="s">
        <v>31</v>
      </c>
      <c r="C1636">
        <v>783.01000999999997</v>
      </c>
      <c r="D1636">
        <v>1.1366409307473457E-2</v>
      </c>
    </row>
    <row r="1637" spans="1:4" x14ac:dyDescent="0.25">
      <c r="A1637" s="13">
        <v>42641</v>
      </c>
      <c r="B1637" t="s">
        <v>31</v>
      </c>
      <c r="C1637">
        <v>781.55999799999995</v>
      </c>
      <c r="D1637">
        <v>-1.8518435032522929E-3</v>
      </c>
    </row>
    <row r="1638" spans="1:4" x14ac:dyDescent="0.25">
      <c r="A1638" s="13">
        <v>42642</v>
      </c>
      <c r="B1638" t="s">
        <v>31</v>
      </c>
      <c r="C1638">
        <v>775.01000999999997</v>
      </c>
      <c r="D1638">
        <v>-8.3806592158776061E-3</v>
      </c>
    </row>
    <row r="1639" spans="1:4" x14ac:dyDescent="0.25">
      <c r="A1639" s="13">
        <v>42643</v>
      </c>
      <c r="B1639" t="s">
        <v>31</v>
      </c>
      <c r="C1639">
        <v>777.28997800000002</v>
      </c>
      <c r="D1639">
        <v>2.94185619615428E-3</v>
      </c>
    </row>
    <row r="1640" spans="1:4" x14ac:dyDescent="0.25">
      <c r="A1640" s="13">
        <v>42646</v>
      </c>
      <c r="B1640" t="s">
        <v>31</v>
      </c>
      <c r="C1640">
        <v>772.55999799999995</v>
      </c>
      <c r="D1640">
        <v>-6.0852193311053959E-3</v>
      </c>
    </row>
    <row r="1641" spans="1:4" x14ac:dyDescent="0.25">
      <c r="A1641" s="13">
        <v>42647</v>
      </c>
      <c r="B1641" t="s">
        <v>31</v>
      </c>
      <c r="C1641">
        <v>776.42999299999997</v>
      </c>
      <c r="D1641">
        <v>5.0093132054709333E-3</v>
      </c>
    </row>
    <row r="1642" spans="1:4" x14ac:dyDescent="0.25">
      <c r="A1642" s="13">
        <v>42648</v>
      </c>
      <c r="B1642" t="s">
        <v>31</v>
      </c>
      <c r="C1642">
        <v>776.46997099999999</v>
      </c>
      <c r="D1642">
        <v>5.1489510143110095E-5</v>
      </c>
    </row>
    <row r="1643" spans="1:4" x14ac:dyDescent="0.25">
      <c r="A1643" s="13">
        <v>42649</v>
      </c>
      <c r="B1643" t="s">
        <v>31</v>
      </c>
      <c r="C1643">
        <v>776.85998500000005</v>
      </c>
      <c r="D1643">
        <v>5.0229115685929138E-4</v>
      </c>
    </row>
    <row r="1644" spans="1:4" x14ac:dyDescent="0.25">
      <c r="A1644" s="13">
        <v>42650</v>
      </c>
      <c r="B1644" t="s">
        <v>31</v>
      </c>
      <c r="C1644">
        <v>775.080017</v>
      </c>
      <c r="D1644">
        <v>-2.2912339860059472E-3</v>
      </c>
    </row>
    <row r="1645" spans="1:4" x14ac:dyDescent="0.25">
      <c r="A1645" s="13">
        <v>42653</v>
      </c>
      <c r="B1645" t="s">
        <v>31</v>
      </c>
      <c r="C1645">
        <v>785.94000200000005</v>
      </c>
      <c r="D1645">
        <v>1.4011437221713496E-2</v>
      </c>
    </row>
    <row r="1646" spans="1:4" x14ac:dyDescent="0.25">
      <c r="A1646" s="13">
        <v>42654</v>
      </c>
      <c r="B1646" t="s">
        <v>31</v>
      </c>
      <c r="C1646">
        <v>783.07000700000003</v>
      </c>
      <c r="D1646">
        <v>-3.6516718740573495E-3</v>
      </c>
    </row>
    <row r="1647" spans="1:4" x14ac:dyDescent="0.25">
      <c r="A1647" s="13">
        <v>42655</v>
      </c>
      <c r="B1647" t="s">
        <v>31</v>
      </c>
      <c r="C1647">
        <v>786.14001499999995</v>
      </c>
      <c r="D1647">
        <v>3.9204770615099971E-3</v>
      </c>
    </row>
    <row r="1648" spans="1:4" x14ac:dyDescent="0.25">
      <c r="A1648" s="13">
        <v>42656</v>
      </c>
      <c r="B1648" t="s">
        <v>31</v>
      </c>
      <c r="C1648">
        <v>778.19000200000005</v>
      </c>
      <c r="D1648">
        <v>-1.0112718915599173E-2</v>
      </c>
    </row>
    <row r="1649" spans="1:4" x14ac:dyDescent="0.25">
      <c r="A1649" s="13">
        <v>42657</v>
      </c>
      <c r="B1649" t="s">
        <v>31</v>
      </c>
      <c r="C1649">
        <v>778.53002900000001</v>
      </c>
      <c r="D1649">
        <v>4.3694598893084802E-4</v>
      </c>
    </row>
    <row r="1650" spans="1:4" x14ac:dyDescent="0.25">
      <c r="A1650" s="13">
        <v>42660</v>
      </c>
      <c r="B1650" t="s">
        <v>31</v>
      </c>
      <c r="C1650">
        <v>779.96002199999998</v>
      </c>
      <c r="D1650">
        <v>1.8367859256973595E-3</v>
      </c>
    </row>
    <row r="1651" spans="1:4" x14ac:dyDescent="0.25">
      <c r="A1651" s="13">
        <v>42661</v>
      </c>
      <c r="B1651" t="s">
        <v>31</v>
      </c>
      <c r="C1651">
        <v>795.26000999999997</v>
      </c>
      <c r="D1651">
        <v>1.9616374645417434E-2</v>
      </c>
    </row>
    <row r="1652" spans="1:4" x14ac:dyDescent="0.25">
      <c r="A1652" s="13">
        <v>42662</v>
      </c>
      <c r="B1652" t="s">
        <v>31</v>
      </c>
      <c r="C1652">
        <v>801.5</v>
      </c>
      <c r="D1652">
        <v>7.8464777827820242E-3</v>
      </c>
    </row>
    <row r="1653" spans="1:4" x14ac:dyDescent="0.25">
      <c r="A1653" s="13">
        <v>42663</v>
      </c>
      <c r="B1653" t="s">
        <v>31</v>
      </c>
      <c r="C1653">
        <v>796.96997099999999</v>
      </c>
      <c r="D1653">
        <v>-5.6519388646288915E-3</v>
      </c>
    </row>
    <row r="1654" spans="1:4" x14ac:dyDescent="0.25">
      <c r="A1654" s="13">
        <v>42664</v>
      </c>
      <c r="B1654" t="s">
        <v>31</v>
      </c>
      <c r="C1654">
        <v>799.36999500000002</v>
      </c>
      <c r="D1654">
        <v>3.0114359227217946E-3</v>
      </c>
    </row>
    <row r="1655" spans="1:4" x14ac:dyDescent="0.25">
      <c r="A1655" s="13">
        <v>42667</v>
      </c>
      <c r="B1655" t="s">
        <v>31</v>
      </c>
      <c r="C1655">
        <v>813.10998500000005</v>
      </c>
      <c r="D1655">
        <v>1.7188523569739544E-2</v>
      </c>
    </row>
    <row r="1656" spans="1:4" x14ac:dyDescent="0.25">
      <c r="A1656" s="13">
        <v>42668</v>
      </c>
      <c r="B1656" t="s">
        <v>31</v>
      </c>
      <c r="C1656">
        <v>807.669983</v>
      </c>
      <c r="D1656">
        <v>-6.6903642807929486E-3</v>
      </c>
    </row>
    <row r="1657" spans="1:4" x14ac:dyDescent="0.25">
      <c r="A1657" s="13">
        <v>42669</v>
      </c>
      <c r="B1657" t="s">
        <v>31</v>
      </c>
      <c r="C1657">
        <v>799.07000700000003</v>
      </c>
      <c r="D1657">
        <v>-1.0647883641851208E-2</v>
      </c>
    </row>
    <row r="1658" spans="1:4" x14ac:dyDescent="0.25">
      <c r="A1658" s="13">
        <v>42670</v>
      </c>
      <c r="B1658" t="s">
        <v>31</v>
      </c>
      <c r="C1658">
        <v>795.34997599999997</v>
      </c>
      <c r="D1658">
        <v>-4.6554506706695253E-3</v>
      </c>
    </row>
    <row r="1659" spans="1:4" x14ac:dyDescent="0.25">
      <c r="A1659" s="13">
        <v>42671</v>
      </c>
      <c r="B1659" t="s">
        <v>31</v>
      </c>
      <c r="C1659">
        <v>795.36999500000002</v>
      </c>
      <c r="D1659">
        <v>2.5170051680456496E-5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DBFC1-ADC6-4EC8-9257-BF13D1C3B35A}">
  <sheetPr codeName="Feuil8"/>
  <dimension ref="A1:D44"/>
  <sheetViews>
    <sheetView workbookViewId="0">
      <selection activeCell="A2" sqref="A2:D44"/>
    </sheetView>
  </sheetViews>
  <sheetFormatPr baseColWidth="10" defaultRowHeight="15" x14ac:dyDescent="0.25"/>
  <cols>
    <col min="1" max="1" width="11.42578125" style="13"/>
  </cols>
  <sheetData>
    <row r="1" spans="1:4" ht="18.75" x14ac:dyDescent="0.3">
      <c r="A1" s="31" t="s">
        <v>28</v>
      </c>
      <c r="B1" s="29" t="s">
        <v>41</v>
      </c>
      <c r="C1" s="29" t="s">
        <v>27</v>
      </c>
      <c r="D1" s="29" t="s">
        <v>42</v>
      </c>
    </row>
    <row r="2" spans="1:4" x14ac:dyDescent="0.25">
      <c r="A2" s="13">
        <v>42674</v>
      </c>
      <c r="B2" t="s">
        <v>31</v>
      </c>
      <c r="C2">
        <v>784.53997800000002</v>
      </c>
      <c r="D2">
        <v>-1.3616325820789865E-2</v>
      </c>
    </row>
    <row r="3" spans="1:4" x14ac:dyDescent="0.25">
      <c r="A3" s="13">
        <v>42675</v>
      </c>
      <c r="B3" t="s">
        <v>31</v>
      </c>
      <c r="C3">
        <v>783.60998500000005</v>
      </c>
      <c r="D3">
        <v>-1.1853991206041137E-3</v>
      </c>
    </row>
    <row r="4" spans="1:4" x14ac:dyDescent="0.25">
      <c r="A4" s="13">
        <v>42676</v>
      </c>
      <c r="B4" t="s">
        <v>31</v>
      </c>
      <c r="C4">
        <v>768.70001200000002</v>
      </c>
      <c r="D4">
        <v>-1.9027288173210311E-2</v>
      </c>
    </row>
    <row r="5" spans="1:4" x14ac:dyDescent="0.25">
      <c r="A5" s="13">
        <v>42677</v>
      </c>
      <c r="B5" t="s">
        <v>31</v>
      </c>
      <c r="C5">
        <v>762.13000499999998</v>
      </c>
      <c r="D5">
        <v>-8.5469063320373628E-3</v>
      </c>
    </row>
    <row r="6" spans="1:4" x14ac:dyDescent="0.25">
      <c r="A6" s="13">
        <v>42678</v>
      </c>
      <c r="B6" t="s">
        <v>31</v>
      </c>
      <c r="C6">
        <v>762.02002000000005</v>
      </c>
      <c r="D6">
        <v>-1.4431264912595498E-4</v>
      </c>
    </row>
    <row r="7" spans="1:4" x14ac:dyDescent="0.25">
      <c r="A7" s="13">
        <v>42681</v>
      </c>
      <c r="B7" t="s">
        <v>31</v>
      </c>
      <c r="C7">
        <v>782.52002000000005</v>
      </c>
      <c r="D7">
        <v>2.6902180339041459E-2</v>
      </c>
    </row>
    <row r="8" spans="1:4" x14ac:dyDescent="0.25">
      <c r="A8" s="13">
        <v>42682</v>
      </c>
      <c r="B8" t="s">
        <v>31</v>
      </c>
      <c r="C8">
        <v>790.51000999999997</v>
      </c>
      <c r="D8">
        <v>1.0210588605771287E-2</v>
      </c>
    </row>
    <row r="9" spans="1:4" x14ac:dyDescent="0.25">
      <c r="A9" s="13">
        <v>42683</v>
      </c>
      <c r="B9" t="s">
        <v>31</v>
      </c>
      <c r="C9">
        <v>785.30999799999995</v>
      </c>
      <c r="D9">
        <v>-6.5780470003157232E-3</v>
      </c>
    </row>
    <row r="10" spans="1:4" x14ac:dyDescent="0.25">
      <c r="A10" s="13">
        <v>42684</v>
      </c>
      <c r="B10" t="s">
        <v>31</v>
      </c>
      <c r="C10">
        <v>762.55999799999995</v>
      </c>
      <c r="D10">
        <v>-2.8969451627941734E-2</v>
      </c>
    </row>
    <row r="11" spans="1:4" x14ac:dyDescent="0.25">
      <c r="A11" s="13">
        <v>42685</v>
      </c>
      <c r="B11" t="s">
        <v>31</v>
      </c>
      <c r="C11">
        <v>754.02002000000005</v>
      </c>
      <c r="D11">
        <v>-1.1199089937051654E-2</v>
      </c>
    </row>
    <row r="12" spans="1:4" x14ac:dyDescent="0.25">
      <c r="A12" s="13">
        <v>42688</v>
      </c>
      <c r="B12" t="s">
        <v>31</v>
      </c>
      <c r="C12">
        <v>736.080017</v>
      </c>
      <c r="D12">
        <v>-2.379247569580456E-2</v>
      </c>
    </row>
    <row r="13" spans="1:4" x14ac:dyDescent="0.25">
      <c r="A13" s="13">
        <v>42689</v>
      </c>
      <c r="B13" t="s">
        <v>31</v>
      </c>
      <c r="C13">
        <v>758.48999000000003</v>
      </c>
      <c r="D13">
        <v>3.0445022935597477E-2</v>
      </c>
    </row>
    <row r="14" spans="1:4" x14ac:dyDescent="0.25">
      <c r="A14" s="13">
        <v>42690</v>
      </c>
      <c r="B14" t="s">
        <v>31</v>
      </c>
      <c r="C14">
        <v>764.47997999999995</v>
      </c>
      <c r="D14">
        <v>7.8972564951054203E-3</v>
      </c>
    </row>
    <row r="15" spans="1:4" x14ac:dyDescent="0.25">
      <c r="A15" s="13">
        <v>42691</v>
      </c>
      <c r="B15" t="s">
        <v>31</v>
      </c>
      <c r="C15">
        <v>771.22997999999995</v>
      </c>
      <c r="D15">
        <v>8.829531415590397E-3</v>
      </c>
    </row>
    <row r="16" spans="1:4" x14ac:dyDescent="0.25">
      <c r="A16" s="13">
        <v>42692</v>
      </c>
      <c r="B16" t="s">
        <v>31</v>
      </c>
      <c r="C16">
        <v>760.53997800000002</v>
      </c>
      <c r="D16">
        <v>-1.3860978277841274E-2</v>
      </c>
    </row>
    <row r="17" spans="1:4" x14ac:dyDescent="0.25">
      <c r="A17" s="13">
        <v>42695</v>
      </c>
      <c r="B17" t="s">
        <v>31</v>
      </c>
      <c r="C17">
        <v>769.20001200000002</v>
      </c>
      <c r="D17">
        <v>1.1386691364697832E-2</v>
      </c>
    </row>
    <row r="18" spans="1:4" x14ac:dyDescent="0.25">
      <c r="A18" s="13">
        <v>42696</v>
      </c>
      <c r="B18" t="s">
        <v>31</v>
      </c>
      <c r="C18">
        <v>768.27002000000005</v>
      </c>
      <c r="D18">
        <v>-1.2090379426566988E-3</v>
      </c>
    </row>
    <row r="19" spans="1:4" x14ac:dyDescent="0.25">
      <c r="A19" s="13">
        <v>42697</v>
      </c>
      <c r="B19" t="s">
        <v>31</v>
      </c>
      <c r="C19">
        <v>760.98999000000003</v>
      </c>
      <c r="D19">
        <v>-9.4758741204036268E-3</v>
      </c>
    </row>
    <row r="20" spans="1:4" x14ac:dyDescent="0.25">
      <c r="A20" s="13">
        <v>42699</v>
      </c>
      <c r="B20" t="s">
        <v>31</v>
      </c>
      <c r="C20">
        <v>761.67999299999997</v>
      </c>
      <c r="D20">
        <v>9.0671757719174018E-4</v>
      </c>
    </row>
    <row r="21" spans="1:4" x14ac:dyDescent="0.25">
      <c r="A21" s="13">
        <v>42702</v>
      </c>
      <c r="B21" t="s">
        <v>31</v>
      </c>
      <c r="C21">
        <v>768.23999000000003</v>
      </c>
      <c r="D21">
        <v>8.6125368399956326E-3</v>
      </c>
    </row>
    <row r="22" spans="1:4" x14ac:dyDescent="0.25">
      <c r="A22" s="13">
        <v>42703</v>
      </c>
      <c r="B22" t="s">
        <v>31</v>
      </c>
      <c r="C22">
        <v>770.84002699999996</v>
      </c>
      <c r="D22">
        <v>3.384407260548894E-3</v>
      </c>
    </row>
    <row r="23" spans="1:4" x14ac:dyDescent="0.25">
      <c r="A23" s="13">
        <v>42704</v>
      </c>
      <c r="B23" t="s">
        <v>31</v>
      </c>
      <c r="C23">
        <v>758.03997800000002</v>
      </c>
      <c r="D23">
        <v>-1.6605324777718034E-2</v>
      </c>
    </row>
    <row r="24" spans="1:4" x14ac:dyDescent="0.25">
      <c r="A24" s="13">
        <v>42705</v>
      </c>
      <c r="B24" t="s">
        <v>31</v>
      </c>
      <c r="C24">
        <v>747.919983</v>
      </c>
      <c r="D24">
        <v>-1.3350212777300308E-2</v>
      </c>
    </row>
    <row r="25" spans="1:4" x14ac:dyDescent="0.25">
      <c r="A25" s="13">
        <v>42706</v>
      </c>
      <c r="B25" t="s">
        <v>31</v>
      </c>
      <c r="C25">
        <v>750.5</v>
      </c>
      <c r="D25">
        <v>3.4495896066999432E-3</v>
      </c>
    </row>
    <row r="26" spans="1:4" x14ac:dyDescent="0.25">
      <c r="A26" s="13">
        <v>42709</v>
      </c>
      <c r="B26" t="s">
        <v>31</v>
      </c>
      <c r="C26">
        <v>762.52002000000005</v>
      </c>
      <c r="D26">
        <v>1.6016015989340548E-2</v>
      </c>
    </row>
    <row r="27" spans="1:4" x14ac:dyDescent="0.25">
      <c r="A27" s="13">
        <v>42710</v>
      </c>
      <c r="B27" t="s">
        <v>31</v>
      </c>
      <c r="C27">
        <v>759.10998500000005</v>
      </c>
      <c r="D27">
        <v>-4.4720596319556272E-3</v>
      </c>
    </row>
    <row r="28" spans="1:4" x14ac:dyDescent="0.25">
      <c r="A28" s="13">
        <v>42711</v>
      </c>
      <c r="B28" t="s">
        <v>31</v>
      </c>
      <c r="C28">
        <v>771.19000200000005</v>
      </c>
      <c r="D28">
        <v>1.5913394947637327E-2</v>
      </c>
    </row>
    <row r="29" spans="1:4" x14ac:dyDescent="0.25">
      <c r="A29" s="13">
        <v>42712</v>
      </c>
      <c r="B29" t="s">
        <v>31</v>
      </c>
      <c r="C29">
        <v>776.419983</v>
      </c>
      <c r="D29">
        <v>6.7817022866434318E-3</v>
      </c>
    </row>
    <row r="30" spans="1:4" x14ac:dyDescent="0.25">
      <c r="A30" s="13">
        <v>42713</v>
      </c>
      <c r="B30" t="s">
        <v>31</v>
      </c>
      <c r="C30">
        <v>789.28997800000002</v>
      </c>
      <c r="D30">
        <v>1.6576073879850162E-2</v>
      </c>
    </row>
    <row r="31" spans="1:4" x14ac:dyDescent="0.25">
      <c r="A31" s="13">
        <v>42716</v>
      </c>
      <c r="B31" t="s">
        <v>31</v>
      </c>
      <c r="C31">
        <v>789.27002000000005</v>
      </c>
      <c r="D31">
        <v>-2.5286017251269222E-5</v>
      </c>
    </row>
    <row r="32" spans="1:4" x14ac:dyDescent="0.25">
      <c r="A32" s="13">
        <v>42717</v>
      </c>
      <c r="B32" t="s">
        <v>31</v>
      </c>
      <c r="C32">
        <v>796.09997599999997</v>
      </c>
      <c r="D32">
        <v>8.6535099863540577E-3</v>
      </c>
    </row>
    <row r="33" spans="1:4" x14ac:dyDescent="0.25">
      <c r="A33" s="13">
        <v>42718</v>
      </c>
      <c r="B33" t="s">
        <v>31</v>
      </c>
      <c r="C33">
        <v>797.07000700000003</v>
      </c>
      <c r="D33">
        <v>1.2184788710507544E-3</v>
      </c>
    </row>
    <row r="34" spans="1:4" x14ac:dyDescent="0.25">
      <c r="A34" s="13">
        <v>42719</v>
      </c>
      <c r="B34" t="s">
        <v>31</v>
      </c>
      <c r="C34">
        <v>797.84997599999997</v>
      </c>
      <c r="D34">
        <v>9.785451630974773E-4</v>
      </c>
    </row>
    <row r="35" spans="1:4" x14ac:dyDescent="0.25">
      <c r="A35" s="13">
        <v>42720</v>
      </c>
      <c r="B35" t="s">
        <v>31</v>
      </c>
      <c r="C35">
        <v>790.79998799999998</v>
      </c>
      <c r="D35">
        <v>-8.8362326403077507E-3</v>
      </c>
    </row>
    <row r="36" spans="1:4" x14ac:dyDescent="0.25">
      <c r="A36" s="13">
        <v>42723</v>
      </c>
      <c r="B36" t="s">
        <v>31</v>
      </c>
      <c r="C36">
        <v>794.20001200000002</v>
      </c>
      <c r="D36">
        <v>4.2994740156723221E-3</v>
      </c>
    </row>
    <row r="37" spans="1:4" x14ac:dyDescent="0.25">
      <c r="A37" s="13">
        <v>42724</v>
      </c>
      <c r="B37" t="s">
        <v>31</v>
      </c>
      <c r="C37">
        <v>796.419983</v>
      </c>
      <c r="D37">
        <v>2.795229119185727E-3</v>
      </c>
    </row>
    <row r="38" spans="1:4" x14ac:dyDescent="0.25">
      <c r="A38" s="13">
        <v>42725</v>
      </c>
      <c r="B38" t="s">
        <v>31</v>
      </c>
      <c r="C38">
        <v>794.55999799999995</v>
      </c>
      <c r="D38">
        <v>-2.3354323594364512E-3</v>
      </c>
    </row>
    <row r="39" spans="1:4" x14ac:dyDescent="0.25">
      <c r="A39" s="13">
        <v>42726</v>
      </c>
      <c r="B39" t="s">
        <v>31</v>
      </c>
      <c r="C39">
        <v>791.26000999999997</v>
      </c>
      <c r="D39">
        <v>-4.1532269536680433E-3</v>
      </c>
    </row>
    <row r="40" spans="1:4" x14ac:dyDescent="0.25">
      <c r="A40" s="13">
        <v>42727</v>
      </c>
      <c r="B40" t="s">
        <v>31</v>
      </c>
      <c r="C40">
        <v>789.90997300000004</v>
      </c>
      <c r="D40">
        <v>-1.7061863141547562E-3</v>
      </c>
    </row>
    <row r="41" spans="1:4" x14ac:dyDescent="0.25">
      <c r="A41" s="13">
        <v>42731</v>
      </c>
      <c r="B41" t="s">
        <v>31</v>
      </c>
      <c r="C41">
        <v>791.54998799999998</v>
      </c>
      <c r="D41">
        <v>2.076204955067551E-3</v>
      </c>
    </row>
    <row r="42" spans="1:4" x14ac:dyDescent="0.25">
      <c r="A42" s="13">
        <v>42732</v>
      </c>
      <c r="B42" t="s">
        <v>31</v>
      </c>
      <c r="C42">
        <v>785.04998799999998</v>
      </c>
      <c r="D42">
        <v>-8.2117365909175621E-3</v>
      </c>
    </row>
    <row r="43" spans="1:4" x14ac:dyDescent="0.25">
      <c r="A43" s="13">
        <v>42733</v>
      </c>
      <c r="B43" t="s">
        <v>31</v>
      </c>
      <c r="C43">
        <v>782.78997800000002</v>
      </c>
      <c r="D43">
        <v>-2.8788103108664531E-3</v>
      </c>
    </row>
    <row r="44" spans="1:4" x14ac:dyDescent="0.25">
      <c r="A44" s="13">
        <v>42734</v>
      </c>
      <c r="B44" t="s">
        <v>31</v>
      </c>
      <c r="C44">
        <v>771.82000700000003</v>
      </c>
      <c r="D44">
        <v>-1.4013938998079456E-2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Menu</vt:lpstr>
      <vt:lpstr>ChartSheet</vt:lpstr>
      <vt:lpstr>Prediction</vt:lpstr>
      <vt:lpstr>AR-GARCH</vt:lpstr>
      <vt:lpstr>AR-GARCH Confuse</vt:lpstr>
      <vt:lpstr>Settings</vt:lpstr>
      <vt:lpstr>Data</vt:lpstr>
      <vt:lpstr>Training Sample</vt:lpstr>
      <vt:lpstr>Test 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Cabral Alexis</dc:creator>
  <cp:lastModifiedBy>Cabral Alexis</cp:lastModifiedBy>
  <dcterms:created xsi:type="dcterms:W3CDTF">2020-12-25T14:58:43Z</dcterms:created>
  <dcterms:modified xsi:type="dcterms:W3CDTF">2020-12-27T17:31:02Z</dcterms:modified>
</cp:coreProperties>
</file>